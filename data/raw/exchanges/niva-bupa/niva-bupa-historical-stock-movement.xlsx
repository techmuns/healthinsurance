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externalReferences>
    <externalReference r:id="rId5"/>
  </externalReferences>
  <definedNames/>
  <calcPr fullCalcOnLoad="1"/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<sst xmlns="http://schemas.openxmlformats.org/spreadsheetml/2006/main" count="12" uniqueCount="9">
  <si>
    <t>Date</t>
  </si>
  <si>
    <t>Close Price</t>
  </si>
  <si>
    <t>Total Quantity</t>
  </si>
  <si>
    <t>Deliverable Quantity</t>
  </si>
  <si>
    <t>% Deli. Qty to Traded Qty</t>
  </si>
  <si>
    <t>Month</t>
  </si>
  <si>
    <t>No.of Shares</t>
  </si>
  <si>
    <t>Actual Jun-25</t>
  </si>
  <si>
    <t>Average</t>
  </si>
</sst>
</file>

<file path=xl/styles.xml><?xml version="1.0" encoding="utf-8"?>
<styleSheet xmlns="http://schemas.openxmlformats.org/spreadsheetml/2006/main">
  <fonts count="6"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AF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7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2" fillId="0" borderId="0">
      <alignment/>
      <protection/>
    </xf>
  </cellStyleXfs>
  <cellXfs count="24">
    <xf numFmtId="0" fontId="0" fillId="0" borderId="0" xfId="0"/>
    <xf numFmtId="0" fontId="2" fillId="0" borderId="0" xfId="6">
      <alignment/>
      <protection/>
    </xf>
    <xf numFmtId="0" fontId="5" fillId="2" borderId="1" xfId="6" applyFont="1" applyFill="1" applyBorder="1" applyAlignment="1">
      <alignment horizontal="center" wrapText="1"/>
      <protection/>
    </xf>
    <xf numFmtId="0" fontId="5" fillId="2" borderId="2" xfId="6" applyFont="1" applyFill="1" applyBorder="1" applyAlignment="1">
      <alignment horizontal="center" wrapText="1"/>
      <protection/>
    </xf>
    <xf numFmtId="0" fontId="5" fillId="2" borderId="3" xfId="6" applyFont="1" applyFill="1" applyBorder="1" applyAlignment="1">
      <alignment horizontal="center" wrapText="1"/>
      <protection/>
    </xf>
    <xf numFmtId="15" fontId="2" fillId="0" borderId="4" xfId="6" applyNumberFormat="1" applyBorder="1">
      <alignment/>
      <protection/>
    </xf>
    <xf numFmtId="4" fontId="2" fillId="0" borderId="0" xfId="6" applyNumberFormat="1">
      <alignment/>
      <protection/>
    </xf>
    <xf numFmtId="3" fontId="2" fillId="0" borderId="0" xfId="6" applyNumberFormat="1">
      <alignment/>
      <protection/>
    </xf>
    <xf numFmtId="9" fontId="2" fillId="0" borderId="5" xfId="6" applyNumberFormat="1" applyBorder="1">
      <alignment/>
      <protection/>
    </xf>
    <xf numFmtId="17" fontId="4" fillId="0" borderId="0" xfId="0" applyNumberFormat="1">
      <alignment/>
    </xf>
    <xf numFmtId="0" fontId="4" fillId="0" borderId="0" xfId="0">
      <alignment/>
    </xf>
    <xf numFmtId="3" fontId="4" fillId="0" borderId="0" xfId="0" applyNumberFormat="1">
      <alignment/>
    </xf>
    <xf numFmtId="9" fontId="4" fillId="0" borderId="0" xfId="0" applyNumberFormat="1">
      <alignment/>
    </xf>
    <xf numFmtId="0" fontId="1" fillId="0" borderId="6" xfId="6" applyFont="1" applyBorder="1" applyAlignment="1">
      <alignment horizontal="center"/>
      <protection/>
    </xf>
    <xf numFmtId="3" fontId="3" fillId="0" borderId="6" xfId="0" applyNumberFormat="1" applyFont="1" applyBorder="1">
      <alignment/>
    </xf>
    <xf numFmtId="0" fontId="1" fillId="0" borderId="6" xfId="6" applyFont="1" applyBorder="1">
      <alignment/>
      <protection/>
    </xf>
    <xf numFmtId="15" fontId="2" fillId="0" borderId="7" xfId="6" applyNumberFormat="1" applyBorder="1">
      <alignment/>
      <protection/>
    </xf>
    <xf numFmtId="4" fontId="2" fillId="0" borderId="8" xfId="6" applyNumberFormat="1" applyBorder="1">
      <alignment/>
      <protection/>
    </xf>
    <xf numFmtId="3" fontId="2" fillId="0" borderId="8" xfId="6" applyNumberFormat="1" applyBorder="1">
      <alignment/>
      <protection/>
    </xf>
    <xf numFmtId="9" fontId="2" fillId="0" borderId="9" xfId="6" applyNumberFormat="1" applyBorder="1">
      <alignment/>
      <protection/>
    </xf>
    <xf numFmtId="0" fontId="1" fillId="3" borderId="1" xfId="6" applyFont="1" applyFill="1" applyBorder="1">
      <alignment/>
      <protection/>
    </xf>
    <xf numFmtId="4" fontId="1" fillId="3" borderId="2" xfId="6" applyNumberFormat="1" applyFont="1" applyFill="1" applyBorder="1">
      <alignment/>
      <protection/>
    </xf>
    <xf numFmtId="3" fontId="1" fillId="3" borderId="2" xfId="6" applyNumberFormat="1" applyFont="1" applyFill="1" applyBorder="1">
      <alignment/>
      <protection/>
    </xf>
    <xf numFmtId="9" fontId="1" fillId="3" borderId="3" xfId="6" applyNumberFormat="1" applyFont="1" applyFill="1" applyBorder="1">
      <alignment/>
      <protection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Normal 3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externalLink" Target="externalLinks/externalLink1.xml" /><Relationship Id="rId6" Type="http://schemas.openxmlformats.org/officeDocument/2006/relationships/calcChain" Target="calcChain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="horz" rot="0" spcFirstLastPara="1" vertOverflow="ellipsis" anchor="ctr" anchorCtr="1" wrap="square"/>
          <a:lstStyle/>
          <a:p>
            <a:pPr>
              <a:defRPr lang="en-IN" sz="1400" b="0" i="0" u="none" baseline="0" kern="1200" spc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Niva Bupa</a:t>
            </a:r>
          </a:p>
        </c:rich>
      </c:tx>
      <c:layout/>
      <c:overlay val="0"/>
      <c:spPr>
        <a:noFill/>
        <a:ln w="6350"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'[1]Historical Stock Movement'!$J$17</c:f>
              <c:strCache>
                <c:ptCount val="1"/>
                <c:pt idx="0">
                  <c:v>No.of Shares</c:v>
                </c:pt>
              </c:strCache>
            </c:strRef>
          </c:tx>
          <c:spPr>
            <a:solidFill>
              <a:srgbClr val="D0D0D0"/>
            </a:solidFill>
            <a:ln w="6350">
              <a:noFill/>
            </a:ln>
            <a:effectLst/>
          </c:spPr>
          <c:invertIfNegative val="0"/>
          <c:cat>
            <c:numRef>
              <c:f>'[1]Historical Stock Movement'!$H$18:$H$26</c:f>
              <c:numCache>
                <c:formatCode>mmm\-yy</c:formatCode>
                <c:ptCount val="9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</c:numCache>
            </c:numRef>
          </c:cat>
          <c:val>
            <c:numRef>
              <c:f>'[1]Historical Stock Movement'!$J$18:$J$26</c:f>
              <c:numCache>
                <c:formatCode>#,##0</c:formatCode>
                <c:ptCount val="9"/>
                <c:pt idx="0">
                  <c:v>6142044</c:v>
                </c:pt>
                <c:pt idx="1">
                  <c:v>15031268</c:v>
                </c:pt>
                <c:pt idx="2">
                  <c:v>3935409</c:v>
                </c:pt>
                <c:pt idx="3">
                  <c:v>2332559</c:v>
                </c:pt>
                <c:pt idx="4">
                  <c:v>1207176</c:v>
                </c:pt>
                <c:pt idx="5">
                  <c:v>3136571</c:v>
                </c:pt>
                <c:pt idx="6">
                  <c:v>13644244</c:v>
                </c:pt>
                <c:pt idx="7">
                  <c:v>40932732</c:v>
                </c:pt>
                <c:pt idx="8">
                  <c:v>163681</c:v>
                </c:pt>
              </c:numCache>
            </c:numRef>
          </c:val>
        </c:ser>
        <c:ser>
          <c:idx val="2"/>
          <c:order val="2"/>
          <c:tx>
            <c:strRef>
              <c:f>'[1]Historical Stock Movement'!$K$17</c:f>
              <c:strCache>
                <c:ptCount val="1"/>
                <c:pt idx="0">
                  <c:v>Deliverable Quantity</c:v>
                </c:pt>
              </c:strCache>
            </c:strRef>
          </c:tx>
          <c:spPr>
            <a:solidFill>
              <a:srgbClr val="DBE9F7"/>
            </a:solidFill>
            <a:ln w="6350">
              <a:noFill/>
            </a:ln>
            <a:effectLst/>
          </c:spPr>
          <c:invertIfNegative val="0"/>
          <c:cat>
            <c:numRef>
              <c:f>'[1]Historical Stock Movement'!$H$18:$H$26</c:f>
              <c:numCache>
                <c:formatCode>mmm\-yy</c:formatCode>
                <c:ptCount val="9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</c:numCache>
            </c:numRef>
          </c:cat>
          <c:val>
            <c:numRef>
              <c:f>'[1]Historical Stock Movement'!$K$18:$K$26</c:f>
              <c:numCache>
                <c:formatCode>#,##0</c:formatCode>
                <c:ptCount val="9"/>
                <c:pt idx="0">
                  <c:v>3272801</c:v>
                </c:pt>
                <c:pt idx="1">
                  <c:v>5925358</c:v>
                </c:pt>
                <c:pt idx="2">
                  <c:v>1816424</c:v>
                </c:pt>
                <c:pt idx="3">
                  <c:v>1127766</c:v>
                </c:pt>
                <c:pt idx="4">
                  <c:v>632506</c:v>
                </c:pt>
                <c:pt idx="5">
                  <c:v>1052809</c:v>
                </c:pt>
                <c:pt idx="6">
                  <c:v>4971435</c:v>
                </c:pt>
                <c:pt idx="7">
                  <c:v>31628843.5305475</c:v>
                </c:pt>
                <c:pt idx="8">
                  <c:v>68756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219"/>
        <c:axId val="876191"/>
        <c:axId val="38910264"/>
      </c:barChart>
      <c:lineChart>
        <c:grouping val="standard"/>
        <c:varyColors val="0"/>
        <c:ser>
          <c:idx val="0"/>
          <c:order val="0"/>
          <c:tx>
            <c:strRef>
              <c:f>'[1]Historical Stock Movement'!$I$17</c:f>
              <c:strCache>
                <c:ptCount val="1"/>
                <c:pt idx="0">
                  <c:v>Close Price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714405997630215"/>
                  <c:y val="-0.0582038203101269"/>
                </c:manualLayout>
              </c:layout>
              <c:numFmt formatCode="General" sourceLinked="1"/>
              <c:spPr>
                <a:noFill/>
                <a:ln w="6350">
                  <a:noFill/>
                </a:ln>
                <a:effectLst/>
              </c:spPr>
              <c:txPr>
                <a:bodyPr vert="horz" rot="0" spcFirstLastPara="1" vertOverflow="ellipsis" anchor="ctr" anchorCtr="1" wrap="square" lIns="38100" tIns="19050" rIns="38100" bIns="19050">
                  <a:spAutoFit/>
                </a:bodyPr>
                <a:lstStyle/>
                <a:p>
                  <a:pPr algn="ctr">
                    <a:defRPr lang="en-US" sz="900" b="0" i="0" u="none" baseline="0" kern="120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-0.0437021060505954"/>
                  <c:y val="-0.0721811015418299"/>
                </c:manualLayout>
              </c:layout>
              <c:numFmt formatCode="General" sourceLinked="1"/>
              <c:spPr>
                <a:noFill/>
                <a:ln w="6350">
                  <a:noFill/>
                </a:ln>
                <a:effectLst/>
              </c:spPr>
              <c:txPr>
                <a:bodyPr vert="horz" rot="0" spcFirstLastPara="1" vertOverflow="ellipsis" anchor="ctr" anchorCtr="1" wrap="square" lIns="38100" tIns="19050" rIns="38100" bIns="19050">
                  <a:spAutoFit/>
                </a:bodyPr>
                <a:lstStyle/>
                <a:p>
                  <a:pPr algn="ctr">
                    <a:defRPr lang="en-US" sz="900" b="0" i="0" u="none" baseline="0" kern="120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>
                <c:manualLayout>
                  <c:x val="-0.0270590098231398"/>
                  <c:y val="0.0303189608239919"/>
                </c:manualLayout>
              </c:layout>
              <c:numFmt formatCode="General" sourceLinked="1"/>
              <c:spPr>
                <a:noFill/>
                <a:ln w="6350">
                  <a:noFill/>
                </a:ln>
                <a:effectLst/>
              </c:spPr>
              <c:txPr>
                <a:bodyPr vert="horz" rot="0" spcFirstLastPara="1" vertOverflow="ellipsis" anchor="ctr" anchorCtr="1" wrap="square" lIns="38100" tIns="19050" rIns="38100" bIns="19050">
                  <a:spAutoFit/>
                </a:bodyPr>
                <a:lstStyle/>
                <a:p>
                  <a:pPr algn="ctr">
                    <a:defRPr lang="en-US" sz="900" b="0" i="0" u="none" baseline="0" kern="120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>
                <c:manualLayout>
                  <c:x val="-0.0658929010205363"/>
                  <c:y val="0.0349780545678928"/>
                </c:manualLayout>
              </c:layout>
              <c:numFmt formatCode="General" sourceLinked="1"/>
              <c:spPr>
                <a:noFill/>
                <a:ln w="6350">
                  <a:noFill/>
                </a:ln>
                <a:effectLst/>
              </c:spPr>
              <c:txPr>
                <a:bodyPr vert="horz" rot="0" spcFirstLastPara="1" vertOverflow="ellipsis" anchor="ctr" anchorCtr="1" wrap="square" lIns="38100" tIns="19050" rIns="38100" bIns="19050">
                  <a:spAutoFit/>
                </a:bodyPr>
                <a:lstStyle/>
                <a:p>
                  <a:pPr algn="ctr">
                    <a:defRPr lang="en-US" sz="900" b="0" i="0" u="none" baseline="0" kern="120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spPr>
              <a:noFill/>
              <a:ln w="6350">
                <a:noFill/>
              </a:ln>
              <a:effectLst/>
            </c:spPr>
            <c:txPr>
              <a:bodyPr vert="horz" rot="0" spcFirstLastPara="1" vertOverflow="ellipsis" anchor="ctr" anchorCtr="1" wrap="square" lIns="38100" tIns="19050" rIns="38100" bIns="19050">
                <a:spAutoFit/>
              </a:bodyPr>
              <a:lstStyle/>
              <a:p>
                <a:pPr algn="ctr">
                  <a:defRPr lang="en-US" sz="900" b="0" i="0" u="none" baseline="0" kern="120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'[1]Historical Stock Movement'!$H$18:$H$26</c:f>
              <c:numCache>
                <c:formatCode>mmm\-yy</c:formatCode>
                <c:ptCount val="9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</c:numCache>
            </c:numRef>
          </c:cat>
          <c:val>
            <c:numRef>
              <c:f>'[1]Historical Stock Movement'!$I$18:$I$26</c:f>
              <c:numCache>
                <c:formatCode>General</c:formatCode>
                <c:ptCount val="9"/>
                <c:pt idx="0">
                  <c:v>75.34</c:v>
                </c:pt>
                <c:pt idx="1">
                  <c:v>83.84</c:v>
                </c:pt>
                <c:pt idx="2">
                  <c:v>81.15</c:v>
                </c:pt>
                <c:pt idx="3">
                  <c:v>73.01</c:v>
                </c:pt>
                <c:pt idx="4">
                  <c:v>78.01</c:v>
                </c:pt>
                <c:pt idx="5">
                  <c:v>81.46</c:v>
                </c:pt>
                <c:pt idx="6">
                  <c:v>92.28</c:v>
                </c:pt>
                <c:pt idx="7">
                  <c:v>81.81</c:v>
                </c:pt>
                <c:pt idx="8">
                  <c:v>82.02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marker val="1"/>
        <c:axId val="10521467"/>
        <c:axId val="65138051"/>
      </c:lineChart>
      <c:dateAx>
        <c:axId val="1052146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wrap="square"/>
          <a:lstStyle/>
          <a:p>
            <a:pPr>
              <a:defRPr lang="en-US" sz="900" b="0" i="0" u="none" baseline="0" kern="120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38051"/>
        <c:crosses val="autoZero"/>
        <c:auto val="1"/>
        <c:lblOffset val="100"/>
        <c:baseTimeUnit val="months"/>
        <c:noMultiLvlLbl val="0"/>
      </c:dateAx>
      <c:valAx>
        <c:axId val="65138051"/>
        <c:scaling>
          <c:orientation val="minMax"/>
          <c:min val="7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>
            <a:noFill/>
          </a:ln>
          <a:effectLst/>
        </c:spPr>
        <c:txPr>
          <a:bodyPr wrap="square"/>
          <a:lstStyle/>
          <a:p>
            <a:pPr>
              <a:defRPr lang="en-US" sz="900" b="0" i="0" u="none" baseline="0" kern="120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1467"/>
        <c:crosses val="autoZero"/>
        <c:crossBetween val="between"/>
      </c:valAx>
      <c:dateAx>
        <c:axId val="876191"/>
        <c:scaling>
          <c:orientation val="minMax"/>
        </c:scaling>
        <c:delete val="1"/>
        <c:axPos val="b"/>
        <c:majorTickMark val="out"/>
        <c:minorTickMark val="none"/>
        <c:tickLblPos val="nextTo"/>
        <c:spPr>
          <a:ln w="6350" cap="flat" cmpd="sng"/>
        </c:spPr>
        <c:txPr>
          <a:bodyPr wrap="square"/>
          <a:lstStyle/>
          <a:p>
            <a:pPr>
              <a:defRPr lang="en-US" sz="900" u="none" baseline="0" kern="12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</a:defRPr>
            </a:pPr>
            <a:endParaRPr lang="en-US"/>
          </a:p>
        </c:txPr>
        <c:crossAx val="38910264"/>
        <c:crosses val="autoZero"/>
        <c:auto val="1"/>
        <c:lblOffset val="100"/>
        <c:baseTimeUnit val="months"/>
        <c:noMultiLvlLbl val="0"/>
      </c:dateAx>
      <c:valAx>
        <c:axId val="38910264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 w="6350">
            <a:noFill/>
          </a:ln>
          <a:effectLst/>
        </c:spPr>
        <c:txPr>
          <a:bodyPr wrap="square"/>
          <a:lstStyle/>
          <a:p>
            <a:pPr>
              <a:defRPr lang="en-US" sz="900" b="0" i="0" u="none" baseline="0" kern="120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191"/>
        <c:crosses val="max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0.932763779527559"/>
                <c:y val="0.33375"/>
              </c:manualLayout>
            </c:layout>
            <c:tx>
              <c:rich>
                <a:bodyPr vert="horz" rot="-5400000" wrap="square"/>
                <a:lstStyle/>
                <a:p>
                  <a:pPr algn="ctr">
                    <a:defRPr lang="en-US" sz="1000" b="0" i="0" u="none" baseline="0" kern="120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/>
                  </a:r>
                </a:p>
              </c:rich>
            </c:tx>
            <c:spPr>
              <a:noFill/>
              <a:ln w="6350">
                <a:noFill/>
              </a:ln>
              <a:effectLst/>
            </c:spPr>
            <c:txPr>
              <a:bodyPr vert="horz" rot="-5400000" wrap="square"/>
              <a:lstStyle/>
              <a:p>
                <a:pPr>
                  <a:defRPr lang="en-US" sz="1000" b="0" i="0" u="none" baseline="0" kern="120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 w="6350">
          <a:noFill/>
        </a:ln>
        <a:effectLst/>
      </c:spPr>
    </c:plotArea>
    <c:legend>
      <c:legendPos val="b"/>
      <c:layout/>
      <c:overlay val="0"/>
      <c:spPr>
        <a:noFill/>
        <a:ln w="6350">
          <a:noFill/>
        </a:ln>
        <a:effectLst/>
      </c:spPr>
      <c:txPr>
        <a:bodyPr vert="horz" rot="0" spcFirstLastPara="1" vertOverflow="ellipsis" anchor="ctr" anchorCtr="1" wrap="square"/>
        <a:lstStyle/>
        <a:p>
          <a:pPr algn="l">
            <a:defRPr lang="en-US" sz="900" b="0" i="0" u="none" baseline="0" kern="120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  <c:txPr>
    <a:bodyPr vert="horz" rot="0" wrap="square"/>
    <a:lstStyle/>
    <a:p>
      <a:pPr>
        <a:defRPr lang="en-US" u="none" baseline="0">
          <a:solidFill>
            <a:srgbClr val="000000"/>
          </a:solidFill>
          <a:latin typeface="Calibri"/>
          <a:ea typeface="Calibri"/>
        </a:defRPr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7</xdr:col>
      <xdr:colOff>0</xdr:colOff>
      <xdr:row>0</xdr:row>
      <xdr:rowOff>131379</xdr:rowOff>
    </xdr:from>
    <xdr:to>
      <xdr:col>14</xdr:col>
      <xdr:colOff>114300</xdr:colOff>
      <xdr:row>17</xdr:row>
      <xdr:rowOff>127000</xdr:rowOff>
    </xdr:to>
    <xdr:graphicFrame>
      <xdr:nvGraphicFramePr>
        <xdr:cNvPr id="1" name="Chart 5">
          <a:extLst>
            <a:ext uri="{FF2B5EF4-FFF2-40B4-BE49-F238E27FC236}">
              <a16:creationId xmlns:a16="http://schemas.microsoft.com/office/drawing/2014/main" id="{4FECED04-B0F5-4205-A1CB-5ED45CC2A945}"/>
            </a:ext>
          </a:extLst>
        </xdr:cNvPr>
        <xdr:cNvGraphicFramePr/>
      </xdr:nvGraphicFramePr>
      <xdr:xfrm>
        <a:off x="4267200" y="133350"/>
        <a:ext cx="4381500" cy="275272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10</xdr:col>
      <xdr:colOff>775317</xdr:colOff>
      <xdr:row>8</xdr:row>
      <xdr:rowOff>80339</xdr:rowOff>
    </xdr:from>
    <xdr:to>
      <xdr:col>11</xdr:col>
      <xdr:colOff>484610</xdr:colOff>
      <xdr:row>9</xdr:row>
      <xdr:rowOff>144336</xdr:rowOff>
    </xdr:to>
    <xdr:sp>
      <xdr:nvSpPr>
        <xdr:cNvPr id="2" name="Minus Sign 6">
          <a:extLst>
            <a:ext uri="{FF2B5EF4-FFF2-40B4-BE49-F238E27FC236}">
              <a16:creationId xmlns:a16="http://schemas.microsoft.com/office/drawing/2014/main" id="{C0DD9917-2709-4C41-82E1-F25DAC6FEB2C}"/>
            </a:ext>
          </a:extLst>
        </xdr:cNvPr>
        <xdr:cNvSpPr/>
      </xdr:nvSpPr>
      <xdr:spPr>
        <a:xfrm rot="20024282">
          <a:off x="6705600" y="1371600"/>
          <a:ext cx="485775" cy="228600"/>
        </a:xfrm>
        <a:prstGeom prst="mathMinus"/>
        <a:solidFill>
          <a:srgbClr val="FFFFFF"/>
        </a:solidFill>
        <a:ln w="6350">
          <a:solidFill>
            <a:srgbClr val="808080">
              <a:lumMod val="5000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rtlCol="0" anchor="t"/>
        <a:p>
          <a:pPr algn="l"/>
          <a:endParaRPr lang="en-IN" sz="1100"/>
        </a:p>
      </xdr:txBody>
    </xdr:sp>
    <xdr:clientData/>
  </xdr:twoCellAnchor>
  <xdr:twoCellAnchor>
    <xdr:from>
      <xdr:col>10</xdr:col>
      <xdr:colOff>773231</xdr:colOff>
      <xdr:row>1</xdr:row>
      <xdr:rowOff>54741</xdr:rowOff>
    </xdr:from>
    <xdr:to>
      <xdr:col>12</xdr:col>
      <xdr:colOff>303094</xdr:colOff>
      <xdr:row>3</xdr:row>
      <xdr:rowOff>49048</xdr:rowOff>
    </xdr:to>
    <xdr:sp>
      <xdr:nvSpPr>
        <xdr:cNvPr id="3" name="Callout: Bent Line 7">
          <a:extLst>
            <a:ext uri="{FF2B5EF4-FFF2-40B4-BE49-F238E27FC236}">
              <a16:creationId xmlns:a16="http://schemas.microsoft.com/office/drawing/2014/main" id="{66DFD9D9-0EA9-44D8-85A0-93E160E93041}"/>
            </a:ext>
          </a:extLst>
        </xdr:cNvPr>
        <xdr:cNvSpPr/>
      </xdr:nvSpPr>
      <xdr:spPr>
        <a:xfrm>
          <a:off x="6705600" y="219075"/>
          <a:ext cx="914400" cy="314325"/>
        </a:xfrm>
        <a:prstGeom prst="borderCallout2">
          <a:avLst>
            <a:gd name="adj1" fmla="val 103495"/>
            <a:gd name="adj2" fmla="val 47718"/>
            <a:gd name="adj3" fmla="val 152649"/>
            <a:gd name="adj4" fmla="val 38110"/>
            <a:gd name="adj5" fmla="val 167613"/>
            <a:gd name="adj6" fmla="val 31902"/>
          </a:avLst>
        </a:prstGeom>
        <a:noFill/>
        <a:ln w="6350">
          <a:solidFill>
            <a:srgbClr val="000724">
              <a:shade val="1500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rtlCol="0" anchor="t"/>
        <a:p>
          <a:pPr algn="l"/>
          <a:r>
            <a:rPr lang="en-IN" sz="600">
              <a:solidFill>
                <a:srgbClr val="000000"/>
              </a:solidFill>
            </a:rPr>
            <a:t>No. of shares - 240 mn</a:t>
          </a:r>
        </a:p>
        <a:p>
          <a:pPr algn="l"/>
          <a:r>
            <a:rPr lang="en-IN" sz="600">
              <a:solidFill>
                <a:srgbClr val="000000"/>
              </a:solidFill>
            </a:rPr>
            <a:t>Deliverable Qty - 186 mn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Book1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ustry Growth"/>
      <sheetName val="FY26 GWP"/>
      <sheetName val="Q1'26 GWP"/>
      <sheetName val="SAHIs comparison"/>
      <sheetName val="Management commentary "/>
      <sheetName val="Analyst coverage"/>
      <sheetName val="Comps"/>
      <sheetName val="Captable"/>
      <sheetName val="Channel Mix"/>
      <sheetName val="Key sectoral updates"/>
      <sheetName val="_CIQHiddenCacheSheet"/>
      <sheetName val="Historical Stock Move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9E441BA-D9BD-4CA6-9964-DAF27533BAA5}">
  <dimension ref="A1:Q158"/>
  <sheetViews>
    <sheetView tabSelected="1" workbookViewId="0" topLeftCell="A1"/>
  </sheetViews>
  <sheetFormatPr defaultRowHeight="12.75"/>
  <sheetData>
    <row r="1" spans="1:17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6" ht="12.75">
      <c r="A2" s="1"/>
      <c r="B2" s="2" t="s">
        <v>0</v>
      </c>
      <c r="C2" s="3" t="s">
        <v>1</v>
      </c>
      <c r="D2" s="3" t="s">
        <v>2</v>
      </c>
      <c r="E2" s="3" t="s">
        <v>3</v>
      </c>
      <c r="F2" s="4" t="s">
        <v>4</v>
      </c>
    </row>
    <row r="3" spans="1:6" ht="12.75">
      <c r="A3" s="1"/>
      <c r="B3" s="5">
        <v>45839</v>
      </c>
      <c r="C3" s="6">
        <v>82.02</v>
      </c>
      <c r="D3" s="7">
        <v>163681</v>
      </c>
      <c r="E3" s="7">
        <v>68756</v>
      </c>
      <c r="F3" s="8">
        <f>E3/D3</f>
        <v>0.42006097225701211</v>
      </c>
    </row>
    <row r="4" spans="1:6" ht="12.75">
      <c r="A4" s="1"/>
      <c r="B4" s="5">
        <v>45838</v>
      </c>
      <c r="C4" s="6">
        <v>81.81</v>
      </c>
      <c r="D4" s="7">
        <v>72042</v>
      </c>
      <c r="E4" s="7">
        <v>42831</v>
      </c>
      <c r="F4" s="8">
        <f>E4/D4</f>
        <v>0.59452819188806527</v>
      </c>
    </row>
    <row r="5" spans="1:6" ht="12.75">
      <c r="A5" s="1"/>
      <c r="B5" s="5">
        <v>45835</v>
      </c>
      <c r="C5" s="6">
        <v>81.790000000000006</v>
      </c>
      <c r="D5" s="7">
        <v>306082</v>
      </c>
      <c r="E5" s="7">
        <v>200060</v>
      </c>
      <c r="F5" s="8">
        <f>E5/D5</f>
        <v>0.65361569775419659</v>
      </c>
    </row>
    <row r="6" spans="1:6" ht="12.75">
      <c r="A6" s="1"/>
      <c r="B6" s="5">
        <v>45834</v>
      </c>
      <c r="C6" s="6">
        <v>82.02</v>
      </c>
      <c r="D6" s="7">
        <v>133045</v>
      </c>
      <c r="E6" s="7">
        <v>66521</v>
      </c>
      <c r="F6" s="8">
        <f>E6/D6</f>
        <v>0.49998872561915142</v>
      </c>
    </row>
    <row r="7" spans="1:6" ht="12.75">
      <c r="A7" s="1"/>
      <c r="B7" s="5">
        <v>45833</v>
      </c>
      <c r="C7" s="6">
        <v>82.02</v>
      </c>
      <c r="D7" s="7">
        <v>120001</v>
      </c>
      <c r="E7" s="7">
        <v>82908</v>
      </c>
      <c r="F7" s="8">
        <f>E7/D7</f>
        <v>0.69089424254797882</v>
      </c>
    </row>
    <row r="8" spans="1:6" ht="12.75">
      <c r="A8" s="1"/>
      <c r="B8" s="5">
        <v>45832</v>
      </c>
      <c r="C8" s="6">
        <v>81.67</v>
      </c>
      <c r="D8" s="7">
        <v>50518</v>
      </c>
      <c r="E8" s="7">
        <v>28781</v>
      </c>
      <c r="F8" s="8">
        <f>E8/D8</f>
        <v>0.56971772437547008</v>
      </c>
    </row>
    <row r="9" spans="1:6" ht="12.75">
      <c r="A9" s="1"/>
      <c r="B9" s="5">
        <v>45831</v>
      </c>
      <c r="C9" s="6">
        <v>81.680000000000007</v>
      </c>
      <c r="D9" s="7">
        <v>67041</v>
      </c>
      <c r="E9" s="7">
        <v>33255</v>
      </c>
      <c r="F9" s="8">
        <f>E9/D9</f>
        <v>0.49603973687743319</v>
      </c>
    </row>
    <row r="10" spans="1:6" ht="12.75">
      <c r="A10" s="1"/>
      <c r="B10" s="5">
        <v>45828</v>
      </c>
      <c r="C10" s="6">
        <v>81.14</v>
      </c>
      <c r="D10" s="7">
        <v>86506</v>
      </c>
      <c r="E10" s="7">
        <v>47352</v>
      </c>
      <c r="F10" s="8">
        <f>E10/D10</f>
        <v>0.54738399648579295</v>
      </c>
    </row>
    <row r="11" spans="1:6" ht="12.75">
      <c r="A11" s="1"/>
      <c r="B11" s="5">
        <v>45827</v>
      </c>
      <c r="C11" s="6">
        <v>80.02</v>
      </c>
      <c r="D11" s="7">
        <v>193688</v>
      </c>
      <c r="E11" s="7">
        <v>86087</v>
      </c>
      <c r="F11" s="8">
        <f>E11/D11</f>
        <v>0.44446222791293216</v>
      </c>
    </row>
    <row r="12" spans="1:6" ht="12.75">
      <c r="A12" s="1"/>
      <c r="B12" s="5">
        <v>45826</v>
      </c>
      <c r="C12" s="6">
        <v>81.03</v>
      </c>
      <c r="D12" s="7">
        <v>181799</v>
      </c>
      <c r="E12" s="7">
        <v>82188</v>
      </c>
      <c r="F12" s="8">
        <f>E12/D12</f>
        <v>0.45208169461878228</v>
      </c>
    </row>
    <row r="13" spans="1:6" ht="12.75">
      <c r="A13" s="1"/>
      <c r="B13" s="5">
        <v>45825</v>
      </c>
      <c r="C13" s="6">
        <v>80.17</v>
      </c>
      <c r="D13" s="7">
        <v>189168</v>
      </c>
      <c r="E13" s="7">
        <v>90389</v>
      </c>
      <c r="F13" s="8">
        <f>E13/D13</f>
        <v>0.47782394485325214</v>
      </c>
    </row>
    <row r="14" spans="1:6" ht="12.75">
      <c r="A14" s="1"/>
      <c r="B14" s="5">
        <v>45824</v>
      </c>
      <c r="C14" s="6">
        <v>81.849999999999994</v>
      </c>
      <c r="D14" s="7">
        <v>92495</v>
      </c>
      <c r="E14" s="7">
        <v>34512</v>
      </c>
      <c r="F14" s="8">
        <f>E14/D14</f>
        <v>0.37312287150656792</v>
      </c>
    </row>
    <row r="15" spans="1:6" ht="12.75">
      <c r="A15" s="1"/>
      <c r="B15" s="5">
        <v>45821</v>
      </c>
      <c r="C15" s="6">
        <v>81.39</v>
      </c>
      <c r="D15" s="7">
        <v>140460</v>
      </c>
      <c r="E15" s="7">
        <v>72812</v>
      </c>
      <c r="F15" s="8">
        <f>E15/D15</f>
        <v>0.51838245763918556</v>
      </c>
    </row>
    <row r="16" spans="1:6" ht="12.75">
      <c r="A16" s="1"/>
      <c r="B16" s="5">
        <v>45820</v>
      </c>
      <c r="C16" s="6">
        <v>82.13</v>
      </c>
      <c r="D16" s="7">
        <v>198556</v>
      </c>
      <c r="E16" s="7">
        <v>99054</v>
      </c>
      <c r="F16" s="8">
        <f>E16/D16</f>
        <v>0.49887185479159529</v>
      </c>
    </row>
    <row r="17" spans="1:12" ht="12.75">
      <c r="A17" s="1"/>
      <c r="B17" s="5">
        <v>45819</v>
      </c>
      <c r="C17" s="6">
        <v>82.65</v>
      </c>
      <c r="D17" s="7">
        <v>163909</v>
      </c>
      <c r="E17" s="7">
        <v>66828</v>
      </c>
      <c r="F17" s="8">
        <f>E17/D17</f>
        <v>0.40771403644705295</v>
      </c>
      <c r="G17" s="1"/>
      <c r="H17" s="2" t="s">
        <v>5</v>
      </c>
      <c r="I17" s="3" t="s">
        <v>1</v>
      </c>
      <c r="J17" s="3" t="s">
        <v>6</v>
      </c>
      <c r="K17" s="3" t="s">
        <v>3</v>
      </c>
      <c r="L17" s="4" t="s">
        <v>4</v>
      </c>
    </row>
    <row r="18" spans="1:12" ht="12.75">
      <c r="A18" s="1"/>
      <c r="B18" s="5">
        <v>45818</v>
      </c>
      <c r="C18" s="6">
        <v>82.87</v>
      </c>
      <c r="D18" s="7">
        <v>267429</v>
      </c>
      <c r="E18" s="7">
        <v>145267</v>
      </c>
      <c r="F18" s="8">
        <f>E18/D18</f>
        <v>0.54319838162652512</v>
      </c>
      <c r="G18" s="1"/>
      <c r="H18" s="9">
        <v>45597</v>
      </c>
      <c r="I18" s="10">
        <v>75.34</v>
      </c>
      <c r="J18" s="11">
        <v>6142044</v>
      </c>
      <c r="K18" s="11">
        <v>3272801</v>
      </c>
      <c r="L18" s="12">
        <f>K18/J18</f>
        <v>0.53285209288634205</v>
      </c>
    </row>
    <row r="19" spans="1:12" ht="12.75">
      <c r="A19" s="1"/>
      <c r="B19" s="5">
        <v>45817</v>
      </c>
      <c r="C19" s="6">
        <v>83.35</v>
      </c>
      <c r="D19" s="7">
        <v>385076</v>
      </c>
      <c r="E19" s="7">
        <v>243037</v>
      </c>
      <c r="F19" s="8">
        <f>E19/D19</f>
        <v>0.63114034632124572</v>
      </c>
      <c r="G19" s="1"/>
      <c r="H19" s="9">
        <v>45627</v>
      </c>
      <c r="I19" s="10">
        <v>83.84</v>
      </c>
      <c r="J19" s="11">
        <v>15031268</v>
      </c>
      <c r="K19" s="11">
        <v>5925358</v>
      </c>
      <c r="L19" s="12">
        <f>K19/J19</f>
        <v>0.39420213916750069</v>
      </c>
    </row>
    <row r="20" spans="1:12" ht="12.75">
      <c r="A20" s="1"/>
      <c r="B20" s="5">
        <v>45814</v>
      </c>
      <c r="C20" s="6">
        <v>83.01</v>
      </c>
      <c r="D20" s="7">
        <v>135440</v>
      </c>
      <c r="E20" s="7">
        <v>46443</v>
      </c>
      <c r="F20" s="8">
        <f>E20/D20</f>
        <v>0.34290460720614296</v>
      </c>
      <c r="G20" s="1"/>
      <c r="H20" s="9">
        <v>45658</v>
      </c>
      <c r="I20" s="10">
        <v>81.150000000000006</v>
      </c>
      <c r="J20" s="11">
        <v>3935409</v>
      </c>
      <c r="K20" s="11">
        <v>1816424</v>
      </c>
      <c r="L20" s="12">
        <f>K20/J20</f>
        <v>0.46155914162924361</v>
      </c>
    </row>
    <row r="21" spans="1:12" ht="12.75">
      <c r="A21" s="1"/>
      <c r="B21" s="5">
        <v>45813</v>
      </c>
      <c r="C21" s="6">
        <v>82.57</v>
      </c>
      <c r="D21" s="7">
        <v>125017</v>
      </c>
      <c r="E21" s="7">
        <v>52372</v>
      </c>
      <c r="F21" s="8">
        <f>E21/D21</f>
        <v>0.41891902701232631</v>
      </c>
      <c r="G21" s="1"/>
      <c r="H21" s="9">
        <v>45689</v>
      </c>
      <c r="I21" s="10">
        <v>73.010000000000005</v>
      </c>
      <c r="J21" s="11">
        <v>2332559</v>
      </c>
      <c r="K21" s="11">
        <v>1127766</v>
      </c>
      <c r="L21" s="12">
        <f>K21/J21</f>
        <v>0.48348873490445471</v>
      </c>
    </row>
    <row r="22" spans="1:12" ht="12.75">
      <c r="A22" s="1"/>
      <c r="B22" s="5">
        <v>45812</v>
      </c>
      <c r="C22" s="6">
        <v>82.93</v>
      </c>
      <c r="D22" s="7">
        <v>396016</v>
      </c>
      <c r="E22" s="7">
        <v>97987</v>
      </c>
      <c r="F22" s="8">
        <f>E22/D22</f>
        <v>0.24743192194254779</v>
      </c>
      <c r="G22" s="1"/>
      <c r="H22" s="9">
        <v>45717</v>
      </c>
      <c r="I22" s="10">
        <v>78.010000000000005</v>
      </c>
      <c r="J22" s="11">
        <v>1207176</v>
      </c>
      <c r="K22" s="11">
        <v>632506</v>
      </c>
      <c r="L22" s="12">
        <f>K22/J22</f>
        <v>0.52395508194331231</v>
      </c>
    </row>
    <row r="23" spans="1:12" ht="12.75">
      <c r="A23" s="1"/>
      <c r="B23" s="5">
        <v>45811</v>
      </c>
      <c r="C23" s="6">
        <v>83.08</v>
      </c>
      <c r="D23" s="7">
        <v>1098856</v>
      </c>
      <c r="E23" s="7">
        <v>485416</v>
      </c>
      <c r="F23" s="8">
        <f>E23/D23</f>
        <v>0.44174668928412825</v>
      </c>
      <c r="G23" s="1"/>
      <c r="H23" s="9">
        <v>45748</v>
      </c>
      <c r="I23" s="10">
        <v>81.459999999999994</v>
      </c>
      <c r="J23" s="11">
        <v>3136571</v>
      </c>
      <c r="K23" s="11">
        <v>1052809</v>
      </c>
      <c r="L23" s="12">
        <f>K23/J23</f>
        <v>0.33565603966879753</v>
      </c>
    </row>
    <row r="24" spans="1:17" ht="12.75">
      <c r="A24" s="1"/>
      <c r="B24" s="5">
        <v>45810</v>
      </c>
      <c r="C24" s="6">
        <v>83.07</v>
      </c>
      <c r="D24" s="7">
        <v>236362473</v>
      </c>
      <c r="E24" s="7">
        <v>183936207</v>
      </c>
      <c r="F24" s="8">
        <f>E24/D24</f>
        <v>0.77819547521826782</v>
      </c>
      <c r="G24" s="1"/>
      <c r="H24" s="9">
        <v>45778</v>
      </c>
      <c r="I24" s="10">
        <v>92.28</v>
      </c>
      <c r="J24" s="11">
        <v>13644244</v>
      </c>
      <c r="K24" s="11">
        <v>4971435</v>
      </c>
      <c r="L24" s="12">
        <f>K24/J24</f>
        <v>0.36436133801183856</v>
      </c>
      <c r="M24" s="1"/>
      <c r="N24" s="1"/>
      <c r="O24" s="13" t="s">
        <v>7</v>
      </c>
      <c r="P24" s="13"/>
      <c r="Q24" s="13"/>
    </row>
    <row r="25" spans="1:17" ht="12.75">
      <c r="A25" s="1"/>
      <c r="B25" s="5">
        <v>45807</v>
      </c>
      <c r="C25" s="6">
        <v>92.28</v>
      </c>
      <c r="D25" s="7">
        <v>525003</v>
      </c>
      <c r="E25" s="7">
        <v>279943</v>
      </c>
      <c r="F25" s="8">
        <f>E25/D25</f>
        <v>0.53322171492353376</v>
      </c>
      <c r="G25" s="1"/>
      <c r="H25" s="9">
        <v>45809</v>
      </c>
      <c r="I25" s="10">
        <v>81.81</v>
      </c>
      <c r="J25" s="11">
        <f>J24*3</f>
        <v>40932732</v>
      </c>
      <c r="K25" s="11">
        <f>J25*L25</f>
        <v>31628843.530547485</v>
      </c>
      <c r="L25" s="12">
        <f>Q25</f>
        <v>0.77270296863027577</v>
      </c>
      <c r="M25" s="1"/>
      <c r="N25" s="1"/>
      <c r="O25" s="14">
        <v>240765617</v>
      </c>
      <c r="P25" s="14">
        <v>186040307</v>
      </c>
      <c r="Q25" s="15">
        <f>P25/O25</f>
        <v>0.77270296863027577</v>
      </c>
    </row>
    <row r="26" spans="1:16" ht="12.75">
      <c r="A26" s="1"/>
      <c r="B26" s="5">
        <v>45806</v>
      </c>
      <c r="C26" s="6">
        <v>92.36</v>
      </c>
      <c r="D26" s="7">
        <v>1172480</v>
      </c>
      <c r="E26" s="7">
        <v>587605</v>
      </c>
      <c r="F26" s="8">
        <f>E26/D26</f>
        <v>0.50116419896288211</v>
      </c>
      <c r="G26" s="1"/>
      <c r="H26" s="9">
        <v>45839</v>
      </c>
      <c r="I26" s="10">
        <v>82.02</v>
      </c>
      <c r="J26" s="11">
        <v>163681</v>
      </c>
      <c r="K26" s="11">
        <v>68756</v>
      </c>
      <c r="L26" s="12">
        <f>K26/J26</f>
        <v>0.42006097225701211</v>
      </c>
      <c r="M26" s="1"/>
      <c r="N26" s="1"/>
      <c r="O26" s="6"/>
      <c r="P26" s="6"/>
    </row>
    <row r="27" spans="1:6" ht="12.75">
      <c r="A27" s="1"/>
      <c r="B27" s="5">
        <v>45805</v>
      </c>
      <c r="C27" s="6">
        <v>87.95</v>
      </c>
      <c r="D27" s="7">
        <v>232079</v>
      </c>
      <c r="E27" s="7">
        <v>87669</v>
      </c>
      <c r="F27" s="8">
        <f>E27/D27</f>
        <v>0.37775498860301882</v>
      </c>
    </row>
    <row r="28" spans="1:6" ht="12.75">
      <c r="A28" s="1"/>
      <c r="B28" s="5">
        <v>45804</v>
      </c>
      <c r="C28" s="6">
        <v>87.10</v>
      </c>
      <c r="D28" s="7">
        <v>196930</v>
      </c>
      <c r="E28" s="7">
        <v>70024</v>
      </c>
      <c r="F28" s="8">
        <f>E28/D28</f>
        <v>0.35557812420657087</v>
      </c>
    </row>
    <row r="29" spans="1:6" ht="12.75">
      <c r="A29" s="1"/>
      <c r="B29" s="5">
        <v>45803</v>
      </c>
      <c r="C29" s="6">
        <v>91.26</v>
      </c>
      <c r="D29" s="7">
        <v>279508</v>
      </c>
      <c r="E29" s="7">
        <v>130428</v>
      </c>
      <c r="F29" s="8">
        <f>E29/D29</f>
        <v>0.46663422871617272</v>
      </c>
    </row>
    <row r="30" spans="1:6" ht="12.75">
      <c r="A30" s="1"/>
      <c r="B30" s="5">
        <v>45800</v>
      </c>
      <c r="C30" s="6">
        <v>89.36</v>
      </c>
      <c r="D30" s="7">
        <v>254707</v>
      </c>
      <c r="E30" s="7">
        <v>129026</v>
      </c>
      <c r="F30" s="8">
        <f>E30/D30</f>
        <v>0.50656636841547342</v>
      </c>
    </row>
    <row r="31" spans="1:6" ht="12.75">
      <c r="A31" s="1"/>
      <c r="B31" s="5">
        <v>45799</v>
      </c>
      <c r="C31" s="6">
        <v>88.55</v>
      </c>
      <c r="D31" s="7">
        <v>409649</v>
      </c>
      <c r="E31" s="7">
        <v>151237</v>
      </c>
      <c r="F31" s="8">
        <f>E31/D31</f>
        <v>0.36918679161916668</v>
      </c>
    </row>
    <row r="32" spans="1:6" ht="12.75">
      <c r="A32" s="1"/>
      <c r="B32" s="5">
        <v>45798</v>
      </c>
      <c r="C32" s="6">
        <v>89.63</v>
      </c>
      <c r="D32" s="7">
        <v>129024</v>
      </c>
      <c r="E32" s="7">
        <v>53955</v>
      </c>
      <c r="F32" s="8">
        <f>E32/D32</f>
        <v>0.41817801339285715</v>
      </c>
    </row>
    <row r="33" spans="1:6" ht="12.75">
      <c r="A33" s="1"/>
      <c r="B33" s="5">
        <v>45797</v>
      </c>
      <c r="C33" s="6">
        <v>90.91</v>
      </c>
      <c r="D33" s="7">
        <v>343509</v>
      </c>
      <c r="E33" s="7">
        <v>90412</v>
      </c>
      <c r="F33" s="8">
        <f>E33/D33</f>
        <v>0.26320125528006544</v>
      </c>
    </row>
    <row r="34" spans="1:6" ht="12.75">
      <c r="A34" s="1"/>
      <c r="B34" s="5">
        <v>45796</v>
      </c>
      <c r="C34" s="6">
        <v>91.13</v>
      </c>
      <c r="D34" s="7">
        <v>915912</v>
      </c>
      <c r="E34" s="7">
        <v>416729</v>
      </c>
      <c r="F34" s="8">
        <f>E34/D34</f>
        <v>0.4549880337849051</v>
      </c>
    </row>
    <row r="35" spans="1:6" ht="12.75">
      <c r="A35" s="1"/>
      <c r="B35" s="5">
        <v>45793</v>
      </c>
      <c r="C35" s="6">
        <v>90.45</v>
      </c>
      <c r="D35" s="7">
        <v>772182</v>
      </c>
      <c r="E35" s="7">
        <v>383526</v>
      </c>
      <c r="F35" s="8">
        <f>E35/D35</f>
        <v>0.49667824424811768</v>
      </c>
    </row>
    <row r="36" spans="1:6" ht="12.75">
      <c r="A36" s="1"/>
      <c r="B36" s="5">
        <v>45792</v>
      </c>
      <c r="C36" s="6">
        <v>84.53</v>
      </c>
      <c r="D36" s="7">
        <v>210215</v>
      </c>
      <c r="E36" s="7">
        <v>119796</v>
      </c>
      <c r="F36" s="8">
        <f>E36/D36</f>
        <v>0.5698737007349618</v>
      </c>
    </row>
    <row r="37" spans="1:6" ht="12.75">
      <c r="A37" s="1"/>
      <c r="B37" s="5">
        <v>45791</v>
      </c>
      <c r="C37" s="6">
        <v>84.53</v>
      </c>
      <c r="D37" s="7">
        <v>277303</v>
      </c>
      <c r="E37" s="7"/>
      <c r="F37" s="8">
        <f>E37/D37</f>
        <v>0</v>
      </c>
    </row>
    <row r="38" spans="1:6" ht="12.75">
      <c r="A38" s="1"/>
      <c r="B38" s="5">
        <v>45790</v>
      </c>
      <c r="C38" s="6">
        <v>84.89</v>
      </c>
      <c r="D38" s="7">
        <v>186677</v>
      </c>
      <c r="E38" s="7">
        <v>85982</v>
      </c>
      <c r="F38" s="8">
        <f>E38/D38</f>
        <v>0.46059236006578208</v>
      </c>
    </row>
    <row r="39" spans="1:6" ht="12.75">
      <c r="A39" s="1"/>
      <c r="B39" s="5">
        <v>45789</v>
      </c>
      <c r="C39" s="6">
        <v>85.14</v>
      </c>
      <c r="D39" s="7">
        <v>482213</v>
      </c>
      <c r="E39" s="7">
        <v>188209</v>
      </c>
      <c r="F39" s="8">
        <f>E39/D39</f>
        <v>0.39030262560320855</v>
      </c>
    </row>
    <row r="40" spans="1:6" ht="12.75">
      <c r="A40" s="1"/>
      <c r="B40" s="5">
        <v>45786</v>
      </c>
      <c r="C40" s="6">
        <v>86.74</v>
      </c>
      <c r="D40" s="7">
        <v>858008</v>
      </c>
      <c r="E40" s="7">
        <v>267422</v>
      </c>
      <c r="F40" s="8">
        <f>E40/D40</f>
        <v>0.31167774659443737</v>
      </c>
    </row>
    <row r="41" spans="1:6" ht="12.75">
      <c r="A41" s="1"/>
      <c r="B41" s="5">
        <v>45785</v>
      </c>
      <c r="C41" s="6">
        <v>87.38</v>
      </c>
      <c r="D41" s="7">
        <v>5616606</v>
      </c>
      <c r="E41" s="7">
        <v>1430462</v>
      </c>
      <c r="F41" s="8">
        <f>E41/D41</f>
        <v>0.25468441261502051</v>
      </c>
    </row>
    <row r="42" spans="1:6" ht="12.75">
      <c r="A42" s="1"/>
      <c r="B42" s="5">
        <v>45784</v>
      </c>
      <c r="C42" s="6">
        <v>81.069999999999993</v>
      </c>
      <c r="D42" s="7">
        <v>231383</v>
      </c>
      <c r="E42" s="7">
        <v>53027</v>
      </c>
      <c r="F42" s="8">
        <f>E42/D42</f>
        <v>0.22917413984605611</v>
      </c>
    </row>
    <row r="43" spans="1:6" ht="12.75">
      <c r="A43" s="1"/>
      <c r="B43" s="5">
        <v>45783</v>
      </c>
      <c r="C43" s="6">
        <v>80.849999999999994</v>
      </c>
      <c r="D43" s="7">
        <v>124425</v>
      </c>
      <c r="E43" s="7">
        <v>59232</v>
      </c>
      <c r="F43" s="8">
        <f>E43/D43</f>
        <v>0.47604581072935503</v>
      </c>
    </row>
    <row r="44" spans="1:6" ht="12.75">
      <c r="A44" s="1"/>
      <c r="B44" s="5">
        <v>45782</v>
      </c>
      <c r="C44" s="6">
        <v>86.02</v>
      </c>
      <c r="D44" s="7">
        <v>341069</v>
      </c>
      <c r="E44" s="7">
        <v>214825</v>
      </c>
      <c r="F44" s="8">
        <f>E44/D44</f>
        <v>0.62985788799333864</v>
      </c>
    </row>
    <row r="45" spans="1:6" ht="12.75">
      <c r="A45" s="1"/>
      <c r="B45" s="5">
        <v>45779</v>
      </c>
      <c r="C45" s="6">
        <v>82.50</v>
      </c>
      <c r="D45" s="7">
        <v>85362</v>
      </c>
      <c r="E45" s="7">
        <v>24591</v>
      </c>
      <c r="F45" s="8">
        <f>E45/D45</f>
        <v>0.28807900470935544</v>
      </c>
    </row>
    <row r="46" spans="1:6" ht="12.75">
      <c r="A46" s="1"/>
      <c r="B46" s="5">
        <v>45777</v>
      </c>
      <c r="C46" s="6">
        <v>81.459999999999994</v>
      </c>
      <c r="D46" s="7">
        <v>54253</v>
      </c>
      <c r="E46" s="7">
        <v>27230</v>
      </c>
      <c r="F46" s="8">
        <f>E46/D46</f>
        <v>0.50190772860486976</v>
      </c>
    </row>
    <row r="47" spans="1:6" ht="12.75">
      <c r="A47" s="1"/>
      <c r="B47" s="5">
        <v>45776</v>
      </c>
      <c r="C47" s="6">
        <v>81.290000000000006</v>
      </c>
      <c r="D47" s="7">
        <v>113328</v>
      </c>
      <c r="E47" s="7">
        <v>62765</v>
      </c>
      <c r="F47" s="8">
        <f>E47/D47</f>
        <v>0.55383488634759281</v>
      </c>
    </row>
    <row r="48" spans="1:6" ht="12.75">
      <c r="A48" s="1"/>
      <c r="B48" s="5">
        <v>45775</v>
      </c>
      <c r="C48" s="6">
        <v>82.11</v>
      </c>
      <c r="D48" s="7">
        <v>303502</v>
      </c>
      <c r="E48" s="7">
        <v>152419</v>
      </c>
      <c r="F48" s="8">
        <f>E48/D48</f>
        <v>0.50220097396392771</v>
      </c>
    </row>
    <row r="49" spans="1:6" ht="12.75">
      <c r="A49" s="1"/>
      <c r="B49" s="5">
        <v>45772</v>
      </c>
      <c r="C49" s="6">
        <v>85.05</v>
      </c>
      <c r="D49" s="7">
        <v>293909</v>
      </c>
      <c r="E49" s="7">
        <v>65682</v>
      </c>
      <c r="F49" s="8">
        <f>E49/D49</f>
        <v>0.22347733482132223</v>
      </c>
    </row>
    <row r="50" spans="1:6" ht="12.75">
      <c r="A50" s="1"/>
      <c r="B50" s="5">
        <v>45771</v>
      </c>
      <c r="C50" s="6">
        <v>88.14</v>
      </c>
      <c r="D50" s="7">
        <v>336186</v>
      </c>
      <c r="E50" s="7">
        <v>118251</v>
      </c>
      <c r="F50" s="8">
        <f>E50/D50</f>
        <v>0.35174278524388286</v>
      </c>
    </row>
    <row r="51" spans="1:6" ht="12.75">
      <c r="A51" s="1"/>
      <c r="B51" s="5">
        <v>45770</v>
      </c>
      <c r="C51" s="6">
        <v>83.76</v>
      </c>
      <c r="D51" s="7">
        <v>1522790</v>
      </c>
      <c r="E51" s="7">
        <v>338889</v>
      </c>
      <c r="F51" s="8">
        <f>E51/D51</f>
        <v>0.22254480263201099</v>
      </c>
    </row>
    <row r="52" spans="1:6" ht="12.75">
      <c r="A52" s="1"/>
      <c r="B52" s="5">
        <v>45769</v>
      </c>
      <c r="C52" s="6">
        <v>77.48</v>
      </c>
      <c r="D52" s="7">
        <v>64212</v>
      </c>
      <c r="E52" s="7">
        <v>33189</v>
      </c>
      <c r="F52" s="8">
        <f>E52/D52</f>
        <v>0.51686600635395252</v>
      </c>
    </row>
    <row r="53" spans="1:6" ht="12.75">
      <c r="A53" s="1"/>
      <c r="B53" s="5">
        <v>45768</v>
      </c>
      <c r="C53" s="6">
        <v>78</v>
      </c>
      <c r="D53" s="7">
        <v>76446</v>
      </c>
      <c r="E53" s="7">
        <v>43950</v>
      </c>
      <c r="F53" s="8">
        <f>E53/D53</f>
        <v>0.57491562671689822</v>
      </c>
    </row>
    <row r="54" spans="1:6" ht="12.75">
      <c r="A54" s="1"/>
      <c r="B54" s="5">
        <v>45764</v>
      </c>
      <c r="C54" s="6">
        <v>75.819999999999993</v>
      </c>
      <c r="D54" s="7">
        <v>14248</v>
      </c>
      <c r="E54" s="7">
        <v>6816</v>
      </c>
      <c r="F54" s="8">
        <f>E54/D54</f>
        <v>0.47838293093767548</v>
      </c>
    </row>
    <row r="55" spans="1:6" ht="12.75">
      <c r="A55" s="1"/>
      <c r="B55" s="5">
        <v>45763</v>
      </c>
      <c r="C55" s="6">
        <v>76.06</v>
      </c>
      <c r="D55" s="7">
        <v>50271</v>
      </c>
      <c r="E55" s="7">
        <v>40328</v>
      </c>
      <c r="F55" s="8">
        <f>E55/D55</f>
        <v>0.80221201090091698</v>
      </c>
    </row>
    <row r="56" spans="1:6" ht="12.75">
      <c r="A56" s="1"/>
      <c r="B56" s="5">
        <v>45762</v>
      </c>
      <c r="C56" s="6">
        <v>74.53</v>
      </c>
      <c r="D56" s="7">
        <v>8250</v>
      </c>
      <c r="E56" s="7">
        <v>4461</v>
      </c>
      <c r="F56" s="8">
        <f>E56/D56</f>
        <v>0.54072727272727272</v>
      </c>
    </row>
    <row r="57" spans="1:6" ht="12.75">
      <c r="A57" s="1"/>
      <c r="B57" s="5">
        <v>45758</v>
      </c>
      <c r="C57" s="6">
        <v>73.790000000000006</v>
      </c>
      <c r="D57" s="7">
        <v>18292</v>
      </c>
      <c r="E57" s="7">
        <v>10817</v>
      </c>
      <c r="F57" s="8">
        <f>E57/D57</f>
        <v>0.59135141045265693</v>
      </c>
    </row>
    <row r="58" spans="1:6" ht="12.75">
      <c r="A58" s="1"/>
      <c r="B58" s="5">
        <v>45756</v>
      </c>
      <c r="C58" s="6">
        <v>73.50</v>
      </c>
      <c r="D58" s="7">
        <v>11342</v>
      </c>
      <c r="E58" s="7">
        <v>5287</v>
      </c>
      <c r="F58" s="8">
        <f>E58/D58</f>
        <v>0.46614353729500968</v>
      </c>
    </row>
    <row r="59" spans="1:6" ht="12.75">
      <c r="A59" s="1"/>
      <c r="B59" s="5">
        <v>45755</v>
      </c>
      <c r="C59" s="6">
        <v>72.89</v>
      </c>
      <c r="D59" s="7">
        <v>64886</v>
      </c>
      <c r="E59" s="7">
        <v>37425</v>
      </c>
      <c r="F59" s="8">
        <f>E59/D59</f>
        <v>0.57678081558425542</v>
      </c>
    </row>
    <row r="60" spans="1:6" ht="12.75">
      <c r="A60" s="1"/>
      <c r="B60" s="5">
        <v>45754</v>
      </c>
      <c r="C60" s="6">
        <v>71.78</v>
      </c>
      <c r="D60" s="7">
        <v>90508</v>
      </c>
      <c r="E60" s="7">
        <v>45473</v>
      </c>
      <c r="F60" s="8">
        <f>E60/D60</f>
        <v>0.50241967560878598</v>
      </c>
    </row>
    <row r="61" spans="1:6" ht="12.75">
      <c r="A61" s="1"/>
      <c r="B61" s="5">
        <v>45751</v>
      </c>
      <c r="C61" s="6">
        <v>74.52</v>
      </c>
      <c r="D61" s="7">
        <v>44484</v>
      </c>
      <c r="E61" s="7">
        <v>30391</v>
      </c>
      <c r="F61" s="8">
        <f>E61/D61</f>
        <v>0.68318946137937231</v>
      </c>
    </row>
    <row r="62" spans="1:6" ht="12.75">
      <c r="A62" s="1"/>
      <c r="B62" s="5">
        <v>45750</v>
      </c>
      <c r="C62" s="6">
        <v>75.84</v>
      </c>
      <c r="D62" s="7">
        <v>26031</v>
      </c>
      <c r="E62" s="7">
        <v>14360</v>
      </c>
      <c r="F62" s="8">
        <f>E62/D62</f>
        <v>0.55164995582190468</v>
      </c>
    </row>
    <row r="63" spans="1:6" ht="12.75">
      <c r="A63" s="1"/>
      <c r="B63" s="5">
        <v>45749</v>
      </c>
      <c r="C63" s="6">
        <v>76.56</v>
      </c>
      <c r="D63" s="7">
        <v>19555</v>
      </c>
      <c r="E63" s="7">
        <v>7229</v>
      </c>
      <c r="F63" s="8">
        <f>E63/D63</f>
        <v>0.36967527486576324</v>
      </c>
    </row>
    <row r="64" spans="1:6" ht="12.75">
      <c r="A64" s="1"/>
      <c r="B64" s="5">
        <v>45748</v>
      </c>
      <c r="C64" s="6">
        <v>75.87</v>
      </c>
      <c r="D64" s="7">
        <v>24078</v>
      </c>
      <c r="E64" s="7">
        <v>7847</v>
      </c>
      <c r="F64" s="8">
        <f>E64/D64</f>
        <v>0.3258991610598887</v>
      </c>
    </row>
    <row r="65" spans="1:6" ht="12.75">
      <c r="A65" s="1"/>
      <c r="B65" s="5">
        <v>45744</v>
      </c>
      <c r="C65" s="6">
        <v>78.010000000000005</v>
      </c>
      <c r="D65" s="7">
        <v>92253</v>
      </c>
      <c r="E65" s="7">
        <v>32822</v>
      </c>
      <c r="F65" s="8">
        <f>E65/D65</f>
        <v>0.35578246777882561</v>
      </c>
    </row>
    <row r="66" spans="1:6" ht="12.75">
      <c r="A66" s="1"/>
      <c r="B66" s="5">
        <v>45743</v>
      </c>
      <c r="C66" s="6">
        <v>76.56</v>
      </c>
      <c r="D66" s="7">
        <v>161062</v>
      </c>
      <c r="E66" s="7">
        <v>94799</v>
      </c>
      <c r="F66" s="8">
        <f>E66/D66</f>
        <v>0.58858700376252626</v>
      </c>
    </row>
    <row r="67" spans="1:6" ht="12.75">
      <c r="A67" s="1"/>
      <c r="B67" s="5">
        <v>45742</v>
      </c>
      <c r="C67" s="6">
        <v>71.599999999999994</v>
      </c>
      <c r="D67" s="7">
        <v>67907</v>
      </c>
      <c r="E67" s="7">
        <v>39222</v>
      </c>
      <c r="F67" s="8">
        <f>E67/D67</f>
        <v>0.57758404877258607</v>
      </c>
    </row>
    <row r="68" spans="1:6" ht="12.75">
      <c r="A68" s="1"/>
      <c r="B68" s="5">
        <v>45741</v>
      </c>
      <c r="C68" s="6">
        <v>72.12</v>
      </c>
      <c r="D68" s="7">
        <v>80706</v>
      </c>
      <c r="E68" s="7">
        <v>49536</v>
      </c>
      <c r="F68" s="8">
        <f>E68/D68</f>
        <v>0.61378336183183402</v>
      </c>
    </row>
    <row r="69" spans="1:6" ht="12.75">
      <c r="A69" s="1"/>
      <c r="B69" s="5">
        <v>45740</v>
      </c>
      <c r="C69" s="6">
        <v>74.22</v>
      </c>
      <c r="D69" s="7">
        <v>69936</v>
      </c>
      <c r="E69" s="7">
        <v>28273</v>
      </c>
      <c r="F69" s="8">
        <f>E69/D69</f>
        <v>0.40426961793639898</v>
      </c>
    </row>
    <row r="70" spans="1:6" ht="12.75">
      <c r="A70" s="1"/>
      <c r="B70" s="5">
        <v>45737</v>
      </c>
      <c r="C70" s="6">
        <v>74.709999999999994</v>
      </c>
      <c r="D70" s="7">
        <v>45203</v>
      </c>
      <c r="E70" s="7">
        <v>16952</v>
      </c>
      <c r="F70" s="8">
        <f>E70/D70</f>
        <v>0.37501935712231488</v>
      </c>
    </row>
    <row r="71" spans="1:6" ht="12.75">
      <c r="A71" s="1"/>
      <c r="B71" s="5">
        <v>45736</v>
      </c>
      <c r="C71" s="6">
        <v>74.88</v>
      </c>
      <c r="D71" s="7">
        <v>109575</v>
      </c>
      <c r="E71" s="7">
        <v>57312</v>
      </c>
      <c r="F71" s="8">
        <f>E71/D71</f>
        <v>0.52303901437371658</v>
      </c>
    </row>
    <row r="72" spans="1:6" ht="12.75">
      <c r="A72" s="1"/>
      <c r="B72" s="5">
        <v>45735</v>
      </c>
      <c r="C72" s="6">
        <v>72.33</v>
      </c>
      <c r="D72" s="7">
        <v>20643</v>
      </c>
      <c r="E72" s="7">
        <v>9612</v>
      </c>
      <c r="F72" s="8">
        <f>E72/D72</f>
        <v>0.4656299956401686</v>
      </c>
    </row>
    <row r="73" spans="1:6" ht="12.75">
      <c r="A73" s="1"/>
      <c r="B73" s="5">
        <v>45734</v>
      </c>
      <c r="C73" s="6">
        <v>71.290000000000006</v>
      </c>
      <c r="D73" s="7">
        <v>63913</v>
      </c>
      <c r="E73" s="7">
        <v>45313</v>
      </c>
      <c r="F73" s="8">
        <f>E73/D73</f>
        <v>0.70897939386353326</v>
      </c>
    </row>
    <row r="74" spans="1:6" ht="12.75">
      <c r="A74" s="1"/>
      <c r="B74" s="5">
        <v>45733</v>
      </c>
      <c r="C74" s="6">
        <v>70.87</v>
      </c>
      <c r="D74" s="7">
        <v>17299</v>
      </c>
      <c r="E74" s="7">
        <v>8264</v>
      </c>
      <c r="F74" s="8">
        <f>E74/D74</f>
        <v>0.47771547488294119</v>
      </c>
    </row>
    <row r="75" spans="1:6" ht="12.75">
      <c r="A75" s="1"/>
      <c r="B75" s="5">
        <v>45729</v>
      </c>
      <c r="C75" s="6">
        <v>71.14</v>
      </c>
      <c r="D75" s="7">
        <v>35022</v>
      </c>
      <c r="E75" s="7">
        <v>19207</v>
      </c>
      <c r="F75" s="8">
        <f>E75/D75</f>
        <v>0.54842670321512188</v>
      </c>
    </row>
    <row r="76" spans="1:6" ht="12.75">
      <c r="A76" s="1"/>
      <c r="B76" s="5">
        <v>45728</v>
      </c>
      <c r="C76" s="6">
        <v>72.150000000000006</v>
      </c>
      <c r="D76" s="7">
        <v>44398</v>
      </c>
      <c r="E76" s="7">
        <v>27869</v>
      </c>
      <c r="F76" s="8">
        <f>E76/D76</f>
        <v>0.62770845533582598</v>
      </c>
    </row>
    <row r="77" spans="1:6" ht="12.75">
      <c r="A77" s="1"/>
      <c r="B77" s="5">
        <v>45727</v>
      </c>
      <c r="C77" s="6">
        <v>71.12</v>
      </c>
      <c r="D77" s="7">
        <v>41400</v>
      </c>
      <c r="E77" s="7">
        <v>16186</v>
      </c>
      <c r="F77" s="8">
        <f>E77/D77</f>
        <v>0.39096618357487922</v>
      </c>
    </row>
    <row r="78" spans="1:6" ht="12.75">
      <c r="A78" s="1"/>
      <c r="B78" s="5">
        <v>45726</v>
      </c>
      <c r="C78" s="6">
        <v>71.16</v>
      </c>
      <c r="D78" s="7">
        <v>20395</v>
      </c>
      <c r="E78" s="7">
        <v>10111</v>
      </c>
      <c r="F78" s="8">
        <f>E78/D78</f>
        <v>0.49575876440303995</v>
      </c>
    </row>
    <row r="79" spans="1:6" ht="12.75">
      <c r="A79" s="1"/>
      <c r="B79" s="5">
        <v>45723</v>
      </c>
      <c r="C79" s="6">
        <v>72.28</v>
      </c>
      <c r="D79" s="7">
        <v>86584</v>
      </c>
      <c r="E79" s="7">
        <v>45591</v>
      </c>
      <c r="F79" s="8">
        <f>E79/D79</f>
        <v>0.52655224983830728</v>
      </c>
    </row>
    <row r="80" spans="1:6" ht="12.75">
      <c r="A80" s="1"/>
      <c r="B80" s="5">
        <v>45722</v>
      </c>
      <c r="C80" s="6">
        <v>71.12</v>
      </c>
      <c r="D80" s="7">
        <v>48656</v>
      </c>
      <c r="E80" s="7">
        <v>30224</v>
      </c>
      <c r="F80" s="8">
        <f>E80/D80</f>
        <v>0.62117724432752386</v>
      </c>
    </row>
    <row r="81" spans="1:6" ht="12.75">
      <c r="A81" s="1"/>
      <c r="B81" s="5">
        <v>45721</v>
      </c>
      <c r="C81" s="6">
        <v>73.25</v>
      </c>
      <c r="D81" s="7">
        <v>41945</v>
      </c>
      <c r="E81" s="7">
        <v>26946</v>
      </c>
      <c r="F81" s="8">
        <f>E81/D81</f>
        <v>0.64241268327571821</v>
      </c>
    </row>
    <row r="82" spans="1:6" ht="12.75">
      <c r="A82" s="1"/>
      <c r="B82" s="5">
        <v>45720</v>
      </c>
      <c r="C82" s="6">
        <v>72.459999999999994</v>
      </c>
      <c r="D82" s="7">
        <v>47191</v>
      </c>
      <c r="E82" s="7">
        <v>20846</v>
      </c>
      <c r="F82" s="8">
        <f>E82/D82</f>
        <v>0.44173677184208854</v>
      </c>
    </row>
    <row r="83" spans="1:6" ht="12.75">
      <c r="A83" s="1"/>
      <c r="B83" s="5">
        <v>45719</v>
      </c>
      <c r="C83" s="6">
        <v>71.14</v>
      </c>
      <c r="D83" s="7">
        <v>113088</v>
      </c>
      <c r="E83" s="7">
        <v>53421</v>
      </c>
      <c r="F83" s="8">
        <f>E83/D83</f>
        <v>0.47238433786078099</v>
      </c>
    </row>
    <row r="84" spans="1:6" ht="12.75">
      <c r="A84" s="1"/>
      <c r="B84" s="5">
        <v>45716</v>
      </c>
      <c r="C84" s="6">
        <v>73.010000000000005</v>
      </c>
      <c r="D84" s="7">
        <v>42636</v>
      </c>
      <c r="E84" s="7">
        <v>25784</v>
      </c>
      <c r="F84" s="8">
        <f>E84/D84</f>
        <v>0.60474716202270384</v>
      </c>
    </row>
    <row r="85" spans="1:6" ht="12.75">
      <c r="A85" s="1"/>
      <c r="B85" s="5">
        <v>45715</v>
      </c>
      <c r="C85" s="6">
        <v>73.709999999999994</v>
      </c>
      <c r="D85" s="7">
        <v>98820</v>
      </c>
      <c r="E85" s="7">
        <v>59914</v>
      </c>
      <c r="F85" s="8">
        <f>E85/D85</f>
        <v>0.60629427241449096</v>
      </c>
    </row>
    <row r="86" spans="1:6" ht="12.75">
      <c r="A86" s="1"/>
      <c r="B86" s="5">
        <v>45713</v>
      </c>
      <c r="C86" s="6">
        <v>77.209999999999994</v>
      </c>
      <c r="D86" s="7">
        <v>38866</v>
      </c>
      <c r="E86" s="7">
        <v>26575</v>
      </c>
      <c r="F86" s="8">
        <f>E86/D86</f>
        <v>0.68375958421242222</v>
      </c>
    </row>
    <row r="87" spans="1:6" ht="12.75">
      <c r="A87" s="1"/>
      <c r="B87" s="5">
        <v>45712</v>
      </c>
      <c r="C87" s="6">
        <v>77.66</v>
      </c>
      <c r="D87" s="7">
        <v>155989</v>
      </c>
      <c r="E87" s="7">
        <v>73490</v>
      </c>
      <c r="F87" s="8">
        <f>E87/D87</f>
        <v>0.47112296379872942</v>
      </c>
    </row>
    <row r="88" spans="1:6" ht="12.75">
      <c r="A88" s="1"/>
      <c r="B88" s="5">
        <v>45709</v>
      </c>
      <c r="C88" s="6">
        <v>77.790000000000006</v>
      </c>
      <c r="D88" s="7">
        <v>97668</v>
      </c>
      <c r="E88" s="7">
        <v>57788</v>
      </c>
      <c r="F88" s="8">
        <f>E88/D88</f>
        <v>0.59167792931154528</v>
      </c>
    </row>
    <row r="89" spans="1:6" ht="12.75">
      <c r="A89" s="1"/>
      <c r="B89" s="5">
        <v>45708</v>
      </c>
      <c r="C89" s="6">
        <v>77.05</v>
      </c>
      <c r="D89" s="7">
        <v>50466</v>
      </c>
      <c r="E89" s="7">
        <v>24362</v>
      </c>
      <c r="F89" s="8">
        <f>E89/D89</f>
        <v>0.48274085522926324</v>
      </c>
    </row>
    <row r="90" spans="1:6" ht="12.75">
      <c r="A90" s="1"/>
      <c r="B90" s="5">
        <v>45707</v>
      </c>
      <c r="C90" s="6">
        <v>75.040000000000006</v>
      </c>
      <c r="D90" s="7">
        <v>76620</v>
      </c>
      <c r="E90" s="7">
        <v>39512</v>
      </c>
      <c r="F90" s="8">
        <f>E90/D90</f>
        <v>0.51568780997128683</v>
      </c>
    </row>
    <row r="91" spans="1:6" ht="12.75">
      <c r="A91" s="1"/>
      <c r="B91" s="5">
        <v>45706</v>
      </c>
      <c r="C91" s="6">
        <v>75.349999999999994</v>
      </c>
      <c r="D91" s="7">
        <v>115474</v>
      </c>
      <c r="E91" s="7">
        <v>73419</v>
      </c>
      <c r="F91" s="8">
        <f>E91/D91</f>
        <v>0.63580546270156058</v>
      </c>
    </row>
    <row r="92" spans="1:6" ht="12.75">
      <c r="A92" s="1"/>
      <c r="B92" s="5">
        <v>45705</v>
      </c>
      <c r="C92" s="6">
        <v>76.94</v>
      </c>
      <c r="D92" s="7">
        <v>51317</v>
      </c>
      <c r="E92" s="7">
        <v>23281</v>
      </c>
      <c r="F92" s="8">
        <f>E92/D92</f>
        <v>0.4536703236744159</v>
      </c>
    </row>
    <row r="93" spans="1:6" ht="12.75">
      <c r="A93" s="1"/>
      <c r="B93" s="5">
        <v>45702</v>
      </c>
      <c r="C93" s="6">
        <v>79.47</v>
      </c>
      <c r="D93" s="7">
        <v>63193</v>
      </c>
      <c r="E93" s="7">
        <v>24252</v>
      </c>
      <c r="F93" s="8">
        <f>E93/D93</f>
        <v>0.38377668412640642</v>
      </c>
    </row>
    <row r="94" spans="1:6" ht="12.75">
      <c r="A94" s="1"/>
      <c r="B94" s="5">
        <v>45701</v>
      </c>
      <c r="C94" s="6">
        <v>79.959999999999994</v>
      </c>
      <c r="D94" s="7">
        <v>63620</v>
      </c>
      <c r="E94" s="7">
        <v>40943</v>
      </c>
      <c r="F94" s="8">
        <f>E94/D94</f>
        <v>0.64355548569632193</v>
      </c>
    </row>
    <row r="95" spans="1:6" ht="12.75">
      <c r="A95" s="1"/>
      <c r="B95" s="5">
        <v>45700</v>
      </c>
      <c r="C95" s="6">
        <v>79.290000000000006</v>
      </c>
      <c r="D95" s="7">
        <v>60435</v>
      </c>
      <c r="E95" s="7">
        <v>39155</v>
      </c>
      <c r="F95" s="8">
        <f>E95/D95</f>
        <v>0.64788615868288246</v>
      </c>
    </row>
    <row r="96" spans="1:6" ht="12.75">
      <c r="A96" s="1"/>
      <c r="B96" s="5">
        <v>45699</v>
      </c>
      <c r="C96" s="6">
        <v>79.94</v>
      </c>
      <c r="D96" s="7">
        <v>97368</v>
      </c>
      <c r="E96" s="7">
        <v>29200</v>
      </c>
      <c r="F96" s="8">
        <f>E96/D96</f>
        <v>0.29989318872730258</v>
      </c>
    </row>
    <row r="97" spans="1:6" ht="12.75">
      <c r="A97" s="1"/>
      <c r="B97" s="5">
        <v>45698</v>
      </c>
      <c r="C97" s="6">
        <v>81.400000000000006</v>
      </c>
      <c r="D97" s="7">
        <v>75205</v>
      </c>
      <c r="E97" s="7">
        <v>22921</v>
      </c>
      <c r="F97" s="8">
        <f>E97/D97</f>
        <v>0.30478026726946345</v>
      </c>
    </row>
    <row r="98" spans="1:6" ht="12.75">
      <c r="A98" s="1"/>
      <c r="B98" s="5">
        <v>45695</v>
      </c>
      <c r="C98" s="6">
        <v>79.48</v>
      </c>
      <c r="D98" s="7">
        <v>118650</v>
      </c>
      <c r="E98" s="7">
        <v>55923</v>
      </c>
      <c r="F98" s="8">
        <f>E98/D98</f>
        <v>0.47132743362831858</v>
      </c>
    </row>
    <row r="99" spans="1:6" ht="12.75">
      <c r="A99" s="1"/>
      <c r="B99" s="5">
        <v>45694</v>
      </c>
      <c r="C99" s="6">
        <v>81.13</v>
      </c>
      <c r="D99" s="7">
        <v>136120</v>
      </c>
      <c r="E99" s="7">
        <v>65955</v>
      </c>
      <c r="F99" s="8">
        <f>E99/D99</f>
        <v>0.48453570379077282</v>
      </c>
    </row>
    <row r="100" spans="1:6" ht="12.75">
      <c r="A100" s="1"/>
      <c r="B100" s="5">
        <v>45693</v>
      </c>
      <c r="C100" s="6">
        <v>80.930000000000007</v>
      </c>
      <c r="D100" s="7">
        <v>249461</v>
      </c>
      <c r="E100" s="7">
        <v>141097</v>
      </c>
      <c r="F100" s="8">
        <f>E100/D100</f>
        <v>0.56560744966147014</v>
      </c>
    </row>
    <row r="101" spans="1:6" ht="12.75">
      <c r="A101" s="1"/>
      <c r="B101" s="5">
        <v>45692</v>
      </c>
      <c r="C101" s="6">
        <v>82.16</v>
      </c>
      <c r="D101" s="7">
        <v>91326</v>
      </c>
      <c r="E101" s="7">
        <v>32916</v>
      </c>
      <c r="F101" s="8">
        <f>E101/D101</f>
        <v>0.36042309966493657</v>
      </c>
    </row>
    <row r="102" spans="1:6" ht="12.75">
      <c r="A102" s="1"/>
      <c r="B102" s="5">
        <v>45691</v>
      </c>
      <c r="C102" s="6">
        <v>81.09</v>
      </c>
      <c r="D102" s="7">
        <v>203811</v>
      </c>
      <c r="E102" s="7">
        <v>89880</v>
      </c>
      <c r="F102" s="8">
        <f>E102/D102</f>
        <v>0.4409968058642566</v>
      </c>
    </row>
    <row r="103" spans="1:6" ht="12.75">
      <c r="A103" s="1"/>
      <c r="B103" s="5">
        <v>45689</v>
      </c>
      <c r="C103" s="6">
        <v>79.36</v>
      </c>
      <c r="D103" s="7">
        <v>445514</v>
      </c>
      <c r="E103" s="7"/>
      <c r="F103" s="8">
        <f>E103/D103</f>
        <v>0</v>
      </c>
    </row>
    <row r="104" spans="1:6" ht="12.75">
      <c r="A104" s="1"/>
      <c r="B104" s="5">
        <v>45688</v>
      </c>
      <c r="C104" s="6">
        <v>81.150000000000006</v>
      </c>
      <c r="D104" s="7">
        <v>138979</v>
      </c>
      <c r="E104" s="7">
        <v>45241</v>
      </c>
      <c r="F104" s="8">
        <f>E104/D104</f>
        <v>0.32552400002878135</v>
      </c>
    </row>
    <row r="105" spans="1:6" ht="12.75">
      <c r="A105" s="1"/>
      <c r="B105" s="5">
        <v>45687</v>
      </c>
      <c r="C105" s="6">
        <v>79.38</v>
      </c>
      <c r="D105" s="7">
        <v>209163</v>
      </c>
      <c r="E105" s="7">
        <v>66094</v>
      </c>
      <c r="F105" s="8">
        <f>E105/D105</f>
        <v>0.31599279031186206</v>
      </c>
    </row>
    <row r="106" spans="1:6" ht="12.75">
      <c r="A106" s="1"/>
      <c r="B106" s="5">
        <v>45686</v>
      </c>
      <c r="C106" s="6">
        <v>80.59</v>
      </c>
      <c r="D106" s="7">
        <v>145063</v>
      </c>
      <c r="E106" s="7">
        <v>51127</v>
      </c>
      <c r="F106" s="8">
        <f>E106/D106</f>
        <v>0.35244686791256213</v>
      </c>
    </row>
    <row r="107" spans="1:6" ht="12.75">
      <c r="A107" s="1"/>
      <c r="B107" s="5">
        <v>45685</v>
      </c>
      <c r="C107" s="6">
        <v>76.34</v>
      </c>
      <c r="D107" s="7">
        <v>172404</v>
      </c>
      <c r="E107" s="7">
        <v>72155</v>
      </c>
      <c r="F107" s="8">
        <f>E107/D107</f>
        <v>0.4185227720934549</v>
      </c>
    </row>
    <row r="108" spans="1:6" ht="12.75">
      <c r="A108" s="1"/>
      <c r="B108" s="5">
        <v>45684</v>
      </c>
      <c r="C108" s="6">
        <v>75.25</v>
      </c>
      <c r="D108" s="7">
        <v>238383</v>
      </c>
      <c r="E108" s="7">
        <v>124864</v>
      </c>
      <c r="F108" s="8">
        <f>E108/D108</f>
        <v>0.52379574046807031</v>
      </c>
    </row>
    <row r="109" spans="1:6" ht="12.75">
      <c r="A109" s="1"/>
      <c r="B109" s="5">
        <v>45681</v>
      </c>
      <c r="C109" s="6">
        <v>78.95</v>
      </c>
      <c r="D109" s="7">
        <v>134402</v>
      </c>
      <c r="E109" s="7">
        <v>72846</v>
      </c>
      <c r="F109" s="8">
        <f>E109/D109</f>
        <v>0.54200086308239459</v>
      </c>
    </row>
    <row r="110" spans="1:6" ht="12.75">
      <c r="A110" s="1"/>
      <c r="B110" s="5">
        <v>45680</v>
      </c>
      <c r="C110" s="6">
        <v>81.17</v>
      </c>
      <c r="D110" s="7">
        <v>61160</v>
      </c>
      <c r="E110" s="7">
        <v>26090</v>
      </c>
      <c r="F110" s="8">
        <f>E110/D110</f>
        <v>0.42658600392413343</v>
      </c>
    </row>
    <row r="111" spans="1:6" ht="12.75">
      <c r="A111" s="1"/>
      <c r="B111" s="5">
        <v>45679</v>
      </c>
      <c r="C111" s="6">
        <v>79.47</v>
      </c>
      <c r="D111" s="7">
        <v>155416</v>
      </c>
      <c r="E111" s="7">
        <v>60446</v>
      </c>
      <c r="F111" s="8">
        <f>E111/D111</f>
        <v>0.38893035466103876</v>
      </c>
    </row>
    <row r="112" spans="1:6" ht="12.75">
      <c r="A112" s="1"/>
      <c r="B112" s="5">
        <v>45678</v>
      </c>
      <c r="C112" s="6">
        <v>81.20</v>
      </c>
      <c r="D112" s="7">
        <v>80920</v>
      </c>
      <c r="E112" s="7">
        <v>33025</v>
      </c>
      <c r="F112" s="8">
        <f>E112/D112</f>
        <v>0.40811913000494315</v>
      </c>
    </row>
    <row r="113" spans="1:6" ht="12.75">
      <c r="A113" s="1"/>
      <c r="B113" s="5">
        <v>45677</v>
      </c>
      <c r="C113" s="6">
        <v>83.04</v>
      </c>
      <c r="D113" s="7">
        <v>95971</v>
      </c>
      <c r="E113" s="7">
        <v>49556</v>
      </c>
      <c r="F113" s="8">
        <f>E113/D113</f>
        <v>0.51636431838784635</v>
      </c>
    </row>
    <row r="114" spans="1:6" ht="12.75">
      <c r="A114" s="1"/>
      <c r="B114" s="5">
        <v>45674</v>
      </c>
      <c r="C114" s="6">
        <v>81.34</v>
      </c>
      <c r="D114" s="7">
        <v>160726</v>
      </c>
      <c r="E114" s="7">
        <v>100174</v>
      </c>
      <c r="F114" s="8">
        <f>E114/D114</f>
        <v>0.62325946019934542</v>
      </c>
    </row>
    <row r="115" spans="1:6" ht="12.75">
      <c r="A115" s="1"/>
      <c r="B115" s="5">
        <v>45673</v>
      </c>
      <c r="C115" s="6">
        <v>82.01</v>
      </c>
      <c r="D115" s="7">
        <v>311082</v>
      </c>
      <c r="E115" s="7">
        <v>188013</v>
      </c>
      <c r="F115" s="8">
        <f>E115/D115</f>
        <v>0.60438405307925247</v>
      </c>
    </row>
    <row r="116" spans="1:6" ht="12.75">
      <c r="A116" s="1"/>
      <c r="B116" s="5">
        <v>45672</v>
      </c>
      <c r="C116" s="6">
        <v>78.680000000000007</v>
      </c>
      <c r="D116" s="7">
        <v>118017</v>
      </c>
      <c r="E116" s="7">
        <v>49131</v>
      </c>
      <c r="F116" s="8">
        <f>E116/D116</f>
        <v>0.41630443071760848</v>
      </c>
    </row>
    <row r="117" spans="1:6" ht="12.75">
      <c r="A117" s="1"/>
      <c r="B117" s="5">
        <v>45671</v>
      </c>
      <c r="C117" s="6">
        <v>77.55</v>
      </c>
      <c r="D117" s="7">
        <v>112560</v>
      </c>
      <c r="E117" s="7">
        <v>46646</v>
      </c>
      <c r="F117" s="8">
        <f>E117/D117</f>
        <v>0.41441009239516702</v>
      </c>
    </row>
    <row r="118" spans="1:6" ht="12.75">
      <c r="A118" s="1"/>
      <c r="B118" s="5">
        <v>45670</v>
      </c>
      <c r="C118" s="6">
        <v>75.260000000000005</v>
      </c>
      <c r="D118" s="7">
        <v>129593</v>
      </c>
      <c r="E118" s="7">
        <v>60636</v>
      </c>
      <c r="F118" s="8">
        <f>E118/D118</f>
        <v>0.46789564251155541</v>
      </c>
    </row>
    <row r="119" spans="1:6" ht="12.75">
      <c r="A119" s="1"/>
      <c r="B119" s="5">
        <v>45667</v>
      </c>
      <c r="C119" s="6">
        <v>76.959999999999994</v>
      </c>
      <c r="D119" s="7">
        <v>208890</v>
      </c>
      <c r="E119" s="7">
        <v>96939</v>
      </c>
      <c r="F119" s="8">
        <f>E119/D119</f>
        <v>0.46406721240844462</v>
      </c>
    </row>
    <row r="120" spans="1:6" ht="12.75">
      <c r="A120" s="1"/>
      <c r="B120" s="5">
        <v>45666</v>
      </c>
      <c r="C120" s="6">
        <v>77.95</v>
      </c>
      <c r="D120" s="7">
        <v>65085</v>
      </c>
      <c r="E120" s="7">
        <v>23888</v>
      </c>
      <c r="F120" s="8">
        <f>E120/D120</f>
        <v>0.3670277329645848</v>
      </c>
    </row>
    <row r="121" spans="1:6" ht="12.75">
      <c r="A121" s="1"/>
      <c r="B121" s="5">
        <v>45665</v>
      </c>
      <c r="C121" s="6">
        <v>79.22</v>
      </c>
      <c r="D121" s="7">
        <v>185288</v>
      </c>
      <c r="E121" s="7">
        <v>79871</v>
      </c>
      <c r="F121" s="8">
        <f>E121/D121</f>
        <v>0.43106407322654461</v>
      </c>
    </row>
    <row r="122" spans="1:6" ht="12.75">
      <c r="A122" s="1"/>
      <c r="B122" s="5">
        <v>45664</v>
      </c>
      <c r="C122" s="6">
        <v>80.42</v>
      </c>
      <c r="D122" s="7">
        <v>200550</v>
      </c>
      <c r="E122" s="7">
        <v>94574</v>
      </c>
      <c r="F122" s="8">
        <f>E122/D122</f>
        <v>0.47157317377212665</v>
      </c>
    </row>
    <row r="123" spans="1:6" ht="12.75">
      <c r="A123" s="1"/>
      <c r="B123" s="5">
        <v>45663</v>
      </c>
      <c r="C123" s="6">
        <v>78.959999999999994</v>
      </c>
      <c r="D123" s="7">
        <v>182608</v>
      </c>
      <c r="E123" s="7">
        <v>98916</v>
      </c>
      <c r="F123" s="8">
        <f>E123/D123</f>
        <v>0.54168492070445984</v>
      </c>
    </row>
    <row r="124" spans="1:6" ht="12.75">
      <c r="A124" s="1"/>
      <c r="B124" s="5">
        <v>45660</v>
      </c>
      <c r="C124" s="6">
        <v>83.12</v>
      </c>
      <c r="D124" s="7">
        <v>319905</v>
      </c>
      <c r="E124" s="7">
        <v>130187</v>
      </c>
      <c r="F124" s="8">
        <f>E124/D124</f>
        <v>0.40695518982197842</v>
      </c>
    </row>
    <row r="125" spans="1:6" ht="12.75">
      <c r="A125" s="1"/>
      <c r="B125" s="5">
        <v>45659</v>
      </c>
      <c r="C125" s="6">
        <v>82.35</v>
      </c>
      <c r="D125" s="7">
        <v>349186</v>
      </c>
      <c r="E125" s="7">
        <v>201206</v>
      </c>
      <c r="F125" s="8">
        <f>E125/D125</f>
        <v>0.5762143957661533</v>
      </c>
    </row>
    <row r="126" spans="1:6" ht="12.75">
      <c r="A126" s="1"/>
      <c r="B126" s="5">
        <v>45658</v>
      </c>
      <c r="C126" s="6">
        <v>83.82</v>
      </c>
      <c r="D126" s="7">
        <v>160058</v>
      </c>
      <c r="E126" s="7">
        <v>44799</v>
      </c>
      <c r="F126" s="8">
        <f>E126/D126</f>
        <v>0.27989228904522112</v>
      </c>
    </row>
    <row r="127" spans="1:6" ht="12.75">
      <c r="A127" s="1"/>
      <c r="B127" s="5">
        <v>45657</v>
      </c>
      <c r="C127" s="6">
        <v>83.84</v>
      </c>
      <c r="D127" s="7">
        <v>387456</v>
      </c>
      <c r="E127" s="7">
        <v>117965</v>
      </c>
      <c r="F127" s="8">
        <f>E127/D127</f>
        <v>0.30446037743640569</v>
      </c>
    </row>
    <row r="128" spans="1:6" ht="12.75">
      <c r="A128" s="1"/>
      <c r="B128" s="5">
        <v>45656</v>
      </c>
      <c r="C128" s="6">
        <v>78.78</v>
      </c>
      <c r="D128" s="7">
        <v>395103</v>
      </c>
      <c r="E128" s="7">
        <v>188229</v>
      </c>
      <c r="F128" s="8">
        <f>E128/D128</f>
        <v>0.47640488682697929</v>
      </c>
    </row>
    <row r="129" spans="1:6" ht="12.75">
      <c r="A129" s="1"/>
      <c r="B129" s="5">
        <v>45653</v>
      </c>
      <c r="C129" s="6">
        <v>79.72</v>
      </c>
      <c r="D129" s="7">
        <v>127297</v>
      </c>
      <c r="E129" s="7">
        <v>43369</v>
      </c>
      <c r="F129" s="8">
        <f>E129/D129</f>
        <v>0.34069145384415972</v>
      </c>
    </row>
    <row r="130" spans="1:6" ht="12.75">
      <c r="A130" s="1"/>
      <c r="B130" s="5">
        <v>45652</v>
      </c>
      <c r="C130" s="6">
        <v>81.05</v>
      </c>
      <c r="D130" s="7">
        <v>597064</v>
      </c>
      <c r="E130" s="7">
        <v>146584</v>
      </c>
      <c r="F130" s="8">
        <f>E130/D130</f>
        <v>0.24550801924081841</v>
      </c>
    </row>
    <row r="131" spans="1:6" ht="12.75">
      <c r="A131" s="1"/>
      <c r="B131" s="5">
        <v>45650</v>
      </c>
      <c r="C131" s="6">
        <v>76.09</v>
      </c>
      <c r="D131" s="7">
        <v>87509</v>
      </c>
      <c r="E131" s="7">
        <v>42704</v>
      </c>
      <c r="F131" s="8">
        <f>E131/D131</f>
        <v>0.48799552046075262</v>
      </c>
    </row>
    <row r="132" spans="1:6" ht="12.75">
      <c r="A132" s="1"/>
      <c r="B132" s="5">
        <v>45649</v>
      </c>
      <c r="C132" s="6">
        <v>76.52</v>
      </c>
      <c r="D132" s="7">
        <v>407428</v>
      </c>
      <c r="E132" s="7">
        <v>135005</v>
      </c>
      <c r="F132" s="8">
        <f>E132/D132</f>
        <v>0.33135916039152929</v>
      </c>
    </row>
    <row r="133" spans="1:6" ht="12.75">
      <c r="A133" s="1"/>
      <c r="B133" s="5">
        <v>45646</v>
      </c>
      <c r="C133" s="6">
        <v>76.37</v>
      </c>
      <c r="D133" s="7">
        <v>530921</v>
      </c>
      <c r="E133" s="7">
        <v>196080</v>
      </c>
      <c r="F133" s="8">
        <f>E133/D133</f>
        <v>0.36932048270835022</v>
      </c>
    </row>
    <row r="134" spans="1:6" ht="12.75">
      <c r="A134" s="1"/>
      <c r="B134" s="5">
        <v>45645</v>
      </c>
      <c r="C134" s="6">
        <v>79.88</v>
      </c>
      <c r="D134" s="7">
        <v>157908</v>
      </c>
      <c r="E134" s="7">
        <v>71004</v>
      </c>
      <c r="F134" s="8">
        <f>E134/D134</f>
        <v>0.44965422904476027</v>
      </c>
    </row>
    <row r="135" spans="1:6" ht="12.75">
      <c r="A135" s="1"/>
      <c r="B135" s="5">
        <v>45644</v>
      </c>
      <c r="C135" s="6">
        <v>81.319999999999993</v>
      </c>
      <c r="D135" s="7">
        <v>166658</v>
      </c>
      <c r="E135" s="7">
        <v>85222</v>
      </c>
      <c r="F135" s="8">
        <f>E135/D135</f>
        <v>0.51135859064671363</v>
      </c>
    </row>
    <row r="136" spans="1:6" ht="12.75">
      <c r="A136" s="1"/>
      <c r="B136" s="5">
        <v>45643</v>
      </c>
      <c r="C136" s="6">
        <v>83.77</v>
      </c>
      <c r="D136" s="7">
        <v>156064</v>
      </c>
      <c r="E136" s="7">
        <v>72557</v>
      </c>
      <c r="F136" s="8">
        <f>E136/D136</f>
        <v>0.46491823867131432</v>
      </c>
    </row>
    <row r="137" spans="1:6" ht="12.75">
      <c r="A137" s="1"/>
      <c r="B137" s="5">
        <v>45642</v>
      </c>
      <c r="C137" s="6">
        <v>85.12</v>
      </c>
      <c r="D137" s="7">
        <v>162543</v>
      </c>
      <c r="E137" s="7">
        <v>56425</v>
      </c>
      <c r="F137" s="8">
        <f>E137/D137</f>
        <v>0.34713891093433735</v>
      </c>
    </row>
    <row r="138" spans="1:6" ht="12.75">
      <c r="A138" s="1"/>
      <c r="B138" s="5">
        <v>45639</v>
      </c>
      <c r="C138" s="6">
        <v>83.59</v>
      </c>
      <c r="D138" s="7">
        <v>456447</v>
      </c>
      <c r="E138" s="7">
        <v>171365</v>
      </c>
      <c r="F138" s="8">
        <f>E138/D138</f>
        <v>0.37543241603077687</v>
      </c>
    </row>
    <row r="139" spans="1:6" ht="12.75">
      <c r="A139" s="1"/>
      <c r="B139" s="5">
        <v>45638</v>
      </c>
      <c r="C139" s="6">
        <v>85.71</v>
      </c>
      <c r="D139" s="7">
        <v>537749</v>
      </c>
      <c r="E139" s="7">
        <v>305290</v>
      </c>
      <c r="F139" s="8">
        <f>E139/D139</f>
        <v>0.56771839650096978</v>
      </c>
    </row>
    <row r="140" spans="1:6" ht="12.75">
      <c r="A140" s="1"/>
      <c r="B140" s="5">
        <v>45637</v>
      </c>
      <c r="C140" s="6">
        <v>89.99</v>
      </c>
      <c r="D140" s="7">
        <v>125804</v>
      </c>
      <c r="E140" s="7">
        <v>59418</v>
      </c>
      <c r="F140" s="8">
        <f>E140/D140</f>
        <v>0.47230612699119268</v>
      </c>
    </row>
    <row r="141" spans="1:6" ht="12.75">
      <c r="A141" s="1"/>
      <c r="B141" s="5">
        <v>45636</v>
      </c>
      <c r="C141" s="6">
        <v>92.69</v>
      </c>
      <c r="D141" s="7">
        <v>419250</v>
      </c>
      <c r="E141" s="7">
        <v>108025</v>
      </c>
      <c r="F141" s="8">
        <f>E141/D141</f>
        <v>0.25766249254621348</v>
      </c>
    </row>
    <row r="142" spans="1:6" ht="12.75">
      <c r="A142" s="1"/>
      <c r="B142" s="5">
        <v>45635</v>
      </c>
      <c r="C142" s="6">
        <v>89.17</v>
      </c>
      <c r="D142" s="7">
        <v>776166</v>
      </c>
      <c r="E142" s="7">
        <v>435542</v>
      </c>
      <c r="F142" s="8">
        <f>E142/D142</f>
        <v>0.56114542507659448</v>
      </c>
    </row>
    <row r="143" spans="1:6" ht="12.75">
      <c r="A143" s="1"/>
      <c r="B143" s="5">
        <v>45632</v>
      </c>
      <c r="C143" s="6">
        <v>95.36</v>
      </c>
      <c r="D143" s="7">
        <v>510540</v>
      </c>
      <c r="E143" s="7">
        <v>203532</v>
      </c>
      <c r="F143" s="8">
        <f>E143/D143</f>
        <v>0.39866024209660361</v>
      </c>
    </row>
    <row r="144" spans="1:6" ht="12.75">
      <c r="A144" s="1"/>
      <c r="B144" s="5">
        <v>45631</v>
      </c>
      <c r="C144" s="6">
        <v>99.92</v>
      </c>
      <c r="D144" s="7">
        <v>2972260</v>
      </c>
      <c r="E144" s="7">
        <v>948025</v>
      </c>
      <c r="F144" s="8">
        <f>E144/D144</f>
        <v>0.31895762820210882</v>
      </c>
    </row>
    <row r="145" spans="1:6" ht="12.75">
      <c r="A145" s="1"/>
      <c r="B145" s="5">
        <v>45630</v>
      </c>
      <c r="C145" s="6">
        <v>98.44</v>
      </c>
      <c r="D145" s="7">
        <v>3747605</v>
      </c>
      <c r="E145" s="7">
        <v>1570166</v>
      </c>
      <c r="F145" s="8">
        <f>E145/D145</f>
        <v>0.41897852094871257</v>
      </c>
    </row>
    <row r="146" spans="1:6" ht="12.75">
      <c r="A146" s="1"/>
      <c r="B146" s="5">
        <v>45629</v>
      </c>
      <c r="C146" s="6">
        <v>82.04</v>
      </c>
      <c r="D146" s="7">
        <v>2198641</v>
      </c>
      <c r="E146" s="7">
        <v>898895</v>
      </c>
      <c r="F146" s="8">
        <f>E146/D146</f>
        <v>0.40884118871612057</v>
      </c>
    </row>
    <row r="147" spans="1:6" ht="12.75">
      <c r="A147" s="1"/>
      <c r="B147" s="5">
        <v>45628</v>
      </c>
      <c r="C147" s="6">
        <v>74.45</v>
      </c>
      <c r="D147" s="7">
        <v>110855</v>
      </c>
      <c r="E147" s="7">
        <v>69956</v>
      </c>
      <c r="F147" s="8">
        <f>E147/D147</f>
        <v>0.63105859005006537</v>
      </c>
    </row>
    <row r="148" spans="1:6" ht="12.75">
      <c r="A148" s="1"/>
      <c r="B148" s="5">
        <v>45625</v>
      </c>
      <c r="C148" s="6">
        <v>75.34</v>
      </c>
      <c r="D148" s="7">
        <v>144541</v>
      </c>
      <c r="E148" s="7">
        <v>86838</v>
      </c>
      <c r="F148" s="8">
        <f>E148/D148</f>
        <v>0.60078455247991924</v>
      </c>
    </row>
    <row r="149" spans="1:6" ht="12.75">
      <c r="A149" s="1"/>
      <c r="B149" s="5">
        <v>45624</v>
      </c>
      <c r="C149" s="6">
        <v>74.819999999999993</v>
      </c>
      <c r="D149" s="7">
        <v>625735</v>
      </c>
      <c r="E149" s="7">
        <v>231499</v>
      </c>
      <c r="F149" s="8">
        <f>E149/D149</f>
        <v>0.36996332313199676</v>
      </c>
    </row>
    <row r="150" spans="1:6" ht="12.75">
      <c r="A150" s="1"/>
      <c r="B150" s="5">
        <v>45623</v>
      </c>
      <c r="C150" s="6">
        <v>75.20</v>
      </c>
      <c r="D150" s="7">
        <v>246602</v>
      </c>
      <c r="E150" s="7">
        <v>175226</v>
      </c>
      <c r="F150" s="8">
        <f>E150/D150</f>
        <v>0.71056195813497047</v>
      </c>
    </row>
    <row r="151" spans="1:6" ht="12.75">
      <c r="A151" s="1"/>
      <c r="B151" s="5">
        <v>45622</v>
      </c>
      <c r="C151" s="6">
        <v>75.66</v>
      </c>
      <c r="D151" s="7">
        <v>252580</v>
      </c>
      <c r="E151" s="7">
        <v>95988</v>
      </c>
      <c r="F151" s="8">
        <f>E151/D151</f>
        <v>0.3800300894766015</v>
      </c>
    </row>
    <row r="152" spans="1:6" ht="12.75">
      <c r="A152" s="1"/>
      <c r="B152" s="5">
        <v>45621</v>
      </c>
      <c r="C152" s="6">
        <v>76.760000000000005</v>
      </c>
      <c r="D152" s="7">
        <v>911126</v>
      </c>
      <c r="E152" s="7">
        <v>490803</v>
      </c>
      <c r="F152" s="8">
        <f>E152/D152</f>
        <v>0.53867741673489722</v>
      </c>
    </row>
    <row r="153" spans="1:6" ht="12.75">
      <c r="A153" s="1"/>
      <c r="B153" s="5">
        <v>45618</v>
      </c>
      <c r="C153" s="6">
        <v>73.72</v>
      </c>
      <c r="D153" s="7">
        <v>307495</v>
      </c>
      <c r="E153" s="7">
        <v>213820</v>
      </c>
      <c r="F153" s="8">
        <f>E153/D153</f>
        <v>0.69536090017723862</v>
      </c>
    </row>
    <row r="154" spans="1:6" ht="12.75">
      <c r="A154" s="1"/>
      <c r="B154" s="5">
        <v>45617</v>
      </c>
      <c r="C154" s="6">
        <v>73.290000000000006</v>
      </c>
      <c r="D154" s="7">
        <v>104511</v>
      </c>
      <c r="E154" s="7">
        <v>49414</v>
      </c>
      <c r="F154" s="8">
        <f>E154/D154</f>
        <v>0.47281147439025556</v>
      </c>
    </row>
    <row r="155" spans="1:6" ht="12.75">
      <c r="A155" s="1"/>
      <c r="B155" s="5">
        <v>45615</v>
      </c>
      <c r="C155" s="6">
        <v>73.95</v>
      </c>
      <c r="D155" s="7">
        <v>251234</v>
      </c>
      <c r="E155" s="7">
        <v>125278</v>
      </c>
      <c r="F155" s="8">
        <f>E155/D155</f>
        <v>0.49865066034055899</v>
      </c>
    </row>
    <row r="156" spans="1:6" ht="12.75">
      <c r="A156" s="1"/>
      <c r="B156" s="5">
        <v>45614</v>
      </c>
      <c r="C156" s="6">
        <v>72.53</v>
      </c>
      <c r="D156" s="7">
        <v>411002</v>
      </c>
      <c r="E156" s="7">
        <v>211305</v>
      </c>
      <c r="F156" s="8">
        <f>E156/D156</f>
        <v>0.51412158578303757</v>
      </c>
    </row>
    <row r="157" spans="1:6" ht="12.75">
      <c r="A157" s="1"/>
      <c r="B157" s="16">
        <v>45610</v>
      </c>
      <c r="C157" s="17">
        <v>74</v>
      </c>
      <c r="D157" s="18">
        <v>2887218</v>
      </c>
      <c r="E157" s="18">
        <v>1592630</v>
      </c>
      <c r="F157" s="19">
        <f>E157/D157</f>
        <v>0.55161404507730283</v>
      </c>
    </row>
    <row r="158" spans="1:6" ht="12.75">
      <c r="A158" s="1"/>
      <c r="B158" s="20" t="s">
        <v>8</v>
      </c>
      <c r="C158" s="21">
        <f>AVERAGE(C3:C157)</f>
        <v>80.135483870967789</v>
      </c>
      <c r="D158" s="22">
        <f>AVERAGE(D3:D157)</f>
        <v>1847474.6387096774</v>
      </c>
      <c r="E158" s="22">
        <f>AVERAGE(E3:E157)</f>
        <v>1337120.4444444445</v>
      </c>
      <c r="F158" s="23">
        <f>AVERAGE(F3:F157)</f>
        <v>0.46837774391751225</v>
      </c>
    </row>
  </sheetData>
  <mergeCells count="1">
    <mergeCell ref="O24:Q2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