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s1.xml" ContentType="application/vnd.ms-excel.threaded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4"/>
  </sheets>
  <definedNames/>
  <calcPr fullCalcOnLoad="1"/>
</workbook>
</file>

<file path=xl/calcChain.xml><?xml version="1.0" encoding="utf-8"?>
<calcChain xmlns="http://schemas.openxmlformats.org/spreadsheetml/2006/main">
  <c r="D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tc={24821F49-4101-4387-9153-67031B9513CE}</author>
    <author>tc={9AFF172C-ECE7-425D-8F8A-60835BC33B38}</author>
    <author>tc={F7724F47-70E8-486E-B82D-1CBBF7107B49}</author>
  </authors>
  <commentList>
    <comment ref="B4" authorId="0" shapeId="0" xr:uid="{24821F49-4101-4387-9153-67031B9513CE}">
      <text>
        <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IRDAI </t>
        </r>
      </text>
    </comment>
    <comment ref="B11" authorId="1" shapeId="0" xr:uid="{9AFF172C-ECE7-425D-8F8A-60835BC33B38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&lt;&lt; Niva Bupa, Star, Care, Manipal Cigna and Aditya Birla</t>
        </r>
      </text>
    </comment>
    <comment ref="B13" authorId="2" shapeId="0" xr:uid="{F7724F47-70E8-486E-B82D-1CBBF7107B49}">
      <text>
        <r>
          <t>[Threaded comment]
Your version of Excel allows you to read this threaded comment; however, any edits to it will get removed if the file is opened in a newer version of Excel. Learn more: https://go.microsoft.com/fwlink/?linkid=870924
Comment:
    &lt;&lt; National Insurance, New India, Oriental and United India</t>
        </r>
      </text>
    </comment>
  </commentList>
</comments>
</file>

<file path=xl/sharedStrings.xml><?xml version="1.0" encoding="utf-8"?>
<sst xmlns="http://schemas.openxmlformats.org/spreadsheetml/2006/main" count="100" uniqueCount="52">
  <si>
    <t>xx</t>
  </si>
  <si>
    <t>General Insurance Industry Growth (INR cr)</t>
  </si>
  <si>
    <t>Segments</t>
  </si>
  <si>
    <t>FY23 Mix %</t>
  </si>
  <si>
    <t>FY26 Mix %</t>
  </si>
  <si>
    <t>YoY growth</t>
  </si>
  <si>
    <t>CAGR (FY23-26)</t>
  </si>
  <si>
    <t>Key observations - General Insurance</t>
  </si>
  <si>
    <t>Health Insurance</t>
  </si>
  <si>
    <t>1. General Insurance industry has grown by 9.3% in FY26 (compared to ~6.2% in FY25)</t>
  </si>
  <si>
    <t>Motor Insurance</t>
  </si>
  <si>
    <t xml:space="preserve">2. 2y CAGR for Health insurance segment is at 14.8% even after 1/n which impacted FY25 </t>
  </si>
  <si>
    <t>Others</t>
  </si>
  <si>
    <t>Total</t>
  </si>
  <si>
    <t>Health Insurance Segmental Growth (INR cr)</t>
  </si>
  <si>
    <t>Key observations - Health Insurance</t>
  </si>
  <si>
    <t>SAHI</t>
  </si>
  <si>
    <t>1. SAHIs gaining market share in health insurance (28% in FY23 to 33% in FY26)</t>
  </si>
  <si>
    <t>Private</t>
  </si>
  <si>
    <t>2. Increase in market share for SAHIs and private coming from PSU market share loss</t>
  </si>
  <si>
    <t>PSUs</t>
  </si>
  <si>
    <t>SAHI's growth (INR cr)</t>
  </si>
  <si>
    <t>Insurer</t>
  </si>
  <si>
    <t>Market share FY26</t>
  </si>
  <si>
    <t>Key observations - SAHI Growth</t>
  </si>
  <si>
    <t>Star Health</t>
  </si>
  <si>
    <t xml:space="preserve">1. Health industry YoY growth has picked up for FY26 compared to FY25 - 19.5% vs 16% (2y CAGR of 18%)
</t>
  </si>
  <si>
    <t>Care</t>
  </si>
  <si>
    <t>2. Over last 2 years, Niva Bupa grew at 24% CAGR and Care by 21% CAGR; Niva Bupa's FY26 growth has been significantly faster than Care (27.8% vs 20.1%)</t>
  </si>
  <si>
    <t>Niva Bupa</t>
  </si>
  <si>
    <t>3. Aditya Birla is coming up strong among the SAHIs and has grown at 31% YoY (29% 2y CAGR)</t>
  </si>
  <si>
    <t>Aditya Birla</t>
  </si>
  <si>
    <t>4. Star continues to face growth issues as it has grown slower than the industry in FY26 (~12%)</t>
  </si>
  <si>
    <t>Manipal Cigna</t>
  </si>
  <si>
    <t>5. Niva Bupa, Care and Aditya Birla have gained market share every year since FY23; while Star has lost its market share to them evenly</t>
  </si>
  <si>
    <t>Reliance Health</t>
  </si>
  <si>
    <t>HDFC Ergo (Incl. Apollo Munich)</t>
  </si>
  <si>
    <t>Galaxy Health</t>
  </si>
  <si>
    <t>nm</t>
  </si>
  <si>
    <t>Narayana Health</t>
  </si>
  <si>
    <t>SAHI's Retail Mix (%)</t>
  </si>
  <si>
    <t>YoY change</t>
  </si>
  <si>
    <t>SAHI's Retail (INR cr)</t>
  </si>
  <si>
    <t>Market share FY19</t>
  </si>
  <si>
    <t>Retail Health (INR cr)</t>
  </si>
  <si>
    <t>Market share FY23</t>
  </si>
  <si>
    <t>HDFC Ergo</t>
  </si>
  <si>
    <t>New India</t>
  </si>
  <si>
    <t>National Insurance</t>
  </si>
  <si>
    <t>ICICI Lombard</t>
  </si>
  <si>
    <t>Oriental Insurance</t>
  </si>
  <si>
    <t>United India</t>
  </si>
</sst>
</file>

<file path=xl/styles.xml><?xml version="1.0" encoding="utf-8"?>
<styleSheet xmlns="http://schemas.openxmlformats.org/spreadsheetml/2006/main">
  <numFmts count="5">
    <numFmt numFmtId="177" formatCode="0.0%"/>
    <numFmt numFmtId="178" formatCode="_(* #,##0_);_(* \(#,##0\);_(* &quot;-&quot;??_);_(@_)"/>
    <numFmt numFmtId="179" formatCode="_ * #,##0.00_ ;_ * \-#,##0.00_ ;_ * &quot;-&quot;??_ ;_ @_ "/>
    <numFmt numFmtId="180" formatCode="_(* #,##0.00_);_(* \(#,##0.00\);_(* &quot;-&quot;??_);_(@_)"/>
    <numFmt numFmtId="181" formatCode="&quot;FY&quot;0"/>
  </numFmts>
  <fonts count="7">
    <font>
      <sz val="10"/>
      <color theme="1"/>
      <name val="Arial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A3061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DAE9F8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/>
    </border>
    <border>
      <left/>
      <right style="thin">
        <color auto="1"/>
      </right>
      <top/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10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5" fillId="0" borderId="0">
      <alignment/>
      <protection/>
    </xf>
    <xf numFmtId="180" fontId="4" fillId="0" borderId="0" applyFont="0" applyFill="0" applyBorder="0" applyAlignment="0" applyProtection="0">
      <alignment/>
    </xf>
    <xf numFmtId="9" fontId="5" fillId="0" borderId="0" applyFont="0" applyFill="0" applyBorder="0" applyAlignment="0" applyProtection="0">
      <alignment/>
    </xf>
    <xf numFmtId="0" fontId="5" fillId="0" borderId="0">
      <alignment/>
      <protection/>
    </xf>
  </cellStyleXfs>
  <cellXfs count="68">
    <xf numFmtId="0" fontId="0" fillId="0" borderId="0" xfId="0"/>
    <xf numFmtId="0" fontId="4" fillId="0" borderId="0" xfId="6" applyFont="1">
      <alignment/>
      <protection/>
    </xf>
    <xf numFmtId="0" fontId="2" fillId="0" borderId="0" xfId="6" applyFont="1" applyAlignment="1">
      <alignment vertical="center"/>
      <protection/>
    </xf>
    <xf numFmtId="0" fontId="4" fillId="0" borderId="0" xfId="6" applyFont="1" applyAlignment="1">
      <alignment vertical="center"/>
      <protection/>
    </xf>
    <xf numFmtId="9" fontId="4" fillId="0" borderId="0" xfId="1" applyFont="1" applyAlignment="1">
      <alignment vertical="center"/>
    </xf>
    <xf numFmtId="0" fontId="4" fillId="0" borderId="0" xfId="6" applyFont="1" applyAlignment="1">
      <alignment wrapText="1"/>
      <protection/>
    </xf>
    <xf numFmtId="0" fontId="6" fillId="2" borderId="1" xfId="6" applyFont="1" applyFill="1" applyBorder="1" applyAlignment="1">
      <alignment vertical="center" wrapText="1"/>
      <protection/>
    </xf>
    <xf numFmtId="181" fontId="6" fillId="2" borderId="2" xfId="6" applyNumberFormat="1" applyFont="1" applyFill="1" applyBorder="1" applyAlignment="1">
      <alignment horizontal="right" vertical="center" wrapText="1"/>
      <protection/>
    </xf>
    <xf numFmtId="0" fontId="6" fillId="2" borderId="3" xfId="6" applyFont="1" applyFill="1" applyBorder="1" applyAlignment="1">
      <alignment horizontal="right" vertical="center" wrapText="1"/>
      <protection/>
    </xf>
    <xf numFmtId="0" fontId="6" fillId="2" borderId="1" xfId="6" applyFont="1" applyFill="1" applyBorder="1" applyAlignment="1">
      <alignment horizontal="right" vertical="center" wrapText="1"/>
      <protection/>
    </xf>
    <xf numFmtId="0" fontId="6" fillId="2" borderId="0" xfId="6" applyFont="1" applyFill="1" applyAlignment="1">
      <alignment horizontal="left" vertical="center"/>
      <protection/>
    </xf>
    <xf numFmtId="0" fontId="4" fillId="3" borderId="4" xfId="6" applyFont="1" applyFill="1" applyBorder="1" applyAlignment="1">
      <alignment vertical="center"/>
      <protection/>
    </xf>
    <xf numFmtId="3" fontId="4" fillId="3" borderId="0" xfId="7" applyNumberFormat="1" applyFont="1" applyFill="1" applyBorder="1" applyAlignment="1">
      <alignment vertical="center"/>
    </xf>
    <xf numFmtId="3" fontId="4" fillId="3" borderId="5" xfId="7" applyNumberFormat="1" applyFont="1" applyFill="1" applyBorder="1" applyAlignment="1">
      <alignment vertical="center"/>
    </xf>
    <xf numFmtId="9" fontId="4" fillId="3" borderId="5" xfId="7" applyNumberFormat="1" applyFont="1" applyFill="1" applyBorder="1" applyAlignment="1">
      <alignment vertical="center"/>
    </xf>
    <xf numFmtId="9" fontId="4" fillId="3" borderId="5" xfId="6" applyNumberFormat="1" applyFont="1" applyFill="1" applyBorder="1" applyAlignment="1">
      <alignment vertical="center"/>
      <protection/>
    </xf>
    <xf numFmtId="177" fontId="4" fillId="3" borderId="4" xfId="8" applyNumberFormat="1" applyFont="1" applyFill="1" applyBorder="1" applyAlignment="1">
      <alignment vertical="center"/>
    </xf>
    <xf numFmtId="0" fontId="5" fillId="0" borderId="0" xfId="9">
      <alignment/>
      <protection/>
    </xf>
    <xf numFmtId="0" fontId="4" fillId="0" borderId="4" xfId="6" applyFont="1" applyBorder="1">
      <alignment/>
      <protection/>
    </xf>
    <xf numFmtId="3" fontId="4" fillId="0" borderId="0" xfId="6" applyNumberFormat="1" applyFont="1">
      <alignment/>
      <protection/>
    </xf>
    <xf numFmtId="3" fontId="4" fillId="0" borderId="5" xfId="6" applyNumberFormat="1" applyFont="1" applyBorder="1">
      <alignment/>
      <protection/>
    </xf>
    <xf numFmtId="9" fontId="4" fillId="0" borderId="5" xfId="6" applyNumberFormat="1" applyFont="1" applyBorder="1">
      <alignment/>
      <protection/>
    </xf>
    <xf numFmtId="177" fontId="4" fillId="0" borderId="4" xfId="6" applyNumberFormat="1" applyFont="1" applyBorder="1">
      <alignment/>
      <protection/>
    </xf>
    <xf numFmtId="0" fontId="5" fillId="0" borderId="0" xfId="6" applyFont="1">
      <alignment/>
      <protection/>
    </xf>
    <xf numFmtId="3" fontId="4" fillId="0" borderId="6" xfId="6" applyNumberFormat="1" applyFont="1" applyBorder="1">
      <alignment/>
      <protection/>
    </xf>
    <xf numFmtId="0" fontId="5" fillId="0" borderId="0" xfId="6">
      <alignment/>
      <protection/>
    </xf>
    <xf numFmtId="0" fontId="2" fillId="0" borderId="1" xfId="6" applyFont="1" applyBorder="1">
      <alignment/>
      <protection/>
    </xf>
    <xf numFmtId="3" fontId="2" fillId="0" borderId="2" xfId="6" applyNumberFormat="1" applyFont="1" applyBorder="1">
      <alignment/>
      <protection/>
    </xf>
    <xf numFmtId="3" fontId="2" fillId="0" borderId="3" xfId="6" applyNumberFormat="1" applyFont="1" applyBorder="1">
      <alignment/>
      <protection/>
    </xf>
    <xf numFmtId="9" fontId="2" fillId="0" borderId="3" xfId="6" applyNumberFormat="1" applyFont="1" applyBorder="1">
      <alignment/>
      <protection/>
    </xf>
    <xf numFmtId="177" fontId="2" fillId="0" borderId="1" xfId="6" applyNumberFormat="1" applyFont="1" applyBorder="1">
      <alignment/>
      <protection/>
    </xf>
    <xf numFmtId="9" fontId="4" fillId="0" borderId="0" xfId="6" applyNumberFormat="1" applyFont="1">
      <alignment/>
      <protection/>
    </xf>
    <xf numFmtId="9" fontId="4" fillId="3" borderId="4" xfId="7" applyNumberFormat="1" applyFont="1" applyFill="1" applyBorder="1" applyAlignment="1">
      <alignment vertical="center"/>
    </xf>
    <xf numFmtId="9" fontId="4" fillId="3" borderId="4" xfId="6" applyNumberFormat="1" applyFont="1" applyFill="1" applyBorder="1" applyAlignment="1">
      <alignment vertical="center"/>
      <protection/>
    </xf>
    <xf numFmtId="9" fontId="4" fillId="0" borderId="4" xfId="6" applyNumberFormat="1" applyFont="1" applyBorder="1">
      <alignment/>
      <protection/>
    </xf>
    <xf numFmtId="9" fontId="2" fillId="0" borderId="1" xfId="6" applyNumberFormat="1" applyFont="1" applyBorder="1">
      <alignment/>
      <protection/>
    </xf>
    <xf numFmtId="0" fontId="4" fillId="0" borderId="4" xfId="6" applyFont="1" applyBorder="1" applyAlignment="1">
      <alignment vertical="center"/>
      <protection/>
    </xf>
    <xf numFmtId="178" fontId="4" fillId="0" borderId="0" xfId="7" applyNumberFormat="1" applyFont="1" applyFill="1" applyBorder="1" applyAlignment="1">
      <alignment vertical="center"/>
    </xf>
    <xf numFmtId="178" fontId="1" fillId="0" borderId="0" xfId="7" applyNumberFormat="1" applyFont="1" applyFill="1" applyBorder="1" applyAlignment="1">
      <alignment vertical="center"/>
    </xf>
    <xf numFmtId="177" fontId="1" fillId="0" borderId="4" xfId="7" applyNumberFormat="1" applyFont="1" applyFill="1" applyBorder="1" applyAlignment="1">
      <alignment vertical="center"/>
    </xf>
    <xf numFmtId="177" fontId="4" fillId="0" borderId="4" xfId="6" applyNumberFormat="1" applyFont="1" applyBorder="1" applyAlignment="1">
      <alignment vertical="center"/>
      <protection/>
    </xf>
    <xf numFmtId="177" fontId="4" fillId="0" borderId="4" xfId="8" applyNumberFormat="1" applyFont="1" applyFill="1" applyBorder="1" applyAlignment="1">
      <alignment vertical="center"/>
    </xf>
    <xf numFmtId="0" fontId="5" fillId="0" borderId="0" xfId="9" applyAlignment="1">
      <alignment vertical="top" wrapText="1"/>
      <protection/>
    </xf>
    <xf numFmtId="178" fontId="4" fillId="0" borderId="0" xfId="7" applyNumberFormat="1" applyFont="1" applyBorder="1" applyAlignment="1">
      <alignment vertical="center"/>
    </xf>
    <xf numFmtId="177" fontId="4" fillId="0" borderId="0" xfId="6" applyNumberFormat="1" applyFont="1" applyAlignment="1">
      <alignment wrapText="1"/>
      <protection/>
    </xf>
    <xf numFmtId="0" fontId="5" fillId="0" borderId="0" xfId="9" applyAlignment="1">
      <alignment vertical="top"/>
      <protection/>
    </xf>
    <xf numFmtId="178" fontId="4" fillId="3" borderId="0" xfId="7" applyNumberFormat="1" applyFont="1" applyFill="1" applyBorder="1" applyAlignment="1">
      <alignment vertical="center"/>
    </xf>
    <xf numFmtId="178" fontId="3" fillId="4" borderId="0" xfId="7" applyNumberFormat="1" applyFont="1" applyFill="1" applyBorder="1" applyAlignment="1">
      <alignment vertical="center"/>
    </xf>
    <xf numFmtId="177" fontId="3" fillId="4" borderId="4" xfId="7" applyNumberFormat="1" applyFont="1" applyFill="1" applyBorder="1" applyAlignment="1">
      <alignment vertical="center"/>
    </xf>
    <xf numFmtId="177" fontId="4" fillId="3" borderId="4" xfId="6" applyNumberFormat="1" applyFont="1" applyFill="1" applyBorder="1" applyAlignment="1">
      <alignment vertical="center"/>
      <protection/>
    </xf>
    <xf numFmtId="177" fontId="4" fillId="0" borderId="4" xfId="8" applyNumberFormat="1" applyFont="1" applyBorder="1" applyAlignment="1">
      <alignment vertical="center"/>
    </xf>
    <xf numFmtId="177" fontId="4" fillId="0" borderId="4" xfId="8" applyNumberFormat="1" applyFont="1" applyBorder="1" applyAlignment="1">
      <alignment horizontal="right" vertical="center"/>
    </xf>
    <xf numFmtId="0" fontId="2" fillId="0" borderId="1" xfId="6" applyFont="1" applyBorder="1" applyAlignment="1">
      <alignment vertical="center"/>
      <protection/>
    </xf>
    <xf numFmtId="178" fontId="2" fillId="0" borderId="2" xfId="7" applyNumberFormat="1" applyFont="1" applyBorder="1" applyAlignment="1">
      <alignment vertical="center"/>
    </xf>
    <xf numFmtId="177" fontId="2" fillId="0" borderId="1" xfId="7" applyNumberFormat="1" applyFont="1" applyBorder="1" applyAlignment="1">
      <alignment vertical="center"/>
    </xf>
    <xf numFmtId="177" fontId="2" fillId="0" borderId="1" xfId="6" applyNumberFormat="1" applyFont="1" applyBorder="1" applyAlignment="1">
      <alignment vertical="center"/>
      <protection/>
    </xf>
    <xf numFmtId="177" fontId="2" fillId="0" borderId="1" xfId="8" applyNumberFormat="1" applyFont="1" applyBorder="1" applyAlignment="1">
      <alignment vertical="center"/>
    </xf>
    <xf numFmtId="9" fontId="4" fillId="0" borderId="0" xfId="6" applyNumberFormat="1" applyFont="1" applyAlignment="1">
      <alignment wrapText="1"/>
      <protection/>
    </xf>
    <xf numFmtId="179" fontId="4" fillId="0" borderId="0" xfId="6" applyNumberFormat="1" applyFont="1">
      <alignment/>
      <protection/>
    </xf>
    <xf numFmtId="9" fontId="4" fillId="0" borderId="0" xfId="7" applyNumberFormat="1" applyFont="1" applyFill="1" applyBorder="1" applyAlignment="1">
      <alignment horizontal="right" vertical="center"/>
    </xf>
    <xf numFmtId="9" fontId="1" fillId="0" borderId="0" xfId="7" applyNumberFormat="1" applyFont="1" applyFill="1" applyBorder="1" applyAlignment="1">
      <alignment horizontal="right" vertical="center"/>
    </xf>
    <xf numFmtId="9" fontId="4" fillId="0" borderId="0" xfId="7" applyNumberFormat="1" applyFont="1" applyBorder="1" applyAlignment="1">
      <alignment horizontal="right" vertical="center"/>
    </xf>
    <xf numFmtId="9" fontId="4" fillId="3" borderId="0" xfId="7" applyNumberFormat="1" applyFont="1" applyFill="1" applyBorder="1" applyAlignment="1">
      <alignment horizontal="right" vertical="center"/>
    </xf>
    <xf numFmtId="9" fontId="3" fillId="4" borderId="0" xfId="7" applyNumberFormat="1" applyFont="1" applyFill="1" applyBorder="1" applyAlignment="1">
      <alignment horizontal="right" vertical="center"/>
    </xf>
    <xf numFmtId="9" fontId="2" fillId="0" borderId="2" xfId="7" applyNumberFormat="1" applyFont="1" applyBorder="1" applyAlignment="1">
      <alignment horizontal="right" vertical="center"/>
    </xf>
    <xf numFmtId="177" fontId="1" fillId="0" borderId="7" xfId="7" applyNumberFormat="1" applyFont="1" applyFill="1" applyBorder="1" applyAlignment="1">
      <alignment vertical="center"/>
    </xf>
    <xf numFmtId="178" fontId="1" fillId="3" borderId="0" xfId="7" applyNumberFormat="1" applyFont="1" applyFill="1" applyBorder="1" applyAlignment="1">
      <alignment vertical="center"/>
    </xf>
    <xf numFmtId="177" fontId="1" fillId="3" borderId="4" xfId="7" applyNumberFormat="1" applyFont="1" applyFill="1" applyBorder="1" applyAlignment="1">
      <alignment vertical="center"/>
    </xf>
  </cellXfs>
  <cellStyles count="10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Normal 2" xfId="6"/>
    <cellStyle name="Comma 2" xfId="7"/>
    <cellStyle name="Percent 2" xfId="8"/>
    <cellStyle name="Normal 2 2" xfId="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6" Type="http://schemas.openxmlformats.org/officeDocument/2006/relationships/calcChain" Target="calcChain.xml" /><Relationship Id="rId2" Type="http://schemas.microsoft.com/office/2017/10/relationships/person" Target="persons/person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worksheet" Target="worksheets/sheet1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araz Motani" id="{DBE0701B-A14B-477D-B9F9-7B20541A3D79}" userId="S::faraz@paragonpartners.in::be1bf6c2-ca79-44b4-890e-114ddc47c79d" providerId="AD"/>
  <person displayName="Divit Toshniwal" id="{7796C1AE-3F3A-4863-8058-1BAF2282B52B}" userId="S::divit@paragonpartners.in::15dd0c2a-2152-401e-83c6-85bb3bd2b15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s1.xml><?xml version="1.0" encoding="utf-8"?>
<ThreadedComments xmlns="http://schemas.microsoft.com/office/spreadsheetml/2018/threadedcomments" xmlns:x="http://schemas.openxmlformats.org/spreadsheetml/2006/main">
  <threadedComment ref="B4" dT="2026-06-05T10:14:04.74" personId="{7796C1AE-3F3A-4863-8058-1BAF2282B52B}" id="{24821F49-4101-4387-9153-67031B9513CE}">
    <text xml:space="preserve">IRDAI </text>
  </threadedComment>
  <threadedComment ref="B11" dT="2025-07-01T10:04:48.89" personId="{DBE0701B-A14B-477D-B9F9-7B20541A3D79}" id="{9AFF172C-ECE7-425D-8F8A-60835BC33B38}">
    <text>&lt;&lt; Niva Bupa, Star, Care, Manipal Cigna and Aditya Birla</text>
  </threadedComment>
  <threadedComment ref="B13" dT="2025-07-01T10:04:57.56" personId="{DBE0701B-A14B-477D-B9F9-7B20541A3D79}" id="{F7724F47-70E8-486E-B82D-1CBBF7107B49}">
    <text>&lt;&lt; National Insurance, New India, Oriental and United India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s1.xml" /><Relationship Id="rId1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AE698D9-0860-44CE-99C9-B854684BBAA5}">
  <dimension ref="A1:T68"/>
  <sheetViews>
    <sheetView tabSelected="1" workbookViewId="0" topLeftCell="A1"/>
  </sheetViews>
  <sheetFormatPr defaultRowHeight="12.75"/>
  <sheetData>
    <row r="1" spans="1:20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19" ht="12.75">
      <c r="A2" s="2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/>
      <c r="O2" s="3"/>
      <c r="P2" s="3"/>
      <c r="Q2" s="3"/>
      <c r="R2" s="3"/>
      <c r="S2" s="5"/>
    </row>
    <row r="3" spans="1:20" ht="12.75">
      <c r="A3" s="2"/>
      <c r="B3" s="6" t="s">
        <v>2</v>
      </c>
      <c r="C3" s="7">
        <v>15</v>
      </c>
      <c r="D3" s="7">
        <f>C3+1</f>
        <v>16</v>
      </c>
      <c r="E3" s="7">
        <f>D3+1</f>
        <v>17</v>
      </c>
      <c r="F3" s="7">
        <f>E3+1</f>
        <v>18</v>
      </c>
      <c r="G3" s="7">
        <f>F3+1</f>
        <v>19</v>
      </c>
      <c r="H3" s="7">
        <f>G3+1</f>
        <v>20</v>
      </c>
      <c r="I3" s="7">
        <f>H3+1</f>
        <v>21</v>
      </c>
      <c r="J3" s="7">
        <f>I3+1</f>
        <v>22</v>
      </c>
      <c r="K3" s="7">
        <f>J3+1</f>
        <v>23</v>
      </c>
      <c r="L3" s="7">
        <f>K3+1</f>
        <v>24</v>
      </c>
      <c r="M3" s="7">
        <f>L3+1</f>
        <v>25</v>
      </c>
      <c r="N3" s="7">
        <f>M3+1</f>
        <v>26</v>
      </c>
      <c r="O3" s="8" t="s">
        <v>3</v>
      </c>
      <c r="P3" s="8" t="s">
        <v>4</v>
      </c>
      <c r="Q3" s="9" t="s">
        <v>5</v>
      </c>
      <c r="R3" s="9" t="s">
        <v>6</v>
      </c>
      <c r="S3" s="5"/>
      <c r="T3" s="10" t="s">
        <v>7</v>
      </c>
    </row>
    <row r="4" spans="1:20" ht="12.75">
      <c r="A4" s="1"/>
      <c r="B4" s="11" t="s">
        <v>8</v>
      </c>
      <c r="C4" s="12">
        <v>20615</v>
      </c>
      <c r="D4" s="12">
        <v>25037</v>
      </c>
      <c r="E4" s="12">
        <v>31164</v>
      </c>
      <c r="F4" s="12">
        <v>37711.79</v>
      </c>
      <c r="G4" s="12">
        <v>45488.91</v>
      </c>
      <c r="H4" s="12">
        <v>51674.490000000005</v>
      </c>
      <c r="I4" s="12">
        <v>58572.46</v>
      </c>
      <c r="J4" s="12">
        <v>73598.14</v>
      </c>
      <c r="K4" s="12">
        <v>90651.64</v>
      </c>
      <c r="L4" s="12">
        <v>108911.39</v>
      </c>
      <c r="M4" s="12">
        <v>118687.94</v>
      </c>
      <c r="N4" s="13">
        <v>137144.46</v>
      </c>
      <c r="O4" s="14">
        <f>K4/K$7</f>
        <v>0.35287531730879929</v>
      </c>
      <c r="P4" s="15">
        <f>N4/N$7</f>
        <v>0.40801906018362105</v>
      </c>
      <c r="Q4" s="16">
        <f>N4/M4-1</f>
        <v>0.15550459465384603</v>
      </c>
      <c r="R4" s="16">
        <f>(N4/K4)^(1/3)-1</f>
        <v>0.1479796807895204</v>
      </c>
      <c r="S4" s="5"/>
      <c r="T4" s="17" t="s">
        <v>9</v>
      </c>
    </row>
    <row r="5" spans="1:20" ht="12.75">
      <c r="A5" s="1"/>
      <c r="B5" s="18" t="s">
        <v>10</v>
      </c>
      <c r="C5" s="19">
        <f>20755+18006</f>
        <v>38761</v>
      </c>
      <c r="D5" s="19">
        <f>22731+21293</f>
        <v>44024</v>
      </c>
      <c r="E5" s="19">
        <f>25160+26649</f>
        <v>51809</v>
      </c>
      <c r="F5" s="19">
        <v>59247.970000000008</v>
      </c>
      <c r="G5" s="19">
        <v>64454.859999999993</v>
      </c>
      <c r="H5" s="19">
        <v>68950.930000000008</v>
      </c>
      <c r="I5" s="19">
        <v>67790.010000000009</v>
      </c>
      <c r="J5" s="19">
        <v>70433.48</v>
      </c>
      <c r="K5" s="19">
        <v>81280.031461700011</v>
      </c>
      <c r="L5" s="19">
        <v>91780.530000000013</v>
      </c>
      <c r="M5" s="19">
        <v>99065.819999999992</v>
      </c>
      <c r="N5" s="20">
        <v>108216.08</v>
      </c>
      <c r="O5" s="21">
        <f>K5/K$7</f>
        <v>0.31639490353309196</v>
      </c>
      <c r="P5" s="21">
        <f>N5/N$7</f>
        <v>0.32195411508678917</v>
      </c>
      <c r="Q5" s="22">
        <f>N5/M5-1</f>
        <v>0.092365459650967541</v>
      </c>
      <c r="R5" s="22">
        <f>(N5/K5)^(1/3)-1</f>
        <v>0.10010966033256863</v>
      </c>
      <c r="S5" s="5"/>
      <c r="T5" s="23" t="s">
        <v>11</v>
      </c>
    </row>
    <row r="6" spans="1:20" ht="12.75">
      <c r="A6" s="1"/>
      <c r="B6" s="18" t="s">
        <v>12</v>
      </c>
      <c r="C6" s="19">
        <f>C7-SUM(C4:C5)</f>
        <v>30989</v>
      </c>
      <c r="D6" s="19">
        <f>D7-SUM(D4:D5)</f>
        <v>33335</v>
      </c>
      <c r="E6" s="19">
        <f>E7-SUM(E4:E5)</f>
        <v>51204</v>
      </c>
      <c r="F6" s="19">
        <f>F7-SUM(F4:F5)</f>
        <v>53633.01999999999</v>
      </c>
      <c r="G6" s="19">
        <f>G7-SUM(G4:G5)</f>
        <v>60021.19</v>
      </c>
      <c r="H6" s="19">
        <f>H7-SUM(H4:H5)</f>
        <v>68290.51999999999</v>
      </c>
      <c r="I6" s="19">
        <f>I7-SUM(I4:I5)</f>
        <v>72361.740000000049</v>
      </c>
      <c r="J6" s="19">
        <f>J7-SUM(J4:J5)</f>
        <v>76668.600000000006</v>
      </c>
      <c r="K6" s="19">
        <f>K7-SUM(K4:K5)</f>
        <v>84962.578584900009</v>
      </c>
      <c r="L6" s="19">
        <f>L7-SUM(L4:L5)</f>
        <v>88981.129999999976</v>
      </c>
      <c r="M6" s="19">
        <f>M7-SUM(M4:M5)</f>
        <v>89905.650000000081</v>
      </c>
      <c r="N6" s="24">
        <f>N7-SUM(N4:N5)</f>
        <v>90762.140000000014</v>
      </c>
      <c r="O6" s="21">
        <f>K6/K$7</f>
        <v>0.33072977915810881</v>
      </c>
      <c r="P6" s="21">
        <f>N6/N$7</f>
        <v>0.27002682472958983</v>
      </c>
      <c r="Q6" s="22">
        <f>N6/M6-1</f>
        <v>0.0095265425476589449</v>
      </c>
      <c r="R6" s="22">
        <f>(N6/K6)^(1/3)-1</f>
        <v>0.022254460395274567</v>
      </c>
      <c r="S6" s="5"/>
      <c r="T6" s="25"/>
    </row>
    <row r="7" spans="1:20" ht="12.75">
      <c r="A7" s="1"/>
      <c r="B7" s="26" t="s">
        <v>13</v>
      </c>
      <c r="C7" s="27">
        <v>90365</v>
      </c>
      <c r="D7" s="27">
        <v>102396</v>
      </c>
      <c r="E7" s="27">
        <v>134177</v>
      </c>
      <c r="F7" s="27">
        <v>150592.78</v>
      </c>
      <c r="G7" s="27">
        <v>169964.96</v>
      </c>
      <c r="H7" s="27">
        <v>188915.94</v>
      </c>
      <c r="I7" s="27">
        <v>198724.21000000005</v>
      </c>
      <c r="J7" s="27">
        <v>220700.22</v>
      </c>
      <c r="K7" s="27">
        <v>256894.25004660001</v>
      </c>
      <c r="L7" s="27">
        <v>289673.05</v>
      </c>
      <c r="M7" s="27">
        <v>307659.41000000009</v>
      </c>
      <c r="N7" s="28">
        <v>336122.68</v>
      </c>
      <c r="O7" s="29">
        <f>K7/K$7</f>
        <v>1</v>
      </c>
      <c r="P7" s="29">
        <f>N7/N$7</f>
        <v>1</v>
      </c>
      <c r="Q7" s="30">
        <f>N7/M7-1</f>
        <v>0.092515519028005366</v>
      </c>
      <c r="R7" s="30">
        <f>(N7/K7)^(1/3)-1</f>
        <v>0.093740963659007193</v>
      </c>
      <c r="S7" s="5"/>
      <c r="T7" s="25"/>
    </row>
    <row r="8" spans="1:20" ht="12.75">
      <c r="A8" s="1"/>
      <c r="B8" s="1"/>
      <c r="C8" s="1"/>
      <c r="D8" s="31"/>
      <c r="E8" s="31"/>
      <c r="F8" s="31"/>
      <c r="G8" s="31"/>
      <c r="H8" s="31"/>
      <c r="I8" s="1"/>
      <c r="J8" s="1"/>
      <c r="K8" s="1"/>
      <c r="L8" s="1"/>
      <c r="M8" s="1"/>
      <c r="N8" s="1"/>
      <c r="O8" s="1"/>
      <c r="P8" s="1"/>
      <c r="Q8" s="1"/>
      <c r="R8" s="1"/>
      <c r="S8" s="5"/>
      <c r="T8" s="25"/>
    </row>
    <row r="9" spans="1:20" ht="12.75">
      <c r="A9" s="2" t="s">
        <v>0</v>
      </c>
      <c r="B9" s="2" t="s">
        <v>14</v>
      </c>
      <c r="C9" s="3"/>
      <c r="D9" s="3"/>
      <c r="E9" s="3"/>
      <c r="F9" s="3"/>
      <c r="G9" s="3"/>
      <c r="H9" s="3"/>
      <c r="I9" s="3"/>
      <c r="J9" s="3"/>
      <c r="K9" s="4"/>
      <c r="L9" s="4"/>
      <c r="M9" s="4"/>
      <c r="N9" s="4"/>
      <c r="O9" s="3"/>
      <c r="P9" s="3"/>
      <c r="Q9" s="3"/>
      <c r="R9" s="3"/>
      <c r="S9" s="5"/>
      <c r="T9" s="25"/>
    </row>
    <row r="10" spans="1:20" ht="12.75">
      <c r="A10" s="2"/>
      <c r="B10" s="6" t="s">
        <v>2</v>
      </c>
      <c r="C10" s="7">
        <v>15</v>
      </c>
      <c r="D10" s="7">
        <f>C10+1</f>
        <v>16</v>
      </c>
      <c r="E10" s="7">
        <f>D10+1</f>
        <v>17</v>
      </c>
      <c r="F10" s="7">
        <f>E10+1</f>
        <v>18</v>
      </c>
      <c r="G10" s="7">
        <f>F10+1</f>
        <v>19</v>
      </c>
      <c r="H10" s="7">
        <f>G10+1</f>
        <v>20</v>
      </c>
      <c r="I10" s="7">
        <f>H10+1</f>
        <v>21</v>
      </c>
      <c r="J10" s="7">
        <f>I10+1</f>
        <v>22</v>
      </c>
      <c r="K10" s="7">
        <f>J10+1</f>
        <v>23</v>
      </c>
      <c r="L10" s="7">
        <f>K10+1</f>
        <v>24</v>
      </c>
      <c r="M10" s="7">
        <f>L10+1</f>
        <v>25</v>
      </c>
      <c r="N10" s="7">
        <f>M10+1</f>
        <v>26</v>
      </c>
      <c r="O10" s="8" t="s">
        <v>3</v>
      </c>
      <c r="P10" s="9" t="s">
        <v>4</v>
      </c>
      <c r="Q10" s="9" t="s">
        <v>5</v>
      </c>
      <c r="R10" s="9" t="s">
        <v>6</v>
      </c>
      <c r="S10" s="5"/>
      <c r="T10" s="10" t="s">
        <v>15</v>
      </c>
    </row>
    <row r="11" spans="1:20" ht="12.75">
      <c r="A11" s="1"/>
      <c r="B11" s="11" t="s">
        <v>16</v>
      </c>
      <c r="C11" s="12">
        <v>2896</v>
      </c>
      <c r="D11" s="12">
        <v>4043</v>
      </c>
      <c r="E11" s="12">
        <v>5589</v>
      </c>
      <c r="F11" s="12">
        <f>F27</f>
        <v>7919.01</v>
      </c>
      <c r="G11" s="12">
        <f>G27</f>
        <v>10794.019999999999</v>
      </c>
      <c r="H11" s="12">
        <f>H27</f>
        <v>13545.69</v>
      </c>
      <c r="I11" s="12">
        <f>I27</f>
        <v>15119.889999999998</v>
      </c>
      <c r="J11" s="12">
        <f>J27</f>
        <v>20089.32</v>
      </c>
      <c r="K11" s="12">
        <f>K27</f>
        <v>25456.581200000001</v>
      </c>
      <c r="L11" s="12">
        <f>L27</f>
        <v>32353.82</v>
      </c>
      <c r="M11" s="12">
        <f>M27</f>
        <v>37527.600000000006</v>
      </c>
      <c r="N11" s="12">
        <f>N27</f>
        <v>44863.729999999989</v>
      </c>
      <c r="O11" s="32">
        <f>K11/K$14</f>
        <v>0.28081765757354199</v>
      </c>
      <c r="P11" s="33">
        <f>N11/N$14</f>
        <v>0.32712754128019456</v>
      </c>
      <c r="Q11" s="16">
        <f>N11/M11-1</f>
        <v>0.19548625544932219</v>
      </c>
      <c r="R11" s="16">
        <f>(N11/K11)^(1/3)-1</f>
        <v>0.20790218486403722</v>
      </c>
      <c r="S11" s="1"/>
      <c r="T11" s="17" t="s">
        <v>17</v>
      </c>
    </row>
    <row r="12" spans="1:20" ht="12.75">
      <c r="A12" s="1"/>
      <c r="B12" s="18" t="s">
        <v>18</v>
      </c>
      <c r="C12" s="19"/>
      <c r="D12" s="19"/>
      <c r="E12" s="19"/>
      <c r="F12" s="19">
        <f>F14-F11-F13</f>
        <v>8254.489999999998</v>
      </c>
      <c r="G12" s="19">
        <f>G14-G11-G13</f>
        <v>11175.940000000002</v>
      </c>
      <c r="H12" s="19">
        <f>H14-H11-H13</f>
        <v>13476.730000000007</v>
      </c>
      <c r="I12" s="19">
        <f>I14-I11-I13</f>
        <v>16180.55</v>
      </c>
      <c r="J12" s="19">
        <f>J14-J11-J13</f>
        <v>20554.03</v>
      </c>
      <c r="K12" s="19">
        <f>K14-K11-K13</f>
        <v>26116.948799999998</v>
      </c>
      <c r="L12" s="19">
        <f>L14-L11-L13</f>
        <v>35545.55000000001</v>
      </c>
      <c r="M12" s="19">
        <f>M14-M11-M13</f>
        <v>38915.119999999995</v>
      </c>
      <c r="N12" s="19">
        <f>N14-N11-N13</f>
        <v>50035.510000000009</v>
      </c>
      <c r="O12" s="34">
        <f>K12/K$14</f>
        <v>0.28810233107751826</v>
      </c>
      <c r="P12" s="34">
        <f>N12/N$14</f>
        <v>0.36483799637258413</v>
      </c>
      <c r="Q12" s="22">
        <f>N12/M12-1</f>
        <v>0.2857601364199831</v>
      </c>
      <c r="R12" s="22">
        <f>(N12/K12)^(1/3)-1</f>
        <v>0.24199152128332369</v>
      </c>
      <c r="S12" s="5"/>
      <c r="T12" s="17" t="s">
        <v>19</v>
      </c>
    </row>
    <row r="13" spans="1:18" ht="12.75">
      <c r="A13" s="1"/>
      <c r="B13" s="18" t="s">
        <v>20</v>
      </c>
      <c r="C13" s="19"/>
      <c r="D13" s="19"/>
      <c r="E13" s="19"/>
      <c r="F13" s="19">
        <v>21538.29</v>
      </c>
      <c r="G13" s="19">
        <v>23518.950000000004</v>
      </c>
      <c r="H13" s="19">
        <v>24652.069999999996</v>
      </c>
      <c r="I13" s="19">
        <v>27272.02</v>
      </c>
      <c r="J13" s="19">
        <v>32954.79</v>
      </c>
      <c r="K13" s="19">
        <v>39078.11</v>
      </c>
      <c r="L13" s="19">
        <v>41012.019999999997</v>
      </c>
      <c r="M13" s="19">
        <v>42245.22</v>
      </c>
      <c r="N13" s="19">
        <v>42245.22</v>
      </c>
      <c r="O13" s="34">
        <f>K13/K$14</f>
        <v>0.43108001134893975</v>
      </c>
      <c r="P13" s="34">
        <f>N13/N$14</f>
        <v>0.30803446234722132</v>
      </c>
      <c r="Q13" s="22">
        <f>N13/M13-1</f>
        <v>0</v>
      </c>
      <c r="R13" s="22">
        <f>(N13/K13)^(1/3)-1</f>
        <v>0.02631657235688456</v>
      </c>
    </row>
    <row r="14" spans="1:20" ht="12.75">
      <c r="A14" s="1"/>
      <c r="B14" s="26" t="s">
        <v>13</v>
      </c>
      <c r="C14" s="27">
        <f>C4</f>
        <v>20615</v>
      </c>
      <c r="D14" s="27">
        <f>D4</f>
        <v>25037</v>
      </c>
      <c r="E14" s="27">
        <f>E4</f>
        <v>31164</v>
      </c>
      <c r="F14" s="27">
        <f>F4</f>
        <v>37711.79</v>
      </c>
      <c r="G14" s="27">
        <f>G4</f>
        <v>45488.91</v>
      </c>
      <c r="H14" s="27">
        <f>H4</f>
        <v>51674.490000000005</v>
      </c>
      <c r="I14" s="27">
        <f>I4</f>
        <v>58572.46</v>
      </c>
      <c r="J14" s="27">
        <f>J4</f>
        <v>73598.14</v>
      </c>
      <c r="K14" s="27">
        <f>K4</f>
        <v>90651.64</v>
      </c>
      <c r="L14" s="27">
        <f>L4</f>
        <v>108911.39</v>
      </c>
      <c r="M14" s="27">
        <f>M4</f>
        <v>118687.94</v>
      </c>
      <c r="N14" s="27">
        <f>N4</f>
        <v>137144.46</v>
      </c>
      <c r="O14" s="35">
        <f>K14/K$14</f>
        <v>1</v>
      </c>
      <c r="P14" s="35">
        <f>N14/N$14</f>
        <v>1</v>
      </c>
      <c r="Q14" s="30">
        <f>N14/M14-1</f>
        <v>0.15550459465384603</v>
      </c>
      <c r="R14" s="30">
        <f>(N14/K14)^(1/3)-1</f>
        <v>0.1479796807895204</v>
      </c>
      <c r="S14" s="5"/>
      <c r="T14" s="25"/>
    </row>
    <row r="15" spans="1:20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5"/>
      <c r="T15" s="25"/>
    </row>
    <row r="16" spans="1:20" ht="12.75">
      <c r="A16" s="2" t="s">
        <v>0</v>
      </c>
      <c r="B16" s="2" t="s">
        <v>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5"/>
      <c r="T16" s="25"/>
    </row>
    <row r="17" spans="1:20" ht="12.75">
      <c r="A17" s="2"/>
      <c r="B17" s="6" t="s">
        <v>22</v>
      </c>
      <c r="C17" s="7">
        <v>15</v>
      </c>
      <c r="D17" s="7">
        <f>C17+1</f>
        <v>16</v>
      </c>
      <c r="E17" s="7">
        <f>D17+1</f>
        <v>17</v>
      </c>
      <c r="F17" s="7">
        <f>E17+1</f>
        <v>18</v>
      </c>
      <c r="G17" s="7">
        <f>F17+1</f>
        <v>19</v>
      </c>
      <c r="H17" s="7">
        <f>G17+1</f>
        <v>20</v>
      </c>
      <c r="I17" s="7">
        <f>H17+1</f>
        <v>21</v>
      </c>
      <c r="J17" s="7">
        <f>I17+1</f>
        <v>22</v>
      </c>
      <c r="K17" s="7">
        <f>J17+1</f>
        <v>23</v>
      </c>
      <c r="L17" s="7">
        <f>K17+1</f>
        <v>24</v>
      </c>
      <c r="M17" s="7">
        <f>L17+1</f>
        <v>25</v>
      </c>
      <c r="N17" s="7">
        <f>M17+1</f>
        <v>26</v>
      </c>
      <c r="O17" s="9" t="s">
        <v>3</v>
      </c>
      <c r="P17" s="9" t="s">
        <v>23</v>
      </c>
      <c r="Q17" s="9" t="s">
        <v>5</v>
      </c>
      <c r="R17" s="9" t="s">
        <v>6</v>
      </c>
      <c r="S17" s="5"/>
      <c r="T17" s="10" t="s">
        <v>24</v>
      </c>
    </row>
    <row r="18" spans="1:20" ht="12.75">
      <c r="A18" s="2"/>
      <c r="B18" s="36" t="s">
        <v>25</v>
      </c>
      <c r="C18" s="37"/>
      <c r="D18" s="37"/>
      <c r="E18" s="37"/>
      <c r="F18" s="37">
        <v>4044.65</v>
      </c>
      <c r="G18" s="37">
        <v>5286.46</v>
      </c>
      <c r="H18" s="37">
        <v>6731.420000000001</v>
      </c>
      <c r="I18" s="37">
        <v>9204.49</v>
      </c>
      <c r="J18" s="37">
        <v>11294.58</v>
      </c>
      <c r="K18" s="38">
        <v>12757.539999999999</v>
      </c>
      <c r="L18" s="38">
        <v>15038.78</v>
      </c>
      <c r="M18" s="38">
        <v>16525.48</v>
      </c>
      <c r="N18" s="38">
        <v>18435.039999999997</v>
      </c>
      <c r="O18" s="39">
        <f>K18/K$27</f>
        <v>0.50114899167999816</v>
      </c>
      <c r="P18" s="40">
        <f>N18/N$27</f>
        <v>0.41091188806637347</v>
      </c>
      <c r="Q18" s="41">
        <f>N18/M18-1</f>
        <v>0.11555246806749331</v>
      </c>
      <c r="R18" s="41">
        <f>(N18/K18)^(1/3)-1</f>
        <v>0.13055678791098169</v>
      </c>
      <c r="S18" s="5"/>
      <c r="T18" s="42" t="s">
        <v>26</v>
      </c>
    </row>
    <row r="19" spans="1:20" ht="12.75">
      <c r="A19" s="2"/>
      <c r="B19" s="36" t="s">
        <v>27</v>
      </c>
      <c r="C19" s="43"/>
      <c r="D19" s="43"/>
      <c r="E19" s="43"/>
      <c r="F19" s="43">
        <v>987.94</v>
      </c>
      <c r="G19" s="43">
        <v>1681.33</v>
      </c>
      <c r="H19" s="43">
        <v>2231.7399999999998</v>
      </c>
      <c r="I19" s="43">
        <v>2334.0600000000004</v>
      </c>
      <c r="J19" s="43">
        <v>3491.45</v>
      </c>
      <c r="K19" s="38">
        <v>4819.42</v>
      </c>
      <c r="L19" s="38">
        <v>6658.0700000000006</v>
      </c>
      <c r="M19" s="38">
        <v>8135.3499999999995</v>
      </c>
      <c r="N19" s="38">
        <v>9768.40</v>
      </c>
      <c r="O19" s="39">
        <f>K19/K$27</f>
        <v>0.18931921620331327</v>
      </c>
      <c r="P19" s="40">
        <f>N19/N$27</f>
        <v>0.21773490523413908</v>
      </c>
      <c r="Q19" s="41">
        <f>N19/M19-1</f>
        <v>0.20073506364200688</v>
      </c>
      <c r="R19" s="41">
        <f>(N19/K19)^(1/3)-1</f>
        <v>0.265541000387987</v>
      </c>
      <c r="S19" s="44"/>
      <c r="T19" s="45" t="s">
        <v>28</v>
      </c>
    </row>
    <row r="20" spans="1:20" ht="12.75">
      <c r="A20" s="2"/>
      <c r="B20" s="11" t="s">
        <v>29</v>
      </c>
      <c r="C20" s="46"/>
      <c r="D20" s="46"/>
      <c r="E20" s="46"/>
      <c r="F20" s="46">
        <v>743.26</v>
      </c>
      <c r="G20" s="46">
        <v>914.4899999999999</v>
      </c>
      <c r="H20" s="46">
        <v>1179.04</v>
      </c>
      <c r="I20" s="46">
        <v>1669.72</v>
      </c>
      <c r="J20" s="46">
        <v>2749.22</v>
      </c>
      <c r="K20" s="47">
        <v>3993.02</v>
      </c>
      <c r="L20" s="47">
        <v>5514.46</v>
      </c>
      <c r="M20" s="47">
        <v>6634.53</v>
      </c>
      <c r="N20" s="47">
        <v>8479.66</v>
      </c>
      <c r="O20" s="48">
        <f>K20/K$27</f>
        <v>0.15685609817865095</v>
      </c>
      <c r="P20" s="49">
        <f>N20/N$27</f>
        <v>0.18900925090267801</v>
      </c>
      <c r="Q20" s="16">
        <f>N20/M20-1</f>
        <v>0.27811012988109174</v>
      </c>
      <c r="R20" s="16">
        <f>(N20/K20)^(1/3)-1</f>
        <v>0.28536257653570085</v>
      </c>
      <c r="S20" s="44"/>
      <c r="T20" s="45" t="s">
        <v>30</v>
      </c>
    </row>
    <row r="21" spans="1:20" ht="12.75">
      <c r="A21" s="2"/>
      <c r="B21" s="36" t="s">
        <v>31</v>
      </c>
      <c r="C21" s="43"/>
      <c r="D21" s="43"/>
      <c r="E21" s="43"/>
      <c r="F21" s="43">
        <v>230.37</v>
      </c>
      <c r="G21" s="43">
        <v>423.43</v>
      </c>
      <c r="H21" s="43">
        <v>755.51</v>
      </c>
      <c r="I21" s="43">
        <v>1165.8400000000001</v>
      </c>
      <c r="J21" s="43">
        <v>1582.48</v>
      </c>
      <c r="K21" s="38">
        <v>2556.8100000000004</v>
      </c>
      <c r="L21" s="38">
        <v>3480.83</v>
      </c>
      <c r="M21" s="38">
        <v>4446.8099999999995</v>
      </c>
      <c r="N21" s="38">
        <v>5825.47</v>
      </c>
      <c r="O21" s="39">
        <f>K21/K$27</f>
        <v>0.10043807453610465</v>
      </c>
      <c r="P21" s="40">
        <f>N21/N$27</f>
        <v>0.12984809778411205</v>
      </c>
      <c r="Q21" s="50">
        <f>N21/M21-1</f>
        <v>0.31003348467778036</v>
      </c>
      <c r="R21" s="50">
        <f>(N21/K21)^(1/3)-1</f>
        <v>0.31586349246153889</v>
      </c>
      <c r="S21" s="5"/>
      <c r="T21" s="45" t="s">
        <v>32</v>
      </c>
    </row>
    <row r="22" spans="1:20" ht="12.75">
      <c r="A22" s="2"/>
      <c r="B22" s="36" t="s">
        <v>33</v>
      </c>
      <c r="C22" s="43"/>
      <c r="D22" s="43"/>
      <c r="E22" s="43"/>
      <c r="F22" s="43">
        <v>326.53999999999996</v>
      </c>
      <c r="G22" s="43">
        <v>469.48000000000008</v>
      </c>
      <c r="H22" s="43">
        <v>568.16</v>
      </c>
      <c r="I22" s="43">
        <v>745.79</v>
      </c>
      <c r="J22" s="43">
        <v>971.59</v>
      </c>
      <c r="K22" s="38">
        <v>1329.7911999999999</v>
      </c>
      <c r="L22" s="38">
        <v>1661.68</v>
      </c>
      <c r="M22" s="38">
        <v>1766.98</v>
      </c>
      <c r="N22" s="38">
        <v>2170.31</v>
      </c>
      <c r="O22" s="39">
        <f>K22/K$27</f>
        <v>0.052237619401932882</v>
      </c>
      <c r="P22" s="40">
        <f>N22/N$27</f>
        <v>0.048375603187697513</v>
      </c>
      <c r="Q22" s="50">
        <f>N22/M22-1</f>
        <v>0.2282595162367429</v>
      </c>
      <c r="R22" s="50">
        <f>(N22/K22)^(1/3)-1</f>
        <v>0.17736947599776487</v>
      </c>
      <c r="S22" s="5"/>
      <c r="T22" s="45" t="s">
        <v>34</v>
      </c>
    </row>
    <row r="23" spans="1:19" ht="12.75">
      <c r="A23" s="2"/>
      <c r="B23" s="36" t="s">
        <v>35</v>
      </c>
      <c r="C23" s="43"/>
      <c r="D23" s="43"/>
      <c r="E23" s="43"/>
      <c r="F23" s="43">
        <v>0</v>
      </c>
      <c r="G23" s="43">
        <v>4.09</v>
      </c>
      <c r="H23" s="43">
        <v>5.98</v>
      </c>
      <c r="I23" s="43">
        <v>-0.01</v>
      </c>
      <c r="J23" s="43">
        <v>0</v>
      </c>
      <c r="K23" s="38">
        <v>0</v>
      </c>
      <c r="L23" s="38">
        <v>0</v>
      </c>
      <c r="M23" s="38">
        <v>0</v>
      </c>
      <c r="N23" s="38"/>
      <c r="O23" s="39">
        <f>K23/K$27</f>
        <v>0</v>
      </c>
      <c r="P23" s="40">
        <f>N23/N$27</f>
        <v>0</v>
      </c>
      <c r="Q23" s="50" t="e">
        <f>N23/M23-1</f>
        <v>#DIV/0!</v>
      </c>
      <c r="R23" s="50" t="e">
        <f>(N23/K23)^(1/3)-1</f>
        <v>#DIV/0!</v>
      </c>
      <c r="S23" s="5"/>
    </row>
    <row r="24" spans="1:19" ht="12.75">
      <c r="A24" s="2"/>
      <c r="B24" s="36" t="s">
        <v>36</v>
      </c>
      <c r="C24" s="43"/>
      <c r="D24" s="43"/>
      <c r="E24" s="43"/>
      <c r="F24" s="43">
        <v>1586.2499999999998</v>
      </c>
      <c r="G24" s="43">
        <v>2014.74</v>
      </c>
      <c r="H24" s="43">
        <v>2073.84</v>
      </c>
      <c r="I24" s="43">
        <v>0</v>
      </c>
      <c r="J24" s="43">
        <v>0</v>
      </c>
      <c r="K24" s="38">
        <v>0</v>
      </c>
      <c r="L24" s="38">
        <v>0</v>
      </c>
      <c r="M24" s="38">
        <v>0</v>
      </c>
      <c r="N24" s="38"/>
      <c r="O24" s="39">
        <f>K24/K$27</f>
        <v>0</v>
      </c>
      <c r="P24" s="40">
        <f>N24/N$27</f>
        <v>0</v>
      </c>
      <c r="Q24" s="50" t="e">
        <f>N24/M24-1</f>
        <v>#DIV/0!</v>
      </c>
      <c r="R24" s="50" t="e">
        <f>(N24/K24)^(1/3)-1</f>
        <v>#DIV/0!</v>
      </c>
      <c r="S24" s="5"/>
    </row>
    <row r="25" spans="1:19" ht="12.75">
      <c r="A25" s="2"/>
      <c r="B25" s="36" t="s">
        <v>37</v>
      </c>
      <c r="C25" s="43"/>
      <c r="D25" s="43"/>
      <c r="E25" s="43"/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38">
        <v>0</v>
      </c>
      <c r="L25" s="38">
        <v>0</v>
      </c>
      <c r="M25" s="38">
        <v>16.079999999999998</v>
      </c>
      <c r="N25" s="38">
        <v>141</v>
      </c>
      <c r="O25" s="39">
        <f>K25/K$27</f>
        <v>0</v>
      </c>
      <c r="P25" s="40">
        <f>N25/N$27</f>
        <v>0.0031428505833108402</v>
      </c>
      <c r="Q25" s="51">
        <f>N25/M25-1</f>
        <v>7.7686567164179117</v>
      </c>
      <c r="R25" s="51" t="s">
        <v>38</v>
      </c>
      <c r="S25" s="5"/>
    </row>
    <row r="26" spans="1:19" ht="12.75">
      <c r="A26" s="2"/>
      <c r="B26" s="36" t="s">
        <v>39</v>
      </c>
      <c r="C26" s="43"/>
      <c r="D26" s="43"/>
      <c r="E26" s="43"/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38">
        <v>0</v>
      </c>
      <c r="L26" s="38">
        <v>0</v>
      </c>
      <c r="M26" s="38">
        <v>2.37</v>
      </c>
      <c r="N26" s="38">
        <v>43.849999999999994</v>
      </c>
      <c r="O26" s="39">
        <f>K26/K$27</f>
        <v>0</v>
      </c>
      <c r="P26" s="40">
        <f>N26/N$27</f>
        <v>0.0009774042416892221</v>
      </c>
      <c r="Q26" s="51">
        <f>N26/M26-1</f>
        <v>17.502109704641349</v>
      </c>
      <c r="R26" s="51" t="s">
        <v>38</v>
      </c>
      <c r="S26" s="5"/>
    </row>
    <row r="27" spans="1:19" ht="12.75">
      <c r="A27" s="2"/>
      <c r="B27" s="52" t="s">
        <v>13</v>
      </c>
      <c r="C27" s="53"/>
      <c r="D27" s="53"/>
      <c r="E27" s="53"/>
      <c r="F27" s="53">
        <f>SUM(F18:F26)</f>
        <v>7919.01</v>
      </c>
      <c r="G27" s="53">
        <f>SUM(G18:G26)</f>
        <v>10794.019999999999</v>
      </c>
      <c r="H27" s="53">
        <f>SUM(H18:H26)</f>
        <v>13545.69</v>
      </c>
      <c r="I27" s="53">
        <f>SUM(I18:I26)</f>
        <v>15119.889999999998</v>
      </c>
      <c r="J27" s="53">
        <f>SUM(J18:J26)</f>
        <v>20089.32</v>
      </c>
      <c r="K27" s="53">
        <f>SUM(K18:K26)</f>
        <v>25456.581200000001</v>
      </c>
      <c r="L27" s="53">
        <f>SUM(L18:L26)</f>
        <v>32353.82</v>
      </c>
      <c r="M27" s="53">
        <f>SUM(M18:M26)</f>
        <v>37527.600000000006</v>
      </c>
      <c r="N27" s="53">
        <f>SUM(N18:N26)</f>
        <v>44863.729999999989</v>
      </c>
      <c r="O27" s="54">
        <f>K27/K$27</f>
        <v>1</v>
      </c>
      <c r="P27" s="55">
        <f>N27/N$27</f>
        <v>1</v>
      </c>
      <c r="Q27" s="56">
        <f>N27/M27-1</f>
        <v>0.19548625544932219</v>
      </c>
      <c r="R27" s="56">
        <f>(N27/K27)^(1/3)-1</f>
        <v>0.20790218486403722</v>
      </c>
      <c r="S27" s="57"/>
    </row>
    <row r="28" spans="1:14" ht="12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58"/>
      <c r="N28" s="58"/>
    </row>
    <row r="29" spans="1:2" ht="12.75">
      <c r="A29" s="1"/>
      <c r="B29" s="2" t="s">
        <v>40</v>
      </c>
    </row>
    <row r="30" spans="1:15" ht="12.75">
      <c r="A30" s="1"/>
      <c r="B30" s="6" t="s">
        <v>22</v>
      </c>
      <c r="C30" s="7">
        <v>15</v>
      </c>
      <c r="D30" s="7">
        <f>C30+1</f>
        <v>16</v>
      </c>
      <c r="E30" s="7">
        <f>D30+1</f>
        <v>17</v>
      </c>
      <c r="F30" s="7">
        <f>E30+1</f>
        <v>18</v>
      </c>
      <c r="G30" s="7">
        <f>F30+1</f>
        <v>19</v>
      </c>
      <c r="H30" s="7">
        <f>G30+1</f>
        <v>20</v>
      </c>
      <c r="I30" s="7">
        <f>H30+1</f>
        <v>21</v>
      </c>
      <c r="J30" s="7">
        <f>I30+1</f>
        <v>22</v>
      </c>
      <c r="K30" s="7">
        <f>J30+1</f>
        <v>23</v>
      </c>
      <c r="L30" s="7">
        <f>K30+1</f>
        <v>24</v>
      </c>
      <c r="M30" s="7">
        <f>L30+1</f>
        <v>25</v>
      </c>
      <c r="N30" s="7">
        <f>M30+1</f>
        <v>26</v>
      </c>
      <c r="O30" s="9" t="s">
        <v>41</v>
      </c>
    </row>
    <row r="31" spans="1:15" ht="12.75">
      <c r="A31" s="1"/>
      <c r="B31" s="36" t="s">
        <v>25</v>
      </c>
      <c r="C31" s="59" t="str">
        <f>IFERROR(C42/C18,"")</f>
        <v/>
      </c>
      <c r="D31" s="59" t="str">
        <f>IFERROR(D42/D18,"")</f>
        <v/>
      </c>
      <c r="E31" s="59" t="str">
        <f>IFERROR(E42/E18,"")</f>
        <v/>
      </c>
      <c r="F31" s="59">
        <f>IFERROR(F42/F18,"")</f>
        <v>0.89725687018654277</v>
      </c>
      <c r="G31" s="59">
        <f>IFERROR(G42/G18,"")</f>
        <v>0.88491164219534435</v>
      </c>
      <c r="H31" s="59">
        <f>IFERROR(H42/H18,"")</f>
        <v>0.87139860534627156</v>
      </c>
      <c r="I31" s="59">
        <f>IFERROR(I42/I18,"")</f>
        <v>0.89550643218690018</v>
      </c>
      <c r="J31" s="59">
        <f>IFERROR(J42/J18,"")</f>
        <v>0.89683724405865461</v>
      </c>
      <c r="K31" s="60">
        <f>IFERROR(K42/K18,"")</f>
        <v>0.9365050001802856</v>
      </c>
      <c r="L31" s="60">
        <f>IFERROR(L42/L18,"")</f>
        <v>0.927688283225102</v>
      </c>
      <c r="M31" s="60">
        <f>IFERROR(M42/M18,"")</f>
        <v>0.9326809266659728</v>
      </c>
      <c r="N31" s="60">
        <f>IFERROR(N42/N18,"")</f>
        <v>0.96246061847438369</v>
      </c>
      <c r="O31" s="41">
        <f>N31-M31</f>
        <v>0.029779691808410891</v>
      </c>
    </row>
    <row r="32" spans="1:15" ht="12.75">
      <c r="A32" s="1"/>
      <c r="B32" s="36" t="s">
        <v>27</v>
      </c>
      <c r="C32" s="61" t="str">
        <f>IFERROR(C43/C19,"")</f>
        <v/>
      </c>
      <c r="D32" s="61" t="str">
        <f>IFERROR(D43/D19,"")</f>
        <v/>
      </c>
      <c r="E32" s="61" t="str">
        <f>IFERROR(E43/E19,"")</f>
        <v/>
      </c>
      <c r="F32" s="61">
        <f>IFERROR(F43/F19,"")</f>
        <v>0.62403587262384352</v>
      </c>
      <c r="G32" s="61">
        <f>IFERROR(G43/G19,"")</f>
        <v>0.51685272968423812</v>
      </c>
      <c r="H32" s="61">
        <f>IFERROR(H43/H19,"")</f>
        <v>0.51219228046277798</v>
      </c>
      <c r="I32" s="61">
        <f>IFERROR(I43/I19,"")</f>
        <v>0.69362827005304051</v>
      </c>
      <c r="J32" s="61">
        <f>IFERROR(J43/J19,"")</f>
        <v>0.62163284595225488</v>
      </c>
      <c r="K32" s="60">
        <f>IFERROR(K43/K19,"")</f>
        <v>0.56598096866427905</v>
      </c>
      <c r="L32" s="60">
        <f>IFERROR(L43/L19,"")</f>
        <v>0.59684413050628782</v>
      </c>
      <c r="M32" s="60">
        <f>IFERROR(M43/M19,"")</f>
        <v>0.62829011658994394</v>
      </c>
      <c r="N32" s="60">
        <f>IFERROR(N43/N19,"")</f>
        <v>0.67540231767740888</v>
      </c>
      <c r="O32" s="41">
        <f>N32-M32</f>
        <v>0.047112201087464944</v>
      </c>
    </row>
    <row r="33" spans="1:15" ht="12.75">
      <c r="A33" s="1"/>
      <c r="B33" s="11" t="s">
        <v>29</v>
      </c>
      <c r="C33" s="62" t="str">
        <f>IFERROR(C44/C20,"")</f>
        <v/>
      </c>
      <c r="D33" s="62" t="str">
        <f>IFERROR(D44/D20,"")</f>
        <v/>
      </c>
      <c r="E33" s="62" t="str">
        <f>IFERROR(E44/E20,"")</f>
        <v/>
      </c>
      <c r="F33" s="62">
        <f>IFERROR(F44/F20,"")</f>
        <v>0.85326803541156537</v>
      </c>
      <c r="G33" s="62">
        <f>IFERROR(G44/G20,"")</f>
        <v>0.80556375684807935</v>
      </c>
      <c r="H33" s="62">
        <f>IFERROR(H44/H20,"")</f>
        <v>0.7373541186049668</v>
      </c>
      <c r="I33" s="62">
        <f>IFERROR(I44/I20,"")</f>
        <v>0.81182473708166636</v>
      </c>
      <c r="J33" s="62">
        <f>IFERROR(J44/J20,"")</f>
        <v>0.78470984497421092</v>
      </c>
      <c r="K33" s="63">
        <f>IFERROR(K44/K20,"")</f>
        <v>0.74373281376001121</v>
      </c>
      <c r="L33" s="63">
        <f>IFERROR(L44/L20,"")</f>
        <v>0.69630208578899833</v>
      </c>
      <c r="M33" s="63">
        <f>IFERROR(M44/M20,"")</f>
        <v>0.66809555462105075</v>
      </c>
      <c r="N33" s="63">
        <f>IFERROR(N44/N20,"")</f>
        <v>0.6778090159275254</v>
      </c>
      <c r="O33" s="16">
        <f>N33-M33</f>
        <v>0.0097134613064746578</v>
      </c>
    </row>
    <row r="34" spans="1:15" ht="12.75">
      <c r="A34" s="1"/>
      <c r="B34" s="36" t="s">
        <v>31</v>
      </c>
      <c r="C34" s="61" t="str">
        <f>IFERROR(C45/C21,"")</f>
        <v/>
      </c>
      <c r="D34" s="61" t="str">
        <f>IFERROR(D45/D21,"")</f>
        <v/>
      </c>
      <c r="E34" s="61" t="str">
        <f>IFERROR(E45/E21,"")</f>
        <v/>
      </c>
      <c r="F34" s="61">
        <f>IFERROR(F45/F21,"")</f>
        <v>0.33385423449233836</v>
      </c>
      <c r="G34" s="61">
        <f>IFERROR(G45/G21,"")</f>
        <v>0.46834187469003141</v>
      </c>
      <c r="H34" s="61">
        <f>IFERROR(H45/H21,"")</f>
        <v>0.46268083810935662</v>
      </c>
      <c r="I34" s="61">
        <f>IFERROR(I45/I21,"")</f>
        <v>0.47945687229808548</v>
      </c>
      <c r="J34" s="61">
        <f>IFERROR(J45/J21,"")</f>
        <v>0.42973686871240074</v>
      </c>
      <c r="K34" s="60">
        <f>IFERROR(K45/K21,"")</f>
        <v>0.32671962328057225</v>
      </c>
      <c r="L34" s="60">
        <f>IFERROR(L45/L21,"")</f>
        <v>0.32383942910167979</v>
      </c>
      <c r="M34" s="60">
        <f>IFERROR(M45/M21,"")</f>
        <v>0.32386587238942077</v>
      </c>
      <c r="N34" s="60">
        <f>IFERROR(N45/N21,"")</f>
        <v>0.37144814066504506</v>
      </c>
      <c r="O34" s="50">
        <f>N34-M34</f>
        <v>0.047582268275624284</v>
      </c>
    </row>
    <row r="35" spans="1:15" ht="12.75">
      <c r="A35" s="1"/>
      <c r="B35" s="36" t="s">
        <v>33</v>
      </c>
      <c r="C35" s="61" t="str">
        <f>IFERROR(C46/C22,"")</f>
        <v/>
      </c>
      <c r="D35" s="61" t="str">
        <f>IFERROR(D46/D22,"")</f>
        <v/>
      </c>
      <c r="E35" s="61" t="str">
        <f>IFERROR(E46/E22,"")</f>
        <v/>
      </c>
      <c r="F35" s="61">
        <f>IFERROR(F46/F22,"")</f>
        <v>0.67345501316837142</v>
      </c>
      <c r="G35" s="61">
        <f>IFERROR(G46/G22,"")</f>
        <v>0.56762801397290608</v>
      </c>
      <c r="H35" s="61">
        <f>IFERROR(H46/H22,"")</f>
        <v>0.54968670796958607</v>
      </c>
      <c r="I35" s="61">
        <f>IFERROR(I46/I22,"")</f>
        <v>0.52774909827163141</v>
      </c>
      <c r="J35" s="61">
        <f>IFERROR(J46/J22,"")</f>
        <v>0.47723834127564096</v>
      </c>
      <c r="K35" s="60">
        <f>IFERROR(K46/K22,"")</f>
        <v>0.43508334240743968</v>
      </c>
      <c r="L35" s="60">
        <f>IFERROR(L46/L22,"")</f>
        <v>0.44899138221558904</v>
      </c>
      <c r="M35" s="60">
        <f>IFERROR(M46/M22,"")</f>
        <v>0.47602123396982421</v>
      </c>
      <c r="N35" s="60">
        <f>IFERROR(N46/N22,"")</f>
        <v>0.5156083693112965</v>
      </c>
      <c r="O35" s="50">
        <f>N35-M35</f>
        <v>0.03958713534147229</v>
      </c>
    </row>
    <row r="36" spans="1:15" ht="12.75">
      <c r="A36" s="1"/>
      <c r="B36" s="36" t="s">
        <v>37</v>
      </c>
      <c r="C36" s="61" t="str">
        <f>IFERROR(C47/C25,"")</f>
        <v/>
      </c>
      <c r="D36" s="61" t="str">
        <f>IFERROR(D47/D25,"")</f>
        <v/>
      </c>
      <c r="E36" s="61" t="str">
        <f>IFERROR(E47/E25,"")</f>
        <v/>
      </c>
      <c r="F36" s="60" t="str">
        <f>IFERROR(F47/F25,"")</f>
        <v/>
      </c>
      <c r="G36" s="60" t="str">
        <f>IFERROR(G47/G25,"")</f>
        <v/>
      </c>
      <c r="H36" s="60" t="str">
        <f>IFERROR(H47/H25,"")</f>
        <v/>
      </c>
      <c r="I36" s="60" t="str">
        <f>IFERROR(I47/I25,"")</f>
        <v/>
      </c>
      <c r="J36" s="60" t="str">
        <f>IFERROR(J47/J25,"")</f>
        <v/>
      </c>
      <c r="K36" s="60" t="str">
        <f>IFERROR(K47/K25,"")</f>
        <v/>
      </c>
      <c r="L36" s="60" t="str">
        <f>IFERROR(L47/L25,"")</f>
        <v/>
      </c>
      <c r="M36" s="60">
        <f>IFERROR(M47/M25,"")</f>
        <v>0.87002487562189068</v>
      </c>
      <c r="N36" s="60">
        <f>IFERROR(N47/N25,"")</f>
        <v>0.68794326241134751</v>
      </c>
      <c r="O36" s="41">
        <f>N36-M36</f>
        <v>-0.18208161321054317</v>
      </c>
    </row>
    <row r="37" spans="1:15" ht="12.75">
      <c r="A37" s="1"/>
      <c r="B37" s="36" t="s">
        <v>39</v>
      </c>
      <c r="C37" s="61" t="str">
        <f>IFERROR(C48/C26,"")</f>
        <v/>
      </c>
      <c r="D37" s="61" t="str">
        <f>IFERROR(D48/D26,"")</f>
        <v/>
      </c>
      <c r="E37" s="61" t="str">
        <f>IFERROR(E48/E26,"")</f>
        <v/>
      </c>
      <c r="F37" s="60" t="str">
        <f>IFERROR(F48/F26,"")</f>
        <v/>
      </c>
      <c r="G37" s="60" t="str">
        <f>IFERROR(G48/G26,"")</f>
        <v/>
      </c>
      <c r="H37" s="60" t="str">
        <f>IFERROR(H48/H26,"")</f>
        <v/>
      </c>
      <c r="I37" s="60" t="str">
        <f>IFERROR(I48/I26,"")</f>
        <v/>
      </c>
      <c r="J37" s="60" t="str">
        <f>IFERROR(J48/J26,"")</f>
        <v/>
      </c>
      <c r="K37" s="60" t="str">
        <f>IFERROR(K48/K26,"")</f>
        <v/>
      </c>
      <c r="L37" s="60" t="str">
        <f>IFERROR(L48/L26,"")</f>
        <v/>
      </c>
      <c r="M37" s="60">
        <f>IFERROR(M48/M26,"")</f>
        <v>1</v>
      </c>
      <c r="N37" s="60">
        <f>IFERROR(N48/N26,"")</f>
        <v>0.20638540478905362</v>
      </c>
      <c r="O37" s="41">
        <f>N37-M37</f>
        <v>-0.79361459521094635</v>
      </c>
    </row>
    <row r="38" spans="1:15" ht="12.75">
      <c r="A38" s="1"/>
      <c r="B38" s="52" t="s">
        <v>13</v>
      </c>
      <c r="C38" s="64" t="str">
        <f>IFERROR(C49/C27,"")</f>
        <v/>
      </c>
      <c r="D38" s="64" t="str">
        <f>IFERROR(D49/D27,"")</f>
        <v/>
      </c>
      <c r="E38" s="64" t="str">
        <f>IFERROR(E49/E27,"")</f>
        <v/>
      </c>
      <c r="F38" s="64">
        <f>IFERROR(F49/F27,"")</f>
        <v>0.65369534828217157</v>
      </c>
      <c r="G38" s="64">
        <f>IFERROR(G49/G27,"")</f>
        <v>0.62521007002025208</v>
      </c>
      <c r="H38" s="64">
        <f>IFERROR(H49/H27,"")</f>
        <v>0.63046400737061004</v>
      </c>
      <c r="I38" s="64">
        <f>IFERROR(I49/I27,"")</f>
        <v>0.80488217837563647</v>
      </c>
      <c r="J38" s="64">
        <f>IFERROR(J49/J27,"")</f>
        <v>0.77657531464479634</v>
      </c>
      <c r="K38" s="64">
        <f>IFERROR(K49/K27,"")</f>
        <v>0.7486814450952276</v>
      </c>
      <c r="L38" s="64">
        <f>IFERROR(L49/L27,"")</f>
        <v>0.73061449930796418</v>
      </c>
      <c r="M38" s="64">
        <f>IFERROR(M49/M27,"")</f>
        <v>0.72625241155842613</v>
      </c>
      <c r="N38" s="64">
        <f>IFERROR(N49/N27,"")</f>
        <v>0.74619586913526836</v>
      </c>
      <c r="O38" s="56">
        <f>N38-M38</f>
        <v>0.019943457576842238</v>
      </c>
    </row>
    <row r="39" spans="1:20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19" ht="12.75">
      <c r="A40" s="2" t="s">
        <v>0</v>
      </c>
      <c r="B40" s="2" t="s">
        <v>42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</row>
    <row r="41" spans="1:19" ht="12.75">
      <c r="A41" s="2"/>
      <c r="B41" s="6" t="s">
        <v>22</v>
      </c>
      <c r="C41" s="7">
        <v>15</v>
      </c>
      <c r="D41" s="7">
        <f>C41+1</f>
        <v>16</v>
      </c>
      <c r="E41" s="7">
        <f>D41+1</f>
        <v>17</v>
      </c>
      <c r="F41" s="7">
        <f>E41+1</f>
        <v>18</v>
      </c>
      <c r="G41" s="7">
        <f>F41+1</f>
        <v>19</v>
      </c>
      <c r="H41" s="7">
        <f>G41+1</f>
        <v>20</v>
      </c>
      <c r="I41" s="7">
        <f>H41+1</f>
        <v>21</v>
      </c>
      <c r="J41" s="7">
        <f>I41+1</f>
        <v>22</v>
      </c>
      <c r="K41" s="7">
        <f>J41+1</f>
        <v>23</v>
      </c>
      <c r="L41" s="7">
        <f>K41+1</f>
        <v>24</v>
      </c>
      <c r="M41" s="7">
        <f>L41+1</f>
        <v>25</v>
      </c>
      <c r="N41" s="7">
        <f>M41+1</f>
        <v>26</v>
      </c>
      <c r="O41" s="9" t="s">
        <v>43</v>
      </c>
      <c r="P41" s="9" t="s">
        <v>23</v>
      </c>
      <c r="Q41" s="9" t="s">
        <v>5</v>
      </c>
      <c r="R41" s="9" t="s">
        <v>6</v>
      </c>
      <c r="S41" s="5"/>
    </row>
    <row r="42" spans="1:19" ht="12.75">
      <c r="A42" s="2"/>
      <c r="B42" s="36" t="s">
        <v>25</v>
      </c>
      <c r="C42" s="37"/>
      <c r="D42" s="37"/>
      <c r="E42" s="37"/>
      <c r="F42" s="37">
        <v>3629.09</v>
      </c>
      <c r="G42" s="37">
        <v>4678.05</v>
      </c>
      <c r="H42" s="37">
        <v>5865.75</v>
      </c>
      <c r="I42" s="37">
        <v>8242.68</v>
      </c>
      <c r="J42" s="37">
        <v>10129.40</v>
      </c>
      <c r="K42" s="38">
        <v>11947.50</v>
      </c>
      <c r="L42" s="38">
        <v>13951.30</v>
      </c>
      <c r="M42" s="38">
        <v>15413</v>
      </c>
      <c r="N42" s="38">
        <v>17743</v>
      </c>
      <c r="O42" s="39">
        <f>K42/$K$49</f>
        <v>0.6268734715122144</v>
      </c>
      <c r="P42" s="40">
        <f>N42/N$49</f>
        <v>0.53000361739491997</v>
      </c>
      <c r="Q42" s="41">
        <f>N42/M42-1</f>
        <v>0.15117108934016743</v>
      </c>
      <c r="R42" s="41">
        <f>(N42/K42)^(1/3)-1</f>
        <v>0.14090636875382745</v>
      </c>
      <c r="S42" s="5"/>
    </row>
    <row r="43" spans="1:19" ht="12.75">
      <c r="A43" s="2"/>
      <c r="B43" s="36" t="s">
        <v>27</v>
      </c>
      <c r="C43" s="43"/>
      <c r="D43" s="43"/>
      <c r="E43" s="43"/>
      <c r="F43" s="43">
        <v>616.51</v>
      </c>
      <c r="G43" s="43">
        <v>869</v>
      </c>
      <c r="H43" s="43">
        <v>1143.08</v>
      </c>
      <c r="I43" s="43">
        <v>1618.97</v>
      </c>
      <c r="J43" s="43">
        <v>2170.40</v>
      </c>
      <c r="K43" s="38">
        <v>2727.70</v>
      </c>
      <c r="L43" s="38">
        <v>3973.83</v>
      </c>
      <c r="M43" s="38">
        <v>5111.3599999999997</v>
      </c>
      <c r="N43" s="38">
        <v>6597.60</v>
      </c>
      <c r="O43" s="39">
        <f>K43/$K$49</f>
        <v>0.14311971276366328</v>
      </c>
      <c r="P43" s="40">
        <f>N43/N$49</f>
        <v>0.19707782596656284</v>
      </c>
      <c r="Q43" s="41">
        <f>N43/M43-1</f>
        <v>0.29077192762787218</v>
      </c>
      <c r="R43" s="41">
        <f>(N43/K43)^(1/3)-1</f>
        <v>0.34234183644856464</v>
      </c>
      <c r="S43" s="5"/>
    </row>
    <row r="44" spans="1:19" ht="12.75">
      <c r="A44" s="2"/>
      <c r="B44" s="11" t="s">
        <v>29</v>
      </c>
      <c r="C44" s="46"/>
      <c r="D44" s="46"/>
      <c r="E44" s="46"/>
      <c r="F44" s="46">
        <v>634.20000000000005</v>
      </c>
      <c r="G44" s="46">
        <v>736.68</v>
      </c>
      <c r="H44" s="46">
        <v>869.37</v>
      </c>
      <c r="I44" s="46">
        <v>1355.52</v>
      </c>
      <c r="J44" s="46">
        <v>2157.34</v>
      </c>
      <c r="K44" s="47">
        <v>2969.74</v>
      </c>
      <c r="L44" s="47">
        <v>3839.73</v>
      </c>
      <c r="M44" s="47">
        <v>4432.50</v>
      </c>
      <c r="N44" s="47">
        <v>5747.59</v>
      </c>
      <c r="O44" s="48">
        <f>K44/$K$49</f>
        <v>0.15581931142822211</v>
      </c>
      <c r="P44" s="49">
        <f>N44/N$49</f>
        <v>0.17168705919533722</v>
      </c>
      <c r="Q44" s="16">
        <f>N44/M44-1</f>
        <v>0.29669261139311898</v>
      </c>
      <c r="R44" s="16">
        <f>(N44/K44)^(1/3)-1</f>
        <v>0.24620393228054605</v>
      </c>
      <c r="S44" s="5"/>
    </row>
    <row r="45" spans="1:19" ht="12.75">
      <c r="A45" s="2"/>
      <c r="B45" s="36" t="s">
        <v>31</v>
      </c>
      <c r="C45" s="43"/>
      <c r="D45" s="43"/>
      <c r="E45" s="43"/>
      <c r="F45" s="43">
        <v>76.91</v>
      </c>
      <c r="G45" s="43">
        <v>198.31</v>
      </c>
      <c r="H45" s="43">
        <v>349.56</v>
      </c>
      <c r="I45" s="43">
        <v>558.97</v>
      </c>
      <c r="J45" s="43">
        <v>680.05</v>
      </c>
      <c r="K45" s="38">
        <v>835.36</v>
      </c>
      <c r="L45" s="38">
        <v>1127.23</v>
      </c>
      <c r="M45" s="38">
        <v>1440.17</v>
      </c>
      <c r="N45" s="38">
        <v>2163.86</v>
      </c>
      <c r="O45" s="39">
        <f>K45/$K$49</f>
        <v>0.043830510413261643</v>
      </c>
      <c r="P45" s="40">
        <f>N45/N$49</f>
        <v>0.064636962607009615</v>
      </c>
      <c r="Q45" s="50">
        <f>N45/M45-1</f>
        <v>0.50250317670830524</v>
      </c>
      <c r="R45" s="50">
        <f>(N45/K45)^(1/3)-1</f>
        <v>0.37336242501735195</v>
      </c>
      <c r="S45" s="5"/>
    </row>
    <row r="46" spans="1:19" ht="12.75">
      <c r="A46" s="2"/>
      <c r="B46" s="36" t="s">
        <v>33</v>
      </c>
      <c r="C46" s="43"/>
      <c r="D46" s="43"/>
      <c r="E46" s="43"/>
      <c r="F46" s="43">
        <v>219.91</v>
      </c>
      <c r="G46" s="43">
        <v>266.49</v>
      </c>
      <c r="H46" s="43">
        <v>312.31</v>
      </c>
      <c r="I46" s="43">
        <v>393.59</v>
      </c>
      <c r="J46" s="43">
        <v>463.68</v>
      </c>
      <c r="K46" s="38">
        <v>578.57000000000005</v>
      </c>
      <c r="L46" s="38">
        <v>746.08</v>
      </c>
      <c r="M46" s="38">
        <v>841.12</v>
      </c>
      <c r="N46" s="38">
        <v>1119.03</v>
      </c>
      <c r="O46" s="39">
        <f>K46/$K$49</f>
        <v>0.030356993882638371</v>
      </c>
      <c r="P46" s="40">
        <f>N46/N$49</f>
        <v>0.033426700556469444</v>
      </c>
      <c r="Q46" s="50">
        <f>N46/M46-1</f>
        <v>0.33040469849724174</v>
      </c>
      <c r="R46" s="50">
        <f>(N46/K46)^(1/3)-1</f>
        <v>0.24593467584372797</v>
      </c>
      <c r="S46" s="5"/>
    </row>
    <row r="47" spans="1:19" ht="12.75">
      <c r="A47" s="2"/>
      <c r="B47" s="36" t="s">
        <v>37</v>
      </c>
      <c r="C47" s="43"/>
      <c r="D47" s="43"/>
      <c r="E47" s="43"/>
      <c r="F47" s="38">
        <v>0</v>
      </c>
      <c r="G47" s="38">
        <v>0</v>
      </c>
      <c r="H47" s="38">
        <v>0</v>
      </c>
      <c r="I47" s="38">
        <v>0</v>
      </c>
      <c r="J47" s="38">
        <v>0</v>
      </c>
      <c r="K47" s="38">
        <v>0</v>
      </c>
      <c r="L47" s="38">
        <v>0</v>
      </c>
      <c r="M47" s="38">
        <v>13.99</v>
      </c>
      <c r="N47" s="38">
        <v>97</v>
      </c>
      <c r="O47" s="39">
        <f>K47/$K$49</f>
        <v>0</v>
      </c>
      <c r="P47" s="40">
        <f>N47/N$49</f>
        <v>0.0028975004727107728</v>
      </c>
      <c r="Q47" s="51">
        <f>N47/M47-1</f>
        <v>5.933523945675482</v>
      </c>
      <c r="R47" s="51" t="s">
        <v>38</v>
      </c>
      <c r="S47" s="5"/>
    </row>
    <row r="48" spans="1:19" ht="12.75">
      <c r="A48" s="2"/>
      <c r="B48" s="36" t="s">
        <v>39</v>
      </c>
      <c r="C48" s="43"/>
      <c r="D48" s="43"/>
      <c r="E48" s="43"/>
      <c r="F48" s="38">
        <v>0</v>
      </c>
      <c r="G48" s="38">
        <v>0</v>
      </c>
      <c r="H48" s="38">
        <v>0</v>
      </c>
      <c r="I48" s="38">
        <v>0</v>
      </c>
      <c r="J48" s="38">
        <v>0</v>
      </c>
      <c r="K48" s="38">
        <v>0</v>
      </c>
      <c r="L48" s="38">
        <v>0</v>
      </c>
      <c r="M48" s="38">
        <v>2.37</v>
      </c>
      <c r="N48" s="38">
        <v>9.0500000000000007</v>
      </c>
      <c r="O48" s="39">
        <f>K48/$K$49</f>
        <v>0</v>
      </c>
      <c r="P48" s="40">
        <f>N48/N$49</f>
        <v>0.00027033380699002574</v>
      </c>
      <c r="Q48" s="51">
        <f>N48/M48-1</f>
        <v>2.8185654008438821</v>
      </c>
      <c r="R48" s="51" t="s">
        <v>38</v>
      </c>
      <c r="S48" s="5"/>
    </row>
    <row r="49" spans="1:19" ht="12.75">
      <c r="A49" s="2"/>
      <c r="B49" s="52" t="s">
        <v>13</v>
      </c>
      <c r="C49" s="53"/>
      <c r="D49" s="53"/>
      <c r="E49" s="53"/>
      <c r="F49" s="53">
        <f>SUM(F42:F48)</f>
        <v>5176.62</v>
      </c>
      <c r="G49" s="53">
        <f>SUM(G42:G48)</f>
        <v>6748.5300000000007</v>
      </c>
      <c r="H49" s="53">
        <f>SUM(H42:H48)</f>
        <v>8540.07</v>
      </c>
      <c r="I49" s="53">
        <f>SUM(I42:I48)</f>
        <v>12169.73</v>
      </c>
      <c r="J49" s="53">
        <f>SUM(J42:J48)</f>
        <v>15600.869999999999</v>
      </c>
      <c r="K49" s="53">
        <f>SUM(K42:K48)</f>
        <v>19058.870000000003</v>
      </c>
      <c r="L49" s="53">
        <f>SUM(L42:L48)</f>
        <v>23638.17</v>
      </c>
      <c r="M49" s="53">
        <f>SUM(M42:M48)</f>
        <v>27254.51</v>
      </c>
      <c r="N49" s="53">
        <f>SUM(N42:N48)</f>
        <v>33477.130000000005</v>
      </c>
      <c r="O49" s="54">
        <f>K49/$K$49</f>
        <v>1</v>
      </c>
      <c r="P49" s="55">
        <f>N49/N$49</f>
        <v>1</v>
      </c>
      <c r="Q49" s="56">
        <f>N49/M49-1</f>
        <v>0.22831524030334815</v>
      </c>
      <c r="R49" s="56">
        <f>(N49/K49)^(1/3)-1</f>
        <v>0.20656398274286025</v>
      </c>
      <c r="S49" s="57"/>
    </row>
    <row r="50" spans="1:20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18" ht="12.75">
      <c r="A52" s="1"/>
      <c r="B52" s="2" t="s">
        <v>44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12.75">
      <c r="A53" s="1"/>
      <c r="B53" s="6" t="s">
        <v>22</v>
      </c>
      <c r="C53" s="7">
        <v>15</v>
      </c>
      <c r="D53" s="7">
        <f>C53+1</f>
        <v>16</v>
      </c>
      <c r="E53" s="7">
        <f>D53+1</f>
        <v>17</v>
      </c>
      <c r="F53" s="7">
        <f>E53+1</f>
        <v>18</v>
      </c>
      <c r="G53" s="7">
        <f>F53+1</f>
        <v>19</v>
      </c>
      <c r="H53" s="7">
        <f>G53+1</f>
        <v>20</v>
      </c>
      <c r="I53" s="7">
        <f>H53+1</f>
        <v>21</v>
      </c>
      <c r="J53" s="7">
        <f>I53+1</f>
        <v>22</v>
      </c>
      <c r="K53" s="7">
        <f>J53+1</f>
        <v>23</v>
      </c>
      <c r="L53" s="7">
        <f>K53+1</f>
        <v>24</v>
      </c>
      <c r="M53" s="7">
        <f>L53+1</f>
        <v>25</v>
      </c>
      <c r="N53" s="7">
        <f>M53+1</f>
        <v>26</v>
      </c>
      <c r="O53" s="9" t="s">
        <v>45</v>
      </c>
      <c r="P53" s="9" t="s">
        <v>23</v>
      </c>
      <c r="Q53" s="9" t="s">
        <v>5</v>
      </c>
      <c r="R53" s="9" t="s">
        <v>6</v>
      </c>
    </row>
    <row r="54" spans="1:18" ht="12.75">
      <c r="A54" s="1"/>
      <c r="B54" s="36" t="s">
        <v>25</v>
      </c>
      <c r="C54" s="43"/>
      <c r="D54" s="43"/>
      <c r="E54" s="43"/>
      <c r="F54" s="43">
        <v>3629.09</v>
      </c>
      <c r="G54" s="43">
        <v>4678.05</v>
      </c>
      <c r="H54" s="43">
        <v>5865.75</v>
      </c>
      <c r="I54" s="43">
        <v>8242.68</v>
      </c>
      <c r="J54" s="43">
        <v>10129.40</v>
      </c>
      <c r="K54" s="38">
        <v>11947.50</v>
      </c>
      <c r="L54" s="38">
        <v>13951.30</v>
      </c>
      <c r="M54" s="38">
        <v>15413</v>
      </c>
      <c r="N54" s="38">
        <v>17743</v>
      </c>
      <c r="O54" s="65">
        <f>K54/$K$66</f>
        <v>0.33716730920591631</v>
      </c>
      <c r="P54" s="40">
        <f>N54/N$66</f>
        <v>0.31295092633862237</v>
      </c>
      <c r="Q54" s="50">
        <f>N54/M54-1</f>
        <v>0.15117108934016743</v>
      </c>
      <c r="R54" s="41">
        <f>(N54/K54)^(1/3)-1</f>
        <v>0.14090636875382745</v>
      </c>
    </row>
    <row r="55" spans="1:18" ht="12.75">
      <c r="A55" s="1"/>
      <c r="B55" s="36" t="s">
        <v>27</v>
      </c>
      <c r="C55" s="43"/>
      <c r="D55" s="43"/>
      <c r="E55" s="43"/>
      <c r="F55" s="43">
        <v>616.51</v>
      </c>
      <c r="G55" s="43">
        <v>869</v>
      </c>
      <c r="H55" s="43">
        <v>1143.08</v>
      </c>
      <c r="I55" s="43">
        <v>1618.97</v>
      </c>
      <c r="J55" s="43">
        <v>2170.40</v>
      </c>
      <c r="K55" s="38">
        <v>2727.70</v>
      </c>
      <c r="L55" s="38">
        <v>3973.83</v>
      </c>
      <c r="M55" s="38">
        <v>5111.3599999999997</v>
      </c>
      <c r="N55" s="38">
        <v>6597.60</v>
      </c>
      <c r="O55" s="39">
        <f>K55/$K$66</f>
        <v>0.076977716620295275</v>
      </c>
      <c r="P55" s="40">
        <f>N55/N$66</f>
        <v>0.11636842876693315</v>
      </c>
      <c r="Q55" s="50">
        <f>N55/M55-1</f>
        <v>0.29077192762787218</v>
      </c>
      <c r="R55" s="41">
        <f>(N55/K55)^(1/3)-1</f>
        <v>0.34234183644856464</v>
      </c>
    </row>
    <row r="56" spans="1:18" ht="12.75">
      <c r="A56" s="1"/>
      <c r="B56" s="11" t="s">
        <v>29</v>
      </c>
      <c r="C56" s="46"/>
      <c r="D56" s="46"/>
      <c r="E56" s="46"/>
      <c r="F56" s="46">
        <v>634.20000000000005</v>
      </c>
      <c r="G56" s="46">
        <v>736.68</v>
      </c>
      <c r="H56" s="46">
        <v>869.37</v>
      </c>
      <c r="I56" s="46">
        <v>1355.52</v>
      </c>
      <c r="J56" s="46">
        <v>2157.34</v>
      </c>
      <c r="K56" s="66">
        <v>2969.74</v>
      </c>
      <c r="L56" s="66">
        <v>3839.73</v>
      </c>
      <c r="M56" s="66">
        <v>4432.50</v>
      </c>
      <c r="N56" s="66">
        <v>5747.59</v>
      </c>
      <c r="O56" s="67">
        <f>K56/$K$66</f>
        <v>0.083808264895683438</v>
      </c>
      <c r="P56" s="49">
        <f>N56/N$66</f>
        <v>0.1013759575446431</v>
      </c>
      <c r="Q56" s="49">
        <f>N56/M56-1</f>
        <v>0.29669261139311898</v>
      </c>
      <c r="R56" s="16">
        <f>(N56/K56)^(1/3)-1</f>
        <v>0.24620393228054605</v>
      </c>
    </row>
    <row r="57" spans="1:18" ht="12.75">
      <c r="A57" s="1"/>
      <c r="B57" s="1" t="s">
        <v>46</v>
      </c>
      <c r="C57" s="43"/>
      <c r="D57" s="43"/>
      <c r="E57" s="43"/>
      <c r="F57" s="43">
        <v>1080.33</v>
      </c>
      <c r="G57" s="43">
        <v>1392.03</v>
      </c>
      <c r="H57" s="43">
        <v>1452.24</v>
      </c>
      <c r="I57" s="43">
        <v>2723.59</v>
      </c>
      <c r="J57" s="43">
        <v>3076.20</v>
      </c>
      <c r="K57" s="38">
        <v>3440.48</v>
      </c>
      <c r="L57" s="38">
        <v>3964.17</v>
      </c>
      <c r="M57" s="38">
        <v>4212.70</v>
      </c>
      <c r="N57" s="38">
        <v>5155.80</v>
      </c>
      <c r="O57" s="39">
        <f>K57/$K$66</f>
        <v>0.097092896754699384</v>
      </c>
      <c r="P57" s="40">
        <f>N57/N$66</f>
        <v>0.090937969115519879</v>
      </c>
      <c r="Q57" s="50">
        <f>N57/M57-1</f>
        <v>0.22387067676312111</v>
      </c>
      <c r="R57" s="41">
        <f>(N57/K57)^(1/3)-1</f>
        <v>0.14435035374286964</v>
      </c>
    </row>
    <row r="58" spans="1:18" ht="12.75">
      <c r="A58" s="1"/>
      <c r="B58" s="1" t="s">
        <v>47</v>
      </c>
      <c r="C58" s="43"/>
      <c r="D58" s="43"/>
      <c r="E58" s="43"/>
      <c r="F58" s="43">
        <v>2142.31</v>
      </c>
      <c r="G58" s="43">
        <v>2338.63</v>
      </c>
      <c r="H58" s="43">
        <v>2367</v>
      </c>
      <c r="I58" s="43">
        <v>2599.7399999999998</v>
      </c>
      <c r="J58" s="43">
        <v>2683.73</v>
      </c>
      <c r="K58" s="38">
        <v>2697.07</v>
      </c>
      <c r="L58" s="38">
        <v>3098.81</v>
      </c>
      <c r="M58" s="38">
        <v>3422.78</v>
      </c>
      <c r="N58" s="38">
        <v>3672.81</v>
      </c>
      <c r="O58" s="39">
        <f>K58/$K$66</f>
        <v>0.076113315307805046</v>
      </c>
      <c r="P58" s="40">
        <f>N58/N$66</f>
        <v>0.064781000494040217</v>
      </c>
      <c r="Q58" s="50">
        <f>N58/M58-1</f>
        <v>0.073048808278650679</v>
      </c>
      <c r="R58" s="41">
        <f>(N58/K58)^(1/3)-1</f>
        <v>0.10841420093473153</v>
      </c>
    </row>
    <row r="59" spans="1:18" ht="12.75">
      <c r="A59" s="1"/>
      <c r="B59" s="1" t="s">
        <v>48</v>
      </c>
      <c r="C59" s="43"/>
      <c r="D59" s="43"/>
      <c r="E59" s="43"/>
      <c r="F59" s="43">
        <v>1493.50</v>
      </c>
      <c r="G59" s="43">
        <v>1634.26</v>
      </c>
      <c r="H59" s="43">
        <v>1737.96</v>
      </c>
      <c r="I59" s="43">
        <v>2082.9899999999998</v>
      </c>
      <c r="J59" s="43">
        <v>2227.7800000000002</v>
      </c>
      <c r="K59" s="38">
        <v>2184.75</v>
      </c>
      <c r="L59" s="38">
        <v>2332.59</v>
      </c>
      <c r="M59" s="38">
        <v>2444.14</v>
      </c>
      <c r="N59" s="38">
        <v>2619.65</v>
      </c>
      <c r="O59" s="39">
        <f>K59/$K$66</f>
        <v>0.061655265016750421</v>
      </c>
      <c r="P59" s="40">
        <f>N59/N$66</f>
        <v>0.046205370804428346</v>
      </c>
      <c r="Q59" s="50">
        <f>N59/M59-1</f>
        <v>0.071808488875432674</v>
      </c>
      <c r="R59" s="41">
        <f>(N59/K59)^(1/3)-1</f>
        <v>0.062381520179291439</v>
      </c>
    </row>
    <row r="60" spans="1:18" ht="12.75">
      <c r="A60" s="1"/>
      <c r="B60" s="1" t="s">
        <v>49</v>
      </c>
      <c r="C60" s="43"/>
      <c r="D60" s="43"/>
      <c r="E60" s="43"/>
      <c r="F60" s="43">
        <v>1080.5999999999999</v>
      </c>
      <c r="G60" s="43">
        <v>967.82</v>
      </c>
      <c r="H60" s="43">
        <v>585.20000000000005</v>
      </c>
      <c r="I60" s="43">
        <v>735.73</v>
      </c>
      <c r="J60" s="43">
        <v>885.99</v>
      </c>
      <c r="K60" s="38">
        <v>1037.22</v>
      </c>
      <c r="L60" s="38">
        <v>1244.52</v>
      </c>
      <c r="M60" s="38">
        <v>1556.23</v>
      </c>
      <c r="N60" s="38">
        <v>2351.1999999999998</v>
      </c>
      <c r="O60" s="39">
        <f>K60/$K$66</f>
        <v>0.029271117510321031</v>
      </c>
      <c r="P60" s="40">
        <f>N60/N$66</f>
        <v>0.041470451333335337</v>
      </c>
      <c r="Q60" s="50">
        <f>N60/M60-1</f>
        <v>0.51083066127757459</v>
      </c>
      <c r="R60" s="41">
        <f>(N60/K60)^(1/3)-1</f>
        <v>0.3136295124545998</v>
      </c>
    </row>
    <row r="61" spans="1:18" ht="12.75">
      <c r="A61" s="1"/>
      <c r="B61" s="1" t="s">
        <v>31</v>
      </c>
      <c r="C61" s="43"/>
      <c r="D61" s="43"/>
      <c r="E61" s="43"/>
      <c r="F61" s="43">
        <v>76.91</v>
      </c>
      <c r="G61" s="43">
        <v>198.31</v>
      </c>
      <c r="H61" s="43">
        <v>349.56</v>
      </c>
      <c r="I61" s="43">
        <v>558.97</v>
      </c>
      <c r="J61" s="43">
        <v>680.05</v>
      </c>
      <c r="K61" s="38">
        <v>835.36</v>
      </c>
      <c r="L61" s="38">
        <v>1127.23</v>
      </c>
      <c r="M61" s="38">
        <v>1440.17</v>
      </c>
      <c r="N61" s="38">
        <v>2163.86</v>
      </c>
      <c r="O61" s="39">
        <f>K61/$K$66</f>
        <v>0.023574478628855765</v>
      </c>
      <c r="P61" s="40">
        <f>N61/N$66</f>
        <v>0.038166149550081241</v>
      </c>
      <c r="Q61" s="50">
        <f>N61/M61-1</f>
        <v>0.50250317670830524</v>
      </c>
      <c r="R61" s="41">
        <f>(N61/K61)^(1/3)-1</f>
        <v>0.37336242501735195</v>
      </c>
    </row>
    <row r="62" spans="1:18" ht="12.75">
      <c r="A62" s="1"/>
      <c r="B62" s="1" t="s">
        <v>50</v>
      </c>
      <c r="C62" s="43"/>
      <c r="D62" s="43"/>
      <c r="E62" s="43"/>
      <c r="F62" s="43">
        <v>1407.47</v>
      </c>
      <c r="G62" s="43">
        <v>1526.96</v>
      </c>
      <c r="H62" s="43">
        <v>1554.15</v>
      </c>
      <c r="I62" s="43">
        <v>1857.87</v>
      </c>
      <c r="J62" s="43">
        <v>1741.94</v>
      </c>
      <c r="K62" s="38">
        <v>1734.28</v>
      </c>
      <c r="L62" s="38">
        <v>1786.91</v>
      </c>
      <c r="M62" s="38">
        <v>1859.07</v>
      </c>
      <c r="N62" s="38">
        <v>2005.74</v>
      </c>
      <c r="O62" s="39">
        <f>K62/$K$66</f>
        <v>0.048942667588167947</v>
      </c>
      <c r="P62" s="40">
        <f>N62/N$66</f>
        <v>0.035377229949525357</v>
      </c>
      <c r="Q62" s="50">
        <f>N62/M62-1</f>
        <v>0.078894285852603829</v>
      </c>
      <c r="R62" s="41">
        <f>(N62/K62)^(1/3)-1</f>
        <v>0.049667635139600819</v>
      </c>
    </row>
    <row r="63" spans="1:18" ht="12.75">
      <c r="A63" s="1"/>
      <c r="B63" s="1" t="s">
        <v>51</v>
      </c>
      <c r="C63" s="43"/>
      <c r="D63" s="43"/>
      <c r="E63" s="43"/>
      <c r="F63" s="43">
        <v>1016</v>
      </c>
      <c r="G63" s="43">
        <v>1057.69</v>
      </c>
      <c r="H63" s="43">
        <v>1213.96</v>
      </c>
      <c r="I63" s="43">
        <v>1364.64</v>
      </c>
      <c r="J63" s="43">
        <v>1388.77</v>
      </c>
      <c r="K63" s="38">
        <v>1382.21</v>
      </c>
      <c r="L63" s="38">
        <v>1561.60</v>
      </c>
      <c r="M63" s="38">
        <v>1718.77</v>
      </c>
      <c r="N63" s="38">
        <v>1796.32</v>
      </c>
      <c r="O63" s="39">
        <f>K63/$K$66</f>
        <v>0.039006991124294586</v>
      </c>
      <c r="P63" s="40">
        <f>N63/N$66</f>
        <v>0.03168348126024878</v>
      </c>
      <c r="Q63" s="50">
        <f>N63/M63-1</f>
        <v>0.04511947497338209</v>
      </c>
      <c r="R63" s="41">
        <f>(N63/K63)^(1/3)-1</f>
        <v>0.091280910356398959</v>
      </c>
    </row>
    <row r="64" spans="1:18" ht="12.75">
      <c r="A64" s="1"/>
      <c r="B64" s="1" t="s">
        <v>33</v>
      </c>
      <c r="C64" s="43"/>
      <c r="D64" s="43"/>
      <c r="E64" s="43"/>
      <c r="F64" s="43">
        <v>219.91</v>
      </c>
      <c r="G64" s="43">
        <v>266.49</v>
      </c>
      <c r="H64" s="43">
        <v>312.31</v>
      </c>
      <c r="I64" s="43">
        <v>393.59</v>
      </c>
      <c r="J64" s="43">
        <v>463.68</v>
      </c>
      <c r="K64" s="38">
        <v>578.57000000000005</v>
      </c>
      <c r="L64" s="38">
        <v>746.08</v>
      </c>
      <c r="M64" s="38">
        <v>841.12</v>
      </c>
      <c r="N64" s="38">
        <v>1119.03</v>
      </c>
      <c r="O64" s="39">
        <f>K64/$K$66</f>
        <v>0.016327674416176358</v>
      </c>
      <c r="P64" s="40">
        <f>N64/N$66</f>
        <v>0.019737444349924395</v>
      </c>
      <c r="Q64" s="50">
        <f>N64/M64-1</f>
        <v>0.33040469849724174</v>
      </c>
      <c r="R64" s="41">
        <f>(N64/K64)^(1/3)-1</f>
        <v>0.24593467584372797</v>
      </c>
    </row>
    <row r="65" spans="1:18" ht="12.75">
      <c r="A65" s="1"/>
      <c r="B65" s="1" t="s">
        <v>12</v>
      </c>
      <c r="C65" s="43"/>
      <c r="D65" s="43"/>
      <c r="E65" s="43"/>
      <c r="F65" s="43">
        <f>F66-SUM(F54:F64)</f>
        <v>2435.7399999999998</v>
      </c>
      <c r="G65" s="43">
        <f>G66-SUM(G54:G64)</f>
        <v>2653.0700000000033</v>
      </c>
      <c r="H65" s="43">
        <f>H66-SUM(H54:H64)</f>
        <v>3015.6299999999974</v>
      </c>
      <c r="I65" s="43">
        <f>I66-SUM(I54:I64)</f>
        <v>2766.9000000000015</v>
      </c>
      <c r="J65" s="43">
        <f>J66-SUM(J54:J64)</f>
        <v>3132.2400000000016</v>
      </c>
      <c r="K65" s="38">
        <f>K66-SUM(K54:K64)</f>
        <v>3900.0499999999993</v>
      </c>
      <c r="L65" s="38">
        <f>L66-SUM(L54:L64)</f>
        <v>4542.2099999999991</v>
      </c>
      <c r="M65" s="38">
        <f>M66-SUM(M54:M64)</f>
        <v>4839.43</v>
      </c>
      <c r="N65" s="38">
        <f>N66-SUM(N54:N64)</f>
        <v>5723.1900000000023</v>
      </c>
      <c r="O65" s="39">
        <f>K65/$K$66</f>
        <v>0.11006230293103442</v>
      </c>
      <c r="P65" s="40">
        <f>N65/N$66</f>
        <v>0.10094559049269801</v>
      </c>
      <c r="Q65" s="50">
        <f>N65/M65-1</f>
        <v>0.18261654781658221</v>
      </c>
      <c r="R65" s="41">
        <f>(N65/K65)^(1/3)-1</f>
        <v>0.13637759635504421</v>
      </c>
    </row>
    <row r="66" spans="1:18" ht="12.75">
      <c r="A66" s="1"/>
      <c r="B66" s="52" t="s">
        <v>13</v>
      </c>
      <c r="C66" s="53"/>
      <c r="D66" s="53"/>
      <c r="E66" s="53"/>
      <c r="F66" s="53">
        <v>15832.57</v>
      </c>
      <c r="G66" s="53">
        <v>18318.990000000002</v>
      </c>
      <c r="H66" s="53">
        <v>20466.21</v>
      </c>
      <c r="I66" s="53">
        <v>26301.19</v>
      </c>
      <c r="J66" s="53">
        <v>30737.52</v>
      </c>
      <c r="K66" s="53">
        <v>35434.93</v>
      </c>
      <c r="L66" s="53">
        <v>42168.98</v>
      </c>
      <c r="M66" s="53">
        <v>47291.270000000004</v>
      </c>
      <c r="N66" s="53">
        <v>56695.789999999994</v>
      </c>
      <c r="O66" s="54">
        <f>K66/$K$66</f>
        <v>1</v>
      </c>
      <c r="P66" s="55">
        <f>N66/N$66</f>
        <v>1</v>
      </c>
      <c r="Q66" s="55">
        <f>N66/M66-1</f>
        <v>0.1988637649189795</v>
      </c>
      <c r="R66" s="56">
        <f>(N66/K66)^(1/3)-1</f>
        <v>0.1696064213881765</v>
      </c>
    </row>
    <row r="67" spans="1:15" ht="12.75">
      <c r="A67" s="1"/>
      <c r="B67" s="1"/>
      <c r="C67" s="43"/>
      <c r="D67" s="43"/>
      <c r="E67" s="43"/>
      <c r="F67" s="43"/>
      <c r="G67" s="43"/>
      <c r="H67" s="43"/>
      <c r="I67" s="43"/>
      <c r="J67" s="43"/>
      <c r="K67" s="38"/>
      <c r="L67" s="38"/>
      <c r="M67" s="38"/>
      <c r="N67" s="38"/>
      <c r="O67" s="38"/>
    </row>
    <row r="68" spans="1:15" ht="12.75">
      <c r="A68" s="1"/>
      <c r="B68" s="1"/>
      <c r="C68" s="1"/>
      <c r="D68" s="1"/>
      <c r="E68" s="1"/>
      <c r="F68" s="58"/>
      <c r="G68" s="58"/>
      <c r="H68" s="58"/>
      <c r="I68" s="58"/>
      <c r="J68" s="58"/>
      <c r="K68" s="58"/>
      <c r="L68" s="58"/>
      <c r="M68" s="58"/>
      <c r="N68" s="58"/>
      <c r="O68" s="58"/>
    </row>
  </sheetData>
  <pageMargins left="0.75" right="0.75" top="1" bottom="1" header="0.5" footer="0.5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