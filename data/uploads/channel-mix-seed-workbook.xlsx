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s1.xml" ContentType="application/vnd.ms-excel.threaded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4"/>
  </sheets>
  <definedNames/>
  <calcPr fullCalcOnLoad="1"/>
</workbook>
</file>

<file path=xl/calcChain.xml><?xml version="1.0" encoding="utf-8"?>
<calcChain xmlns="http://schemas.openxmlformats.org/spreadsheetml/2006/main">
  <c r="Z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tc={2C4B531B-5022-41F7-8895-767F1BC15BD6}</author>
  </authors>
  <commentList>
    <comment ref="B3" authorId="0" shapeId="0" xr:uid="{2C4B531B-5022-41F7-8895-767F1BC15BD6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NL Return</t>
        </r>
      </text>
    </comment>
  </commentList>
</comments>
</file>

<file path=xl/sharedStrings.xml><?xml version="1.0" encoding="utf-8"?>
<sst xmlns="http://schemas.openxmlformats.org/spreadsheetml/2006/main" count="136" uniqueCount="35">
  <si>
    <t>Niva</t>
  </si>
  <si>
    <t>Star</t>
  </si>
  <si>
    <t>Care</t>
  </si>
  <si>
    <t>Channel GWP (Mix%)</t>
  </si>
  <si>
    <t>FY19</t>
  </si>
  <si>
    <t>FY20</t>
  </si>
  <si>
    <t>FY21</t>
  </si>
  <si>
    <t>FY22</t>
  </si>
  <si>
    <t>FY23</t>
  </si>
  <si>
    <t>FY24</t>
  </si>
  <si>
    <t>FY25</t>
  </si>
  <si>
    <t>9M FY26</t>
  </si>
  <si>
    <t>Banca</t>
  </si>
  <si>
    <t>Brokers</t>
  </si>
  <si>
    <t>Individual agents</t>
  </si>
  <si>
    <t>Corporate Agents -Others</t>
  </si>
  <si>
    <t>Direct Business</t>
  </si>
  <si>
    <t>Others</t>
  </si>
  <si>
    <t>Total</t>
  </si>
  <si>
    <t>Avg. premium/policy (INR ,000)</t>
  </si>
  <si>
    <t/>
  </si>
  <si>
    <t>% commission (gross)</t>
  </si>
  <si>
    <t># Individual Agents</t>
  </si>
  <si>
    <t># Active Agents (~36% basis DD findings)</t>
  </si>
  <si>
    <t>Individual Agents GWP (INR cr)</t>
  </si>
  <si>
    <t>GWP per Individual Agent (INR ,000)</t>
  </si>
  <si>
    <t># of policies (,000)</t>
  </si>
  <si>
    <t>Policies per Active agent</t>
  </si>
  <si>
    <t>Key Observations &gt;&gt;</t>
  </si>
  <si>
    <t>Niva - Most diversified in sourcing</t>
  </si>
  <si>
    <t>Niva - Highest Direct biz</t>
  </si>
  <si>
    <t>Niva - Highest avg premium as well as commission payouts</t>
  </si>
  <si>
    <t>Agent productivity for Star is the highest</t>
  </si>
  <si>
    <t>Care's individual mix has increased</t>
  </si>
  <si>
    <t>Star's banca has marginally declined to 4% in 9M FY26, continuing to remain at low levels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</si>
</sst>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0.0%"/>
  </numFmts>
  <fonts count="10">
    <font>
      <sz val="10"/>
      <color theme="1"/>
      <name val="Arial"/>
      <family val="2"/>
    </font>
    <font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</border>
    <border>
      <left style="thin">
        <color auto="1"/>
      </left>
      <right/>
      <top style="thin">
        <color rgb="FFD9D9D9"/>
      </top>
      <bottom style="thin">
        <color auto="1"/>
      </bottom>
    </border>
    <border>
      <left/>
      <right/>
      <top style="thin">
        <color rgb="FFD9D9D9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6">
    <xf numFmtId="0" fontId="0" fillId="0" borderId="0" xfId="0"/>
    <xf numFmtId="0" fontId="5" fillId="0" borderId="1" xfId="0" applyBorder="1">
      <alignment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5" fillId="0" borderId="4" xfId="0" applyBorder="1">
      <alignment/>
    </xf>
    <xf numFmtId="0" fontId="8" fillId="2" borderId="5" xfId="0" applyFont="1" applyFill="1" applyBorder="1" applyAlignment="1">
      <alignment horizontal="right"/>
    </xf>
    <xf numFmtId="0" fontId="8" fillId="2" borderId="6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4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4" fontId="7" fillId="5" borderId="8" xfId="0" applyNumberFormat="1" applyFont="1" applyFill="1" applyBorder="1">
      <alignment/>
    </xf>
    <xf numFmtId="4" fontId="7" fillId="5" borderId="5" xfId="0" applyNumberFormat="1" applyFont="1" applyFill="1" applyBorder="1" applyAlignment="1">
      <alignment horizontal="right"/>
    </xf>
    <xf numFmtId="4" fontId="7" fillId="5" borderId="6" xfId="0" applyNumberFormat="1" applyFont="1" applyFill="1" applyBorder="1" applyAlignment="1">
      <alignment horizontal="right"/>
    </xf>
    <xf numFmtId="0" fontId="1" fillId="0" borderId="8" xfId="0" applyFont="1" applyBorder="1">
      <alignment/>
    </xf>
    <xf numFmtId="9" fontId="1" fillId="0" borderId="5" xfId="0" applyNumberFormat="1" applyFont="1" applyBorder="1" applyAlignment="1">
      <alignment horizontal="right"/>
    </xf>
    <xf numFmtId="9" fontId="1" fillId="0" borderId="6" xfId="0" applyNumberFormat="1" applyFont="1" applyBorder="1" applyAlignment="1">
      <alignment horizontal="right"/>
    </xf>
    <xf numFmtId="0" fontId="4" fillId="0" borderId="8" xfId="0" applyFont="1" applyBorder="1">
      <alignment/>
    </xf>
    <xf numFmtId="9" fontId="4" fillId="0" borderId="5" xfId="0" applyNumberFormat="1" applyFont="1" applyBorder="1" applyAlignment="1">
      <alignment horizontal="right"/>
    </xf>
    <xf numFmtId="9" fontId="4" fillId="0" borderId="6" xfId="0" applyNumberFormat="1" applyFont="1" applyBorder="1" applyAlignment="1">
      <alignment horizontal="right"/>
    </xf>
    <xf numFmtId="0" fontId="4" fillId="0" borderId="4" xfId="0" applyFont="1" applyBorder="1">
      <alignment/>
    </xf>
    <xf numFmtId="9" fontId="4" fillId="0" borderId="7" xfId="0" applyNumberFormat="1" applyFont="1" applyBorder="1" applyAlignment="1">
      <alignment horizontal="right"/>
    </xf>
    <xf numFmtId="9" fontId="4" fillId="0" borderId="0" xfId="0" applyNumberFormat="1" applyFont="1" applyAlignment="1">
      <alignment horizontal="right"/>
    </xf>
    <xf numFmtId="3" fontId="1" fillId="0" borderId="5" xfId="1" applyNumberFormat="1" applyFont="1" applyFill="1" applyBorder="1" applyAlignment="1">
      <alignment horizontal="right"/>
    </xf>
    <xf numFmtId="3" fontId="1" fillId="0" borderId="6" xfId="1" applyNumberFormat="1" applyFont="1" applyFill="1" applyBorder="1" applyAlignment="1">
      <alignment horizontal="right"/>
    </xf>
    <xf numFmtId="0" fontId="6" fillId="0" borderId="0" xfId="0" applyFont="1">
      <alignment/>
    </xf>
    <xf numFmtId="3" fontId="4" fillId="0" borderId="5" xfId="1" applyNumberFormat="1" applyFont="1" applyFill="1" applyBorder="1" applyAlignment="1">
      <alignment horizontal="right"/>
    </xf>
    <xf numFmtId="3" fontId="4" fillId="0" borderId="6" xfId="1" applyNumberFormat="1" applyFont="1" applyFill="1" applyBorder="1" applyAlignment="1">
      <alignment horizontal="right"/>
    </xf>
    <xf numFmtId="0" fontId="5" fillId="0" borderId="7" xfId="0" applyBorder="1">
      <alignment/>
    </xf>
    <xf numFmtId="9" fontId="1" fillId="0" borderId="5" xfId="1" applyFont="1" applyFill="1" applyBorder="1" applyAlignment="1">
      <alignment horizontal="right"/>
    </xf>
    <xf numFmtId="9" fontId="1" fillId="0" borderId="6" xfId="1" applyFont="1" applyFill="1" applyBorder="1" applyAlignment="1">
      <alignment horizontal="right"/>
    </xf>
    <xf numFmtId="9" fontId="4" fillId="0" borderId="5" xfId="1" applyFont="1" applyFill="1" applyBorder="1" applyAlignment="1">
      <alignment horizontal="right"/>
    </xf>
    <xf numFmtId="9" fontId="4" fillId="0" borderId="6" xfId="1" applyFont="1" applyFill="1" applyBorder="1" applyAlignment="1">
      <alignment horizontal="right"/>
    </xf>
    <xf numFmtId="178" fontId="4" fillId="0" borderId="5" xfId="1" applyNumberFormat="1" applyFont="1" applyFill="1" applyBorder="1" applyAlignment="1">
      <alignment horizontal="right"/>
    </xf>
    <xf numFmtId="177" fontId="1" fillId="0" borderId="6" xfId="4" applyNumberFormat="1" applyFont="1" applyFill="1" applyBorder="1" applyAlignment="1">
      <alignment horizontal="right"/>
    </xf>
    <xf numFmtId="0" fontId="1" fillId="0" borderId="9" xfId="0" applyFont="1" applyBorder="1">
      <alignment/>
    </xf>
    <xf numFmtId="9" fontId="1" fillId="0" borderId="10" xfId="1" applyFont="1" applyFill="1" applyBorder="1" applyAlignment="1">
      <alignment horizontal="right"/>
    </xf>
    <xf numFmtId="9" fontId="1" fillId="0" borderId="11" xfId="1" applyFont="1" applyFill="1" applyBorder="1" applyAlignment="1">
      <alignment horizontal="right"/>
    </xf>
    <xf numFmtId="177" fontId="1" fillId="0" borderId="11" xfId="4" applyNumberFormat="1" applyFont="1" applyFill="1" applyBorder="1" applyAlignment="1">
      <alignment horizontal="right"/>
    </xf>
    <xf numFmtId="3" fontId="1" fillId="0" borderId="11" xfId="1" applyNumberFormat="1" applyFont="1" applyFill="1" applyBorder="1" applyAlignment="1">
      <alignment horizontal="right"/>
    </xf>
    <xf numFmtId="3" fontId="1" fillId="0" borderId="10" xfId="1" applyNumberFormat="1" applyFont="1" applyFill="1" applyBorder="1" applyAlignment="1">
      <alignment horizontal="right"/>
    </xf>
    <xf numFmtId="0" fontId="3" fillId="0" borderId="0" xfId="0" applyFont="1">
      <alignment/>
    </xf>
    <xf numFmtId="3" fontId="3" fillId="0" borderId="0" xfId="0" applyNumberFormat="1" applyFont="1">
      <alignment/>
    </xf>
    <xf numFmtId="4" fontId="1" fillId="0" borderId="0" xfId="0" applyNumberFormat="1" applyFont="1">
      <alignment/>
    </xf>
    <xf numFmtId="0" fontId="2" fillId="0" borderId="0" xfId="0" applyFont="1">
      <alignment/>
    </xf>
    <xf numFmtId="0" fontId="1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6" Type="http://schemas.openxmlformats.org/officeDocument/2006/relationships/calcChain" Target="calcChain.xml" /><Relationship Id="rId2" Type="http://schemas.microsoft.com/office/2017/10/relationships/person" Target="persons/person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worksheet" Target="worksheets/sheet1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it Toshniwal" id="{8212BCED-6D8F-4077-B92E-5A869FB321F6}" userId="S::divit@paragonpartners.in::15dd0c2a-2152-401e-83c6-85bb3bd2b1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s1.xml><?xml version="1.0" encoding="utf-8"?>
<ThreadedComments xmlns="http://schemas.microsoft.com/office/spreadsheetml/2018/threadedcomments" xmlns:x="http://schemas.openxmlformats.org/spreadsheetml/2006/main">
  <threadedComment ref="B3" dT="2026-06-05T10:43:45.35" personId="{8212BCED-6D8F-4077-B92E-5A869FB321F6}" id="{2C4B531B-5022-41F7-8895-767F1BC15BD6}">
    <text>NL Return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s1.xml" /><Relationship Id="rId1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A6D127-E566-459F-A218-55C81ED7BAA5}">
  <dimension ref="A1:Z44"/>
  <sheetViews>
    <sheetView tabSelected="1" workbookViewId="0" topLeftCell="A1"/>
  </sheetViews>
  <sheetFormatPr defaultRowHeight="12.75"/>
  <sheetData>
    <row r="1" spans="2:26" ht="12.75">
      <c r="B1" s="1"/>
      <c r="C1" s="2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2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2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</row>
    <row r="2" spans="2:26" ht="12.75">
      <c r="B2" s="4"/>
      <c r="C2" s="5"/>
      <c r="D2" s="6"/>
      <c r="E2" s="6"/>
      <c r="F2" s="6"/>
      <c r="G2" s="6"/>
      <c r="H2" s="6"/>
      <c r="I2" s="6"/>
      <c r="J2" s="6"/>
      <c r="K2" s="7"/>
      <c r="L2" s="8"/>
      <c r="M2" s="8"/>
      <c r="N2" s="8"/>
      <c r="O2" s="8"/>
      <c r="P2" s="8"/>
      <c r="Q2" s="8"/>
      <c r="R2" s="8"/>
      <c r="S2" s="9"/>
      <c r="T2" s="10"/>
      <c r="U2" s="10"/>
      <c r="V2" s="10"/>
      <c r="W2" s="10"/>
      <c r="X2" s="10"/>
      <c r="Y2" s="10"/>
      <c r="Z2" s="10"/>
    </row>
    <row r="3" spans="2:26" ht="12.75">
      <c r="B3" s="11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2" t="s">
        <v>4</v>
      </c>
      <c r="L3" s="13" t="s">
        <v>5</v>
      </c>
      <c r="M3" s="13" t="s">
        <v>6</v>
      </c>
      <c r="N3" s="13" t="s">
        <v>7</v>
      </c>
      <c r="O3" s="13" t="s">
        <v>8</v>
      </c>
      <c r="P3" s="13" t="s">
        <v>9</v>
      </c>
      <c r="Q3" s="13" t="s">
        <v>10</v>
      </c>
      <c r="R3" s="13" t="s">
        <v>11</v>
      </c>
      <c r="S3" s="12" t="s">
        <v>4</v>
      </c>
      <c r="T3" s="13" t="s">
        <v>5</v>
      </c>
      <c r="U3" s="13" t="s">
        <v>6</v>
      </c>
      <c r="V3" s="13" t="s">
        <v>7</v>
      </c>
      <c r="W3" s="13" t="s">
        <v>8</v>
      </c>
      <c r="X3" s="13" t="s">
        <v>9</v>
      </c>
      <c r="Y3" s="13" t="s">
        <v>10</v>
      </c>
      <c r="Z3" s="13" t="s">
        <v>11</v>
      </c>
    </row>
    <row r="4" spans="2:26" ht="12.75">
      <c r="B4" s="14" t="s">
        <v>12</v>
      </c>
      <c r="C4" s="15">
        <v>0.17572148129375614</v>
      </c>
      <c r="D4" s="16">
        <v>0.20867568181657267</v>
      </c>
      <c r="E4" s="16">
        <v>0.21536196517493356</v>
      </c>
      <c r="F4" s="16">
        <v>0.18592013437865884</v>
      </c>
      <c r="G4" s="16">
        <v>0.17546887697856386</v>
      </c>
      <c r="H4" s="16">
        <v>0.19598507018191483</v>
      </c>
      <c r="I4" s="16">
        <v>0.20097512211208435</v>
      </c>
      <c r="J4" s="16">
        <v>0.20165783132530121</v>
      </c>
      <c r="K4" s="15">
        <v>0.014835344889831873</v>
      </c>
      <c r="L4" s="16">
        <v>0.022251581543248272</v>
      </c>
      <c r="M4" s="16">
        <v>0.02309404225900847</v>
      </c>
      <c r="N4" s="16">
        <v>0.028427692487527773</v>
      </c>
      <c r="O4" s="16">
        <v>0.043478193734476901</v>
      </c>
      <c r="P4" s="16">
        <v>0.048229829177827345</v>
      </c>
      <c r="Q4" s="16">
        <v>0.046344946240675949</v>
      </c>
      <c r="R4" s="16">
        <v>0.040077854671280298</v>
      </c>
      <c r="S4" s="15">
        <v>0.20210569330366962</v>
      </c>
      <c r="T4" s="16">
        <v>0.16000904147777933</v>
      </c>
      <c r="U4" s="16">
        <v>0.19984764137122765</v>
      </c>
      <c r="V4" s="16">
        <v>0.16998590536755556</v>
      </c>
      <c r="W4" s="16">
        <v>0.16086877032472885</v>
      </c>
      <c r="X4" s="16">
        <v>0.14651261716143732</v>
      </c>
      <c r="Y4" s="16">
        <v>0.11162684458870556</v>
      </c>
      <c r="Z4" s="16">
        <v>0.090614251614347593</v>
      </c>
    </row>
    <row r="5" spans="2:26" ht="12.75">
      <c r="B5" s="14" t="s">
        <v>13</v>
      </c>
      <c r="C5" s="15">
        <v>0.096778281116355697</v>
      </c>
      <c r="D5" s="16">
        <v>0.13299695482834462</v>
      </c>
      <c r="E5" s="16">
        <v>0.16351630656485869</v>
      </c>
      <c r="F5" s="16">
        <v>0.13359929109563448</v>
      </c>
      <c r="G5" s="16">
        <v>0.21766841884297439</v>
      </c>
      <c r="H5" s="16">
        <v>0.27034883202528015</v>
      </c>
      <c r="I5" s="16">
        <v>0.30627470523776923</v>
      </c>
      <c r="J5" s="16">
        <v>0.2817226725082147</v>
      </c>
      <c r="K5" s="15">
        <v>0.072497495968555661</v>
      </c>
      <c r="L5" s="16">
        <v>0.094838699339997931</v>
      </c>
      <c r="M5" s="16">
        <v>0.074534258608921489</v>
      </c>
      <c r="N5" s="16">
        <v>0.074229705316104108</v>
      </c>
      <c r="O5" s="16">
        <v>0.045314136994719922</v>
      </c>
      <c r="P5" s="16">
        <v>0.046898415283136874</v>
      </c>
      <c r="Q5" s="16">
        <v>0.052495876746886404</v>
      </c>
      <c r="R5" s="16">
        <v>0.042344290657439498</v>
      </c>
      <c r="S5" s="15">
        <v>0.2591649916231849</v>
      </c>
      <c r="T5" s="16">
        <v>0.22812569328460983</v>
      </c>
      <c r="U5" s="16">
        <v>0.25544682097861121</v>
      </c>
      <c r="V5" s="16">
        <v>0.24707607236447124</v>
      </c>
      <c r="W5" s="16">
        <v>0.34570127121940591</v>
      </c>
      <c r="X5" s="16">
        <v>0.2967006873082515</v>
      </c>
      <c r="Y5" s="16">
        <v>0.31840110600186339</v>
      </c>
      <c r="Z5" s="16">
        <v>0.31595420224627602</v>
      </c>
    </row>
    <row r="6" spans="2:26" ht="12.75">
      <c r="B6" s="14" t="s">
        <v>14</v>
      </c>
      <c r="C6" s="15">
        <v>0.412561641376543</v>
      </c>
      <c r="D6" s="16">
        <v>0.36248710259415667</v>
      </c>
      <c r="E6" s="16">
        <v>0.37879259531816051</v>
      </c>
      <c r="F6" s="16">
        <v>0.37290789581383432</v>
      </c>
      <c r="G6" s="16">
        <v>0.36018639685934056</v>
      </c>
      <c r="H6" s="16">
        <v>0.32081632507485419</v>
      </c>
      <c r="I6" s="16">
        <v>0.29673495281881868</v>
      </c>
      <c r="J6" s="16">
        <v>0.29751588170865279</v>
      </c>
      <c r="K6" s="15">
        <v>0.77507225125849577</v>
      </c>
      <c r="L6" s="16">
        <v>0.76114217793399408</v>
      </c>
      <c r="M6" s="16">
        <v>0.78859625097695929</v>
      </c>
      <c r="N6" s="16">
        <v>0.79650053605060256</v>
      </c>
      <c r="O6" s="16">
        <v>0.82335647177719773</v>
      </c>
      <c r="P6" s="16">
        <v>0.81760350743323595</v>
      </c>
      <c r="Q6" s="16">
        <v>0.82275724642666359</v>
      </c>
      <c r="R6" s="16">
        <v>0.83504974048442904</v>
      </c>
      <c r="S6" s="15">
        <v>0.28785239934059115</v>
      </c>
      <c r="T6" s="16">
        <v>0.3036806349126619</v>
      </c>
      <c r="U6" s="16">
        <v>0.40656704756323864</v>
      </c>
      <c r="V6" s="16">
        <v>0.34585702837736509</v>
      </c>
      <c r="W6" s="16">
        <v>0.33760444382206034</v>
      </c>
      <c r="X6" s="16">
        <v>0.37121055407125975</v>
      </c>
      <c r="Y6" s="16">
        <v>0.39852132359570802</v>
      </c>
      <c r="Z6" s="16">
        <v>0.40561336484981703</v>
      </c>
    </row>
    <row r="7" spans="2:26" ht="12.75">
      <c r="B7" s="14" t="s">
        <v>15</v>
      </c>
      <c r="C7" s="15">
        <v>0.090938849642559216</v>
      </c>
      <c r="D7" s="16">
        <v>0.1027930486924943</v>
      </c>
      <c r="E7" s="16">
        <v>0.054541610010752958</v>
      </c>
      <c r="F7" s="16">
        <v>0.088250052491663608</v>
      </c>
      <c r="G7" s="16">
        <v>0.083026641100114651</v>
      </c>
      <c r="H7" s="16">
        <v>0.076503726212958562</v>
      </c>
      <c r="I7" s="16">
        <v>0.074991533857913739</v>
      </c>
      <c r="J7" s="16">
        <v>0.1119789704271632</v>
      </c>
      <c r="K7" s="15">
        <v>0.0025308768831149597</v>
      </c>
      <c r="L7" s="16">
        <v>0.0016081268672261126</v>
      </c>
      <c r="M7" s="16">
        <v>0.0033913582950227364</v>
      </c>
      <c r="N7" s="16">
        <v>0.0077428562206731475</v>
      </c>
      <c r="O7" s="16">
        <v>0.0024010864337072392</v>
      </c>
      <c r="P7" s="16">
        <v>0.0018053736415448334</v>
      </c>
      <c r="Q7" s="16">
        <v>0.0018640633590110655</v>
      </c>
      <c r="R7" s="16">
        <v>0.0026730103806228401</v>
      </c>
      <c r="S7" s="15">
        <v>0.0099612478154137221</v>
      </c>
      <c r="T7" s="16">
        <v>0.010288866843310353</v>
      </c>
      <c r="U7" s="16">
        <v>0.033663443695673409</v>
      </c>
      <c r="V7" s="16">
        <v>0.060789866294245418</v>
      </c>
      <c r="W7" s="16">
        <v>0.042263766357030608</v>
      </c>
      <c r="X7" s="16">
        <v>0.040073072026058858</v>
      </c>
      <c r="Y7" s="16">
        <v>0.068866648634027597</v>
      </c>
      <c r="Z7" s="16">
        <v>0.097077456701177803</v>
      </c>
    </row>
    <row r="8" spans="2:26" ht="12.75">
      <c r="B8" s="14" t="s">
        <v>16</v>
      </c>
      <c r="C8" s="15">
        <v>0.22399974657078595</v>
      </c>
      <c r="D8" s="16">
        <v>0.19305879801005016</v>
      </c>
      <c r="E8" s="16">
        <v>0.18777986917096184</v>
      </c>
      <c r="F8" s="16">
        <v>0.18778848172756296</v>
      </c>
      <c r="G8" s="16">
        <v>0.15683901174310033</v>
      </c>
      <c r="H8" s="16">
        <v>0.13071615690932081</v>
      </c>
      <c r="I8" s="16">
        <v>0.11536135268986711</v>
      </c>
      <c r="J8" s="16">
        <v>0.10100000000000001</v>
      </c>
      <c r="K8" s="15">
        <v>0.13506403100000186</v>
      </c>
      <c r="L8" s="16">
        <v>0.097794215113187963</v>
      </c>
      <c r="M8" s="16">
        <v>0.089550392165212489</v>
      </c>
      <c r="N8" s="16">
        <v>0.085761117706942142</v>
      </c>
      <c r="O8" s="16">
        <v>0.083493727451212016</v>
      </c>
      <c r="P8" s="16">
        <v>0.083991829274848148</v>
      </c>
      <c r="Q8" s="16">
        <v>0.075014791067571113</v>
      </c>
      <c r="R8" s="16">
        <v>0.078172577854671299</v>
      </c>
      <c r="S8" s="15">
        <v>0.23312606524685794</v>
      </c>
      <c r="T8" s="16">
        <v>0.28268012842247148</v>
      </c>
      <c r="U8" s="16">
        <v>0.093770876062115441</v>
      </c>
      <c r="V8" s="16">
        <v>0.11783576532308145</v>
      </c>
      <c r="W8" s="16">
        <v>0.076619365479469098</v>
      </c>
      <c r="X8" s="16">
        <v>0.1219236473080184</v>
      </c>
      <c r="Y8" s="16">
        <v>0.082757791602801084</v>
      </c>
      <c r="Z8" s="16">
        <v>0.066000000000000003</v>
      </c>
    </row>
    <row r="9" spans="2:26" ht="12.75">
      <c r="B9" s="14" t="s">
        <v>17</v>
      </c>
      <c r="C9" s="15">
        <v>0</v>
      </c>
      <c r="D9" s="16">
        <v>-1.158594161843605E-05</v>
      </c>
      <c r="E9" s="16">
        <v>7.6537603324929274E-06</v>
      </c>
      <c r="F9" s="16">
        <v>0.031534144492645792</v>
      </c>
      <c r="G9" s="16">
        <v>0.0068106544759061454</v>
      </c>
      <c r="H9" s="16">
        <v>0.0056298895956715138</v>
      </c>
      <c r="I9" s="16">
        <v>0.005662333283546957</v>
      </c>
      <c r="J9" s="16">
        <v>0.0060000000000000001</v>
      </c>
      <c r="K9" s="15">
        <v>0</v>
      </c>
      <c r="L9" s="16">
        <v>0.022365199202345743</v>
      </c>
      <c r="M9" s="16">
        <v>0.020833697694875444</v>
      </c>
      <c r="N9" s="16">
        <v>0.0073380922181503511</v>
      </c>
      <c r="O9" s="16">
        <v>0.0019563836086861782</v>
      </c>
      <c r="P9" s="16">
        <v>0.0014710451894068752</v>
      </c>
      <c r="Q9" s="16">
        <v>0.001523076159191848</v>
      </c>
      <c r="R9" s="16">
        <v>0.002</v>
      </c>
      <c r="S9" s="15">
        <v>0.0077898765566674563</v>
      </c>
      <c r="T9" s="16">
        <v>0.015215635059167131</v>
      </c>
      <c r="U9" s="16">
        <v>0.010704170329133662</v>
      </c>
      <c r="V9" s="16">
        <v>0.058455362273281256</v>
      </c>
      <c r="W9" s="16">
        <v>0.036938492897042111</v>
      </c>
      <c r="X9" s="16">
        <v>0.023579422124974221</v>
      </c>
      <c r="Y9" s="16">
        <v>0.019826285576894174</v>
      </c>
      <c r="Z9" s="16">
        <v>0.025000000000000001</v>
      </c>
    </row>
    <row r="10" spans="2:26" ht="12.75">
      <c r="B10" s="17" t="s">
        <v>18</v>
      </c>
      <c r="C10" s="18">
        <v>1</v>
      </c>
      <c r="D10" s="19">
        <v>0.99999999999999989</v>
      </c>
      <c r="E10" s="19">
        <v>1</v>
      </c>
      <c r="F10" s="19">
        <v>1</v>
      </c>
      <c r="G10" s="19">
        <v>0.99999999999999989</v>
      </c>
      <c r="H10" s="19">
        <v>1</v>
      </c>
      <c r="I10" s="19">
        <v>1.0000000000000002</v>
      </c>
      <c r="J10" s="19">
        <v>1.0000000000000002</v>
      </c>
      <c r="K10" s="18">
        <v>1</v>
      </c>
      <c r="L10" s="19">
        <v>1.0000000000000002</v>
      </c>
      <c r="M10" s="19">
        <v>0.99999999999999989</v>
      </c>
      <c r="N10" s="19">
        <v>1.0000000000000002</v>
      </c>
      <c r="O10" s="19">
        <v>1</v>
      </c>
      <c r="P10" s="19">
        <v>1</v>
      </c>
      <c r="Q10" s="19">
        <v>1</v>
      </c>
      <c r="R10" s="19">
        <v>1</v>
      </c>
      <c r="S10" s="18">
        <v>1.0000002738863849</v>
      </c>
      <c r="T10" s="19">
        <v>1</v>
      </c>
      <c r="U10" s="19">
        <v>1</v>
      </c>
      <c r="V10" s="19">
        <v>1</v>
      </c>
      <c r="W10" s="19">
        <v>0.99999611009973688</v>
      </c>
      <c r="X10" s="19">
        <v>1</v>
      </c>
      <c r="Y10" s="19">
        <v>1</v>
      </c>
      <c r="Z10" s="19">
        <v>1</v>
      </c>
    </row>
    <row r="11" spans="2:26" ht="12.75">
      <c r="B11" s="20"/>
      <c r="C11" s="21"/>
      <c r="D11" s="22"/>
      <c r="E11" s="22"/>
      <c r="F11" s="22"/>
      <c r="G11" s="22"/>
      <c r="H11" s="19"/>
      <c r="I11" s="19"/>
      <c r="J11" s="19"/>
      <c r="K11" s="18"/>
      <c r="L11" s="19"/>
      <c r="M11" s="19"/>
      <c r="N11" s="19"/>
      <c r="O11" s="19"/>
      <c r="P11" s="19"/>
      <c r="Q11" s="19"/>
      <c r="R11" s="22"/>
      <c r="S11" s="21"/>
      <c r="T11" s="22"/>
      <c r="U11" s="22"/>
      <c r="V11" s="22"/>
      <c r="W11" s="19"/>
      <c r="X11" s="19"/>
      <c r="Y11" s="19"/>
      <c r="Z11" s="22"/>
    </row>
    <row r="12" spans="2:26" ht="12.75">
      <c r="B12" s="11" t="s">
        <v>19</v>
      </c>
      <c r="C12" s="12" t="s">
        <v>4</v>
      </c>
      <c r="D12" s="13" t="s">
        <v>5</v>
      </c>
      <c r="E12" s="13" t="s">
        <v>6</v>
      </c>
      <c r="F12" s="13" t="s">
        <v>7</v>
      </c>
      <c r="G12" s="13" t="s">
        <v>8</v>
      </c>
      <c r="H12" s="13" t="s">
        <v>9</v>
      </c>
      <c r="I12" s="13" t="s">
        <v>10</v>
      </c>
      <c r="J12" s="13" t="s">
        <v>11</v>
      </c>
      <c r="K12" s="12" t="s">
        <v>4</v>
      </c>
      <c r="L12" s="13" t="s">
        <v>5</v>
      </c>
      <c r="M12" s="13" t="s">
        <v>6</v>
      </c>
      <c r="N12" s="13" t="s">
        <v>7</v>
      </c>
      <c r="O12" s="13" t="s">
        <v>8</v>
      </c>
      <c r="P12" s="13" t="s">
        <v>9</v>
      </c>
      <c r="Q12" s="13" t="s">
        <v>10</v>
      </c>
      <c r="R12" s="13" t="s">
        <v>11</v>
      </c>
      <c r="S12" s="12" t="s">
        <v>4</v>
      </c>
      <c r="T12" s="13" t="s">
        <v>5</v>
      </c>
      <c r="U12" s="13" t="s">
        <v>6</v>
      </c>
      <c r="V12" s="13" t="s">
        <v>7</v>
      </c>
      <c r="W12" s="13" t="s">
        <v>8</v>
      </c>
      <c r="X12" s="13" t="s">
        <v>9</v>
      </c>
      <c r="Y12" s="13" t="s">
        <v>10</v>
      </c>
      <c r="Z12" s="13" t="s">
        <v>11</v>
      </c>
    </row>
    <row r="13" spans="2:26" ht="12.75">
      <c r="B13" s="14" t="s">
        <v>12</v>
      </c>
      <c r="C13" s="23">
        <v>37.062360801781736</v>
      </c>
      <c r="D13" s="24">
        <v>11.59850636138005</v>
      </c>
      <c r="E13" s="24">
        <v>13.181077698616345</v>
      </c>
      <c r="F13" s="24">
        <v>21.407117539797987</v>
      </c>
      <c r="G13" s="24">
        <v>25.603464952819039</v>
      </c>
      <c r="H13" s="24">
        <v>36.491745361331368</v>
      </c>
      <c r="I13" s="24">
        <v>40.248770953029677</v>
      </c>
      <c r="J13" s="24">
        <v>40.208325325748547</v>
      </c>
      <c r="K13" s="23">
        <v>9.4623478147916327</v>
      </c>
      <c r="L13" s="24">
        <v>12.241561688623905</v>
      </c>
      <c r="M13" s="24">
        <v>12.297308793919973</v>
      </c>
      <c r="N13" s="24">
        <v>19.181146112916139</v>
      </c>
      <c r="O13" s="24">
        <v>24.044250130222785</v>
      </c>
      <c r="P13" s="24">
        <v>59.535832200427272</v>
      </c>
      <c r="Q13" s="24">
        <v>67.789328153164973</v>
      </c>
      <c r="R13" s="24">
        <v>58.5829594311219</v>
      </c>
      <c r="S13" s="23">
        <v>27.976236512666528</v>
      </c>
      <c r="T13" s="24">
        <v>24.736464056221003</v>
      </c>
      <c r="U13" s="24">
        <v>22.500296889913219</v>
      </c>
      <c r="V13" s="24">
        <v>22.257835959377847</v>
      </c>
      <c r="W13" s="24">
        <v>18.329266860350447</v>
      </c>
      <c r="X13" s="24">
        <v>21.48045629390419</v>
      </c>
      <c r="Y13" s="24">
        <v>25.404790176690433</v>
      </c>
      <c r="Z13" s="24">
        <v>50.61</v>
      </c>
    </row>
    <row r="14" spans="2:26" ht="12.75">
      <c r="B14" s="14" t="s">
        <v>13</v>
      </c>
      <c r="C14" s="23">
        <v>16.762995207959911</v>
      </c>
      <c r="D14" s="24">
        <v>7.5067097178512556</v>
      </c>
      <c r="E14" s="24">
        <v>10.381717037649501</v>
      </c>
      <c r="F14" s="24">
        <v>17.02439311968002</v>
      </c>
      <c r="G14" s="24">
        <v>23.792042035997888</v>
      </c>
      <c r="H14" s="24">
        <v>29.181400129737884</v>
      </c>
      <c r="I14" s="24">
        <v>30.082166392391365</v>
      </c>
      <c r="J14" s="24">
        <v>25.554744838834285</v>
      </c>
      <c r="K14" s="23">
        <v>70.352137980596495</v>
      </c>
      <c r="L14" s="24">
        <v>66.57191644257216</v>
      </c>
      <c r="M14" s="24">
        <v>50.326872595202985</v>
      </c>
      <c r="N14" s="24">
        <v>33.718626417606451</v>
      </c>
      <c r="O14" s="24">
        <v>19.346364295602875</v>
      </c>
      <c r="P14" s="24">
        <v>25.22006437125221</v>
      </c>
      <c r="Q14" s="24">
        <v>24.535793073174279</v>
      </c>
      <c r="R14" s="24">
        <v>18.811167629333301</v>
      </c>
      <c r="S14" s="23">
        <v>34.154731310097887</v>
      </c>
      <c r="T14" s="24">
        <v>24.402683001092544</v>
      </c>
      <c r="U14" s="24">
        <v>24.260638238666086</v>
      </c>
      <c r="V14" s="24">
        <v>35.003157614230801</v>
      </c>
      <c r="W14" s="24">
        <v>38.725399415664633</v>
      </c>
      <c r="X14" s="24">
        <v>36.535505108035629</v>
      </c>
      <c r="Y14" s="24">
        <v>34.997766836598508</v>
      </c>
      <c r="Z14" s="24">
        <v>39.21</v>
      </c>
    </row>
    <row r="15" spans="2:26" ht="12.75">
      <c r="B15" s="14" t="s">
        <v>14</v>
      </c>
      <c r="C15" s="23">
        <v>20.083376598008623</v>
      </c>
      <c r="D15" s="24">
        <v>6.7240874953732988</v>
      </c>
      <c r="E15" s="24">
        <v>11.814125003340191</v>
      </c>
      <c r="F15" s="24">
        <v>20.645860424794101</v>
      </c>
      <c r="G15" s="24">
        <v>22.89543215020889</v>
      </c>
      <c r="H15" s="24">
        <v>25.035033739543806</v>
      </c>
      <c r="I15" s="24">
        <v>23.232918521125782</v>
      </c>
      <c r="J15" s="24">
        <v>23.385457130105625</v>
      </c>
      <c r="K15" s="23">
        <v>11.725213049344097</v>
      </c>
      <c r="L15" s="24">
        <v>12.346418188623039</v>
      </c>
      <c r="M15" s="24">
        <v>12.516724095783044</v>
      </c>
      <c r="N15" s="24">
        <v>14.087361556934361</v>
      </c>
      <c r="O15" s="24">
        <v>15.095239645510636</v>
      </c>
      <c r="P15" s="24">
        <v>16.973215006259437</v>
      </c>
      <c r="Q15" s="24">
        <v>17.710159047422952</v>
      </c>
      <c r="R15" s="24">
        <v>18.6509724874361</v>
      </c>
      <c r="S15" s="23">
        <v>14.262729345347953</v>
      </c>
      <c r="T15" s="24">
        <v>13.949236002022715</v>
      </c>
      <c r="U15" s="24">
        <v>14.977240052327012</v>
      </c>
      <c r="V15" s="24">
        <v>16.611634480676031</v>
      </c>
      <c r="W15" s="24">
        <v>17.683662325384276</v>
      </c>
      <c r="X15" s="24">
        <v>19.812878028602466</v>
      </c>
      <c r="Y15" s="24">
        <v>19.959887550268512</v>
      </c>
      <c r="Z15" s="24">
        <v>22.834809992945399</v>
      </c>
    </row>
    <row r="16" spans="2:26" ht="12.75">
      <c r="B16" s="14" t="s">
        <v>15</v>
      </c>
      <c r="C16" s="23">
        <v>1505.594405594406</v>
      </c>
      <c r="D16" s="24">
        <v>164.13155190133605</v>
      </c>
      <c r="E16" s="24">
        <v>484.96698831894366</v>
      </c>
      <c r="F16" s="24">
        <v>959.6749226006192</v>
      </c>
      <c r="G16" s="24">
        <v>830.06872852233687</v>
      </c>
      <c r="H16" s="24">
        <v>33.843483748816659</v>
      </c>
      <c r="I16" s="24">
        <v>362.99928418038655</v>
      </c>
      <c r="J16" s="24"/>
      <c r="K16" s="23">
        <v>10.023463851004546</v>
      </c>
      <c r="L16" s="24">
        <v>11.602732527588021</v>
      </c>
      <c r="M16" s="24">
        <v>20.680696284749285</v>
      </c>
      <c r="N16" s="24">
        <v>45.956301128714927</v>
      </c>
      <c r="O16" s="24">
        <v>17.530015218984275</v>
      </c>
      <c r="P16" s="24">
        <v>18.184219214262132</v>
      </c>
      <c r="Q16" s="24">
        <v>18.617434426719246</v>
      </c>
      <c r="R16" s="24"/>
      <c r="S16" s="23">
        <v>16.686547990456965</v>
      </c>
      <c r="T16" s="24">
        <v>18.721913321654352</v>
      </c>
      <c r="U16" s="24">
        <v>37.319185794716333</v>
      </c>
      <c r="V16" s="24">
        <v>94.296334785562976</v>
      </c>
      <c r="W16" s="24">
        <v>78.731884057971016</v>
      </c>
      <c r="X16" s="24">
        <v>78.484407543724501</v>
      </c>
      <c r="Y16" s="24">
        <v>110.46937673557544</v>
      </c>
      <c r="Z16" s="24"/>
    </row>
    <row r="17" spans="2:26" ht="12.75">
      <c r="B17" s="14" t="s">
        <v>16</v>
      </c>
      <c r="C17" s="23">
        <v>22.701297033517399</v>
      </c>
      <c r="D17" s="24">
        <v>7.6010516979219478</v>
      </c>
      <c r="E17" s="24">
        <v>12.903985493025193</v>
      </c>
      <c r="F17" s="24">
        <v>23.892382854063943</v>
      </c>
      <c r="G17" s="24">
        <v>25.438435807582032</v>
      </c>
      <c r="H17" s="24">
        <v>27.4451658317046</v>
      </c>
      <c r="I17" s="24">
        <v>24.908043628189738</v>
      </c>
      <c r="J17" s="24">
        <v>24.212274762936019</v>
      </c>
      <c r="K17" s="23">
        <v>12.774593702009032</v>
      </c>
      <c r="L17" s="24">
        <v>13.104325948076132</v>
      </c>
      <c r="M17" s="24">
        <v>13.553488522053135</v>
      </c>
      <c r="N17" s="24">
        <v>16.3546955370273</v>
      </c>
      <c r="O17" s="24">
        <v>18.006520276795406</v>
      </c>
      <c r="P17" s="24">
        <v>21.554624676154909</v>
      </c>
      <c r="Q17" s="24">
        <v>19.983171529287276</v>
      </c>
      <c r="R17" s="24">
        <v>20.169004759304698</v>
      </c>
      <c r="S17" s="23">
        <v>22.635786316058212</v>
      </c>
      <c r="T17" s="24">
        <v>35.085021378733494</v>
      </c>
      <c r="U17" s="24">
        <v>14.820875063289577</v>
      </c>
      <c r="V17" s="24">
        <v>20.488248523785206</v>
      </c>
      <c r="W17" s="24">
        <v>13.149084597540011</v>
      </c>
      <c r="X17" s="24">
        <v>29.307392505594017</v>
      </c>
      <c r="Y17" s="24">
        <v>17.538853503184715</v>
      </c>
      <c r="Z17" s="24">
        <v>19.35</v>
      </c>
    </row>
    <row r="18" spans="2:26" ht="12.75">
      <c r="B18" s="14" t="s">
        <v>17</v>
      </c>
      <c r="C18" s="23" t="s">
        <v>20</v>
      </c>
      <c r="D18" s="24">
        <v>0.040920716112517311</v>
      </c>
      <c r="E18" s="24" t="s">
        <v>20</v>
      </c>
      <c r="F18" s="24">
        <v>12.482567230619672</v>
      </c>
      <c r="G18" s="24">
        <v>20.123322451940485</v>
      </c>
      <c r="H18" s="24">
        <v>22.325153808075662</v>
      </c>
      <c r="I18" s="24">
        <v>20.917782026768688</v>
      </c>
      <c r="J18" s="24">
        <v>22.711278868914338</v>
      </c>
      <c r="K18" s="23" t="s">
        <v>20</v>
      </c>
      <c r="L18" s="24">
        <v>18.760767830305106</v>
      </c>
      <c r="M18" s="24">
        <v>15.756164361492175</v>
      </c>
      <c r="N18" s="24">
        <v>17.003213874234408</v>
      </c>
      <c r="O18" s="24">
        <v>15.806874181274619</v>
      </c>
      <c r="P18" s="24">
        <v>16.742520331268938</v>
      </c>
      <c r="Q18" s="24">
        <v>15.709261430242973</v>
      </c>
      <c r="R18" s="24">
        <v>17.420000000000002</v>
      </c>
      <c r="S18" s="23">
        <v>500.73943661971526</v>
      </c>
      <c r="T18" s="24">
        <v>725.54890219559547</v>
      </c>
      <c r="U18" s="24">
        <v>10148.148148148108</v>
      </c>
      <c r="V18" s="24">
        <v>14.443425777370296</v>
      </c>
      <c r="W18" s="24">
        <v>12.147416627224224</v>
      </c>
      <c r="X18" s="24">
        <v>12.999237039714153</v>
      </c>
      <c r="Y18" s="24">
        <v>14.900210511099264</v>
      </c>
      <c r="Z18" s="24">
        <v>16.55</v>
      </c>
    </row>
    <row r="19" spans="1:26" ht="12.75">
      <c r="A19" s="25"/>
      <c r="B19" s="17" t="s">
        <v>18</v>
      </c>
      <c r="C19" s="26">
        <v>24.399362067766127</v>
      </c>
      <c r="D19" s="27">
        <v>8.6685511864733051</v>
      </c>
      <c r="E19" s="27">
        <v>12.687719944111731</v>
      </c>
      <c r="F19" s="27">
        <v>22.186437546485426</v>
      </c>
      <c r="G19" s="27">
        <v>26.083902066652112</v>
      </c>
      <c r="H19" s="27">
        <v>28.797454865720546</v>
      </c>
      <c r="I19" s="27">
        <v>30.252110238841276</v>
      </c>
      <c r="J19" s="27">
        <v>29.694116128777104</v>
      </c>
      <c r="K19" s="26">
        <v>12.574389432213341</v>
      </c>
      <c r="L19" s="27">
        <v>13.571355710259709</v>
      </c>
      <c r="M19" s="27">
        <v>13.430784933769269</v>
      </c>
      <c r="N19" s="27">
        <v>15.136043194116846</v>
      </c>
      <c r="O19" s="27">
        <v>15.725192563487312</v>
      </c>
      <c r="P19" s="27">
        <v>18.207067337382039</v>
      </c>
      <c r="Q19" s="27">
        <v>18.786046680985688</v>
      </c>
      <c r="R19" s="27">
        <v>19.281986045127201</v>
      </c>
      <c r="S19" s="26">
        <v>21.783728797379617</v>
      </c>
      <c r="T19" s="27">
        <v>21.638049795800804</v>
      </c>
      <c r="U19" s="27">
        <v>18.59186294134566</v>
      </c>
      <c r="V19" s="27">
        <v>21.758419318739922</v>
      </c>
      <c r="W19" s="27">
        <v>21.645233415243762</v>
      </c>
      <c r="X19" s="27">
        <v>24.899089996343736</v>
      </c>
      <c r="Y19" s="27">
        <v>24.9188021360386</v>
      </c>
      <c r="Z19" s="27">
        <v>24.9188021360386</v>
      </c>
    </row>
    <row r="20" spans="2:19" ht="12.75">
      <c r="B20" s="20"/>
      <c r="C20" s="28"/>
      <c r="K20" s="28"/>
      <c r="S20" s="28"/>
    </row>
    <row r="21" spans="2:26" ht="12.75">
      <c r="B21" s="11" t="s">
        <v>21</v>
      </c>
      <c r="C21" s="12" t="s">
        <v>4</v>
      </c>
      <c r="D21" s="13" t="s">
        <v>5</v>
      </c>
      <c r="E21" s="13" t="s">
        <v>6</v>
      </c>
      <c r="F21" s="13" t="s">
        <v>7</v>
      </c>
      <c r="G21" s="13" t="s">
        <v>8</v>
      </c>
      <c r="H21" s="13" t="s">
        <v>9</v>
      </c>
      <c r="I21" s="13" t="s">
        <v>10</v>
      </c>
      <c r="J21" s="13" t="s">
        <v>11</v>
      </c>
      <c r="K21" s="12" t="s">
        <v>4</v>
      </c>
      <c r="L21" s="13" t="s">
        <v>5</v>
      </c>
      <c r="M21" s="13" t="s">
        <v>6</v>
      </c>
      <c r="N21" s="13" t="s">
        <v>7</v>
      </c>
      <c r="O21" s="13" t="s">
        <v>8</v>
      </c>
      <c r="P21" s="13" t="s">
        <v>9</v>
      </c>
      <c r="Q21" s="13" t="s">
        <v>10</v>
      </c>
      <c r="R21" s="13" t="s">
        <v>11</v>
      </c>
      <c r="S21" s="12" t="s">
        <v>4</v>
      </c>
      <c r="T21" s="13" t="s">
        <v>5</v>
      </c>
      <c r="U21" s="13" t="s">
        <v>6</v>
      </c>
      <c r="V21" s="13" t="s">
        <v>7</v>
      </c>
      <c r="W21" s="13" t="s">
        <v>8</v>
      </c>
      <c r="X21" s="13" t="s">
        <v>9</v>
      </c>
      <c r="Y21" s="13" t="s">
        <v>10</v>
      </c>
      <c r="Z21" s="13" t="s">
        <v>11</v>
      </c>
    </row>
    <row r="22" spans="2:26" ht="12.75">
      <c r="B22" s="14" t="s">
        <v>12</v>
      </c>
      <c r="C22" s="29">
        <v>0.22489093203533445</v>
      </c>
      <c r="D22" s="30">
        <v>0.22231107341147441</v>
      </c>
      <c r="E22" s="30">
        <v>0.18347248375547007</v>
      </c>
      <c r="F22" s="30">
        <v>0.14137779224010874</v>
      </c>
      <c r="G22" s="30">
        <v>0.15192600987840882</v>
      </c>
      <c r="H22" s="30">
        <v>0.27244767970882622</v>
      </c>
      <c r="I22" s="30">
        <v>0.33444931716505766</v>
      </c>
      <c r="J22" s="30">
        <v>0.292680171372457</v>
      </c>
      <c r="K22" s="29">
        <v>0.1446174965680769</v>
      </c>
      <c r="L22" s="30">
        <v>0.12116391725582615</v>
      </c>
      <c r="M22" s="30">
        <v>0.15519094179503737</v>
      </c>
      <c r="N22" s="30">
        <v>0.14575917515649933</v>
      </c>
      <c r="O22" s="30">
        <v>0.11535114978247359</v>
      </c>
      <c r="P22" s="30">
        <v>0.22558853911814275</v>
      </c>
      <c r="Q22" s="30">
        <v>0.23678537775425643</v>
      </c>
      <c r="R22" s="30">
        <v>0.2898</v>
      </c>
      <c r="S22" s="29">
        <v>0.14703937293845656</v>
      </c>
      <c r="T22" s="30">
        <v>0.15399754094072099</v>
      </c>
      <c r="U22" s="30">
        <v>0.16438873250449607</v>
      </c>
      <c r="V22" s="30">
        <v>0.14445960284978018</v>
      </c>
      <c r="W22" s="30">
        <v>0.1454582824533617</v>
      </c>
      <c r="X22" s="30">
        <v>0.20861463812355205</v>
      </c>
      <c r="Y22" s="30">
        <v>0.22927391388631616</v>
      </c>
      <c r="Z22" s="30">
        <f>14079/62333</f>
        <v>0.22586751800811769</v>
      </c>
    </row>
    <row r="23" spans="2:26" ht="12.75">
      <c r="B23" s="14" t="s">
        <v>13</v>
      </c>
      <c r="C23" s="29">
        <v>0.15494489907255862</v>
      </c>
      <c r="D23" s="30">
        <v>0.13955293405928615</v>
      </c>
      <c r="E23" s="30">
        <v>0.14071573284895908</v>
      </c>
      <c r="F23" s="30">
        <v>0.14301696811486106</v>
      </c>
      <c r="G23" s="30">
        <v>0.13327768816901089</v>
      </c>
      <c r="H23" s="30">
        <v>0.25349604221635885</v>
      </c>
      <c r="I23" s="30">
        <v>0.22012457148375258</v>
      </c>
      <c r="J23" s="30">
        <v>0.20751688873959617</v>
      </c>
      <c r="K23" s="29">
        <v>0.062751417334899626</v>
      </c>
      <c r="L23" s="30">
        <v>0.05841171591816674</v>
      </c>
      <c r="M23" s="30">
        <v>0.072265601554796582</v>
      </c>
      <c r="N23" s="30">
        <v>0.10747064975967471</v>
      </c>
      <c r="O23" s="30">
        <v>0.13158298263847479</v>
      </c>
      <c r="P23" s="30">
        <v>0.24152583833046781</v>
      </c>
      <c r="Q23" s="30">
        <v>0.27813294132394339</v>
      </c>
      <c r="R23" s="30">
        <v>0.31782343142698499</v>
      </c>
      <c r="S23" s="29">
        <v>0.12264771466314399</v>
      </c>
      <c r="T23" s="30">
        <v>0.12794344850364228</v>
      </c>
      <c r="U23" s="30">
        <v>0.13002982198568544</v>
      </c>
      <c r="V23" s="30">
        <v>0.12702319372601367</v>
      </c>
      <c r="W23" s="30">
        <v>0.13728248088532319</v>
      </c>
      <c r="X23" s="30">
        <v>0.24564366693016604</v>
      </c>
      <c r="Y23" s="30">
        <v>0.22183920197542795</v>
      </c>
      <c r="Z23" s="30">
        <f>48877/217343</f>
        <v>0.22488416926241012</v>
      </c>
    </row>
    <row r="24" spans="2:26" ht="12.75">
      <c r="B24" s="14" t="s">
        <v>14</v>
      </c>
      <c r="C24" s="29">
        <v>0.15366188891732788</v>
      </c>
      <c r="D24" s="30">
        <v>0.16087741104920869</v>
      </c>
      <c r="E24" s="30">
        <v>0.16240010253626469</v>
      </c>
      <c r="F24" s="30">
        <v>0.15231996640772624</v>
      </c>
      <c r="G24" s="30">
        <v>0.1517807845676698</v>
      </c>
      <c r="H24" s="30">
        <v>0.18836020011117288</v>
      </c>
      <c r="I24" s="30">
        <v>0.19850093940466165</v>
      </c>
      <c r="J24" s="30">
        <v>0.17738116274960242</v>
      </c>
      <c r="K24" s="29">
        <v>0.16516901196496264</v>
      </c>
      <c r="L24" s="30">
        <v>0.16174113072068036</v>
      </c>
      <c r="M24" s="30">
        <v>0.1622380699614657</v>
      </c>
      <c r="N24" s="30">
        <v>0.16072332120569596</v>
      </c>
      <c r="O24" s="30">
        <v>0.15733602137934269</v>
      </c>
      <c r="P24" s="30">
        <v>0.15495946953600437</v>
      </c>
      <c r="Q24" s="30">
        <v>0.1602540471957741</v>
      </c>
      <c r="R24" s="30">
        <v>0.16469845398472399</v>
      </c>
      <c r="S24" s="29">
        <v>0.18196028133420616</v>
      </c>
      <c r="T24" s="30">
        <v>0.17651545851769151</v>
      </c>
      <c r="U24" s="30">
        <v>0.17691566334521625</v>
      </c>
      <c r="V24" s="30">
        <v>0.15027863869352726</v>
      </c>
      <c r="W24" s="30">
        <v>0.1673176633252679</v>
      </c>
      <c r="X24" s="30">
        <v>0.18615000627904058</v>
      </c>
      <c r="Y24" s="30">
        <v>0.17626847662141781</v>
      </c>
      <c r="Z24" s="30">
        <v>0.16489999999999999</v>
      </c>
    </row>
    <row r="25" spans="2:26" ht="12.75">
      <c r="B25" s="14" t="s">
        <v>15</v>
      </c>
      <c r="C25" s="29">
        <v>0</v>
      </c>
      <c r="D25" s="30">
        <v>0</v>
      </c>
      <c r="E25" s="30">
        <v>0</v>
      </c>
      <c r="F25" s="30">
        <v>0.1491652552625212</v>
      </c>
      <c r="G25" s="30">
        <v>0.12514415826359523</v>
      </c>
      <c r="H25" s="30">
        <v>0.38247086247086248</v>
      </c>
      <c r="I25" s="30">
        <v>0.49261501449389677</v>
      </c>
      <c r="J25" s="30"/>
      <c r="K25" s="29">
        <v>0</v>
      </c>
      <c r="L25" s="30">
        <v>0</v>
      </c>
      <c r="M25" s="30">
        <v>0</v>
      </c>
      <c r="N25" s="30">
        <v>0.041910770617395225</v>
      </c>
      <c r="O25" s="30">
        <v>0.13633440514469453</v>
      </c>
      <c r="P25" s="30">
        <v>0.22440087145969498</v>
      </c>
      <c r="Q25" s="30">
        <v>0.21501925545571243</v>
      </c>
      <c r="R25" s="30"/>
      <c r="S25" s="29">
        <v>0</v>
      </c>
      <c r="T25" s="30">
        <v>0</v>
      </c>
      <c r="U25" s="30">
        <v>0</v>
      </c>
      <c r="V25" s="30">
        <v>0.14284503221430994</v>
      </c>
      <c r="W25" s="30">
        <v>0.1334560515416475</v>
      </c>
      <c r="X25" s="30">
        <v>0.52995492220444962</v>
      </c>
      <c r="Y25" s="30">
        <v>0.55927380640656366</v>
      </c>
      <c r="Z25" s="30"/>
    </row>
    <row r="26" spans="2:26" ht="12.75">
      <c r="B26" s="14" t="s">
        <v>16</v>
      </c>
      <c r="C26" s="29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29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29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0.048852411388727479</v>
      </c>
      <c r="Z26" s="30">
        <v>0</v>
      </c>
    </row>
    <row r="27" spans="2:26" ht="12.75">
      <c r="B27" s="14" t="s">
        <v>17</v>
      </c>
      <c r="C27" s="29">
        <v>0</v>
      </c>
      <c r="D27" s="30">
        <v>-0.013888888888368044</v>
      </c>
      <c r="E27" s="30">
        <v>-0.022388059699941343</v>
      </c>
      <c r="F27" s="30">
        <v>0.13937478839860046</v>
      </c>
      <c r="G27" s="30">
        <v>0.12761355443402969</v>
      </c>
      <c r="H27" s="30">
        <v>0.24453595185302723</v>
      </c>
      <c r="I27" s="30">
        <v>0.27291721075999265</v>
      </c>
      <c r="J27" s="30">
        <v>0.16647887323943661</v>
      </c>
      <c r="K27" s="29">
        <v>0</v>
      </c>
      <c r="L27" s="30">
        <v>0.10133711085059303</v>
      </c>
      <c r="M27" s="30">
        <v>0.13261035610684288</v>
      </c>
      <c r="N27" s="30">
        <v>0.047313361864004339</v>
      </c>
      <c r="O27" s="30">
        <v>0.13299131807418987</v>
      </c>
      <c r="P27" s="30">
        <v>0.17067736185384522</v>
      </c>
      <c r="Q27" s="30">
        <v>1.3637077769050594</v>
      </c>
      <c r="R27" s="30">
        <v>0.30790000000000001</v>
      </c>
      <c r="S27" s="29">
        <v>0</v>
      </c>
      <c r="T27" s="30">
        <v>-9.773627727099126E-16</v>
      </c>
      <c r="U27" s="30">
        <v>0</v>
      </c>
      <c r="V27" s="30">
        <v>0.16463898439566246</v>
      </c>
      <c r="W27" s="30">
        <v>0.17438921651221559</v>
      </c>
      <c r="X27" s="30">
        <v>0.18973186704559483</v>
      </c>
      <c r="Y27" s="30">
        <v>0.18572641280620841</v>
      </c>
      <c r="Z27" s="30">
        <v>0.17</v>
      </c>
    </row>
    <row r="28" spans="1:26" ht="12.75">
      <c r="A28" s="25"/>
      <c r="B28" s="17" t="s">
        <v>18</v>
      </c>
      <c r="C28" s="31">
        <v>0.11790846981552465</v>
      </c>
      <c r="D28" s="32">
        <v>0.12326717760669202</v>
      </c>
      <c r="E28" s="32">
        <v>0.12403809653493707</v>
      </c>
      <c r="F28" s="32">
        <v>0.11975216817261396</v>
      </c>
      <c r="G28" s="32">
        <v>0.12159743483352688</v>
      </c>
      <c r="H28" s="32">
        <v>0.2129942203128985</v>
      </c>
      <c r="I28" s="32">
        <v>0.23202405123753556</v>
      </c>
      <c r="J28" s="32">
        <v>0.22275925520262871</v>
      </c>
      <c r="K28" s="31">
        <v>0.13676745740369431</v>
      </c>
      <c r="L28" s="32">
        <v>0.13361020111782301</v>
      </c>
      <c r="M28" s="32">
        <v>0.13967334701053363</v>
      </c>
      <c r="N28" s="32">
        <v>0.14080902205004245</v>
      </c>
      <c r="O28" s="32">
        <v>0.1411089931109665</v>
      </c>
      <c r="P28" s="32">
        <v>0.14955888310697332</v>
      </c>
      <c r="Q28" s="32">
        <v>0.15990265712779902</v>
      </c>
      <c r="R28" s="32">
        <v>0.16739999999999999</v>
      </c>
      <c r="S28" s="33">
        <v>0.1138811919206803</v>
      </c>
      <c r="T28" s="32">
        <v>0.10743251332152919</v>
      </c>
      <c r="U28" s="32">
        <v>0.13799648403164372</v>
      </c>
      <c r="V28" s="32">
        <v>0.1262229734778699</v>
      </c>
      <c r="W28" s="32">
        <v>0.13942764007530845</v>
      </c>
      <c r="X28" s="32">
        <v>0.19825885794366929</v>
      </c>
      <c r="Y28" s="32">
        <v>0.2086712950440297</v>
      </c>
      <c r="Z28" s="32">
        <v>0.2147</v>
      </c>
    </row>
    <row r="29" spans="2:19" ht="12.75">
      <c r="B29" s="4"/>
      <c r="C29" s="28"/>
      <c r="K29" s="28"/>
      <c r="S29" s="28"/>
    </row>
    <row r="30" spans="2:26" ht="12.75">
      <c r="B30" s="14" t="s">
        <v>22</v>
      </c>
      <c r="C30" s="29"/>
      <c r="D30" s="30"/>
      <c r="E30" s="30"/>
      <c r="F30" s="30">
        <v>103815</v>
      </c>
      <c r="G30" s="34">
        <v>145385</v>
      </c>
      <c r="H30" s="34">
        <v>143074</v>
      </c>
      <c r="I30" s="24">
        <v>180905</v>
      </c>
      <c r="J30" s="24">
        <v>224810</v>
      </c>
      <c r="K30" s="23"/>
      <c r="L30" s="24"/>
      <c r="M30" s="24"/>
      <c r="N30" s="24">
        <v>549501</v>
      </c>
      <c r="O30" s="24">
        <v>625860</v>
      </c>
      <c r="P30" s="24">
        <v>700716</v>
      </c>
      <c r="Q30" s="24">
        <v>775470</v>
      </c>
      <c r="R30" s="24">
        <v>818649</v>
      </c>
      <c r="S30" s="23"/>
      <c r="T30" s="24"/>
      <c r="U30" s="24"/>
      <c r="V30" s="24">
        <v>197806</v>
      </c>
      <c r="W30" s="24">
        <v>239901</v>
      </c>
      <c r="X30" s="24">
        <v>280314</v>
      </c>
      <c r="Y30" s="24">
        <v>362078</v>
      </c>
      <c r="Z30" s="24">
        <v>400370</v>
      </c>
    </row>
    <row r="31" spans="2:26" ht="12.75">
      <c r="B31" s="14" t="s">
        <v>23</v>
      </c>
      <c r="C31" s="29"/>
      <c r="D31" s="30"/>
      <c r="E31" s="30"/>
      <c r="F31" s="30">
        <f>F30*36%</f>
        <v>37373.40</v>
      </c>
      <c r="G31" s="34">
        <f>G30*36%</f>
        <v>52338.60</v>
      </c>
      <c r="H31" s="34">
        <f>H30*36%</f>
        <v>51506.64</v>
      </c>
      <c r="I31" s="24">
        <f>I30*36%</f>
        <v>65125.799999999996</v>
      </c>
      <c r="J31" s="24">
        <f>J30*36%</f>
        <v>80931.599999999991</v>
      </c>
      <c r="K31" s="23"/>
      <c r="L31" s="24"/>
      <c r="M31" s="24"/>
      <c r="N31" s="24">
        <f>N30*36%</f>
        <v>197820.36</v>
      </c>
      <c r="O31" s="24">
        <f>O30*36%</f>
        <v>225309.60</v>
      </c>
      <c r="P31" s="24">
        <f>P30*36%</f>
        <v>252257.75999999998</v>
      </c>
      <c r="Q31" s="24">
        <f>Q30*36%</f>
        <v>279169.20</v>
      </c>
      <c r="R31" s="24">
        <f>R30*36%</f>
        <v>294713.64</v>
      </c>
      <c r="S31" s="23"/>
      <c r="T31" s="24"/>
      <c r="U31" s="24"/>
      <c r="V31" s="24">
        <f>V30*36%</f>
        <v>71210.16</v>
      </c>
      <c r="W31" s="24">
        <f>W30*36%</f>
        <v>86364.36</v>
      </c>
      <c r="X31" s="24">
        <f>X30*36%</f>
        <v>100913.04</v>
      </c>
      <c r="Y31" s="24">
        <f>Y30*36%</f>
        <v>130348.08</v>
      </c>
      <c r="Z31" s="24">
        <f>Z30*36%</f>
        <v>144133.19999999998</v>
      </c>
    </row>
    <row r="32" spans="2:26" ht="12.75">
      <c r="B32" s="14" t="s">
        <v>24</v>
      </c>
      <c r="C32" s="29">
        <v>390.70</v>
      </c>
      <c r="D32" s="30">
        <v>450.53</v>
      </c>
      <c r="E32" s="30">
        <v>663.18</v>
      </c>
      <c r="F32" s="30">
        <v>1047.8599999999999</v>
      </c>
      <c r="G32" s="34">
        <v>1467.05</v>
      </c>
      <c r="H32" s="34">
        <v>1799</v>
      </c>
      <c r="I32" s="24">
        <v>2006.59</v>
      </c>
      <c r="J32" s="24">
        <v>1697.70</v>
      </c>
      <c r="K32" s="23">
        <v>4186.3900000000003</v>
      </c>
      <c r="L32" s="24">
        <v>5225.34</v>
      </c>
      <c r="M32" s="24">
        <v>7403.79</v>
      </c>
      <c r="N32" s="24">
        <v>9130.66</v>
      </c>
      <c r="O32" s="24">
        <v>10664.50</v>
      </c>
      <c r="P32" s="24">
        <v>12472.10</v>
      </c>
      <c r="Q32" s="24">
        <v>13753.35</v>
      </c>
      <c r="R32" s="24">
        <v>10611.15</v>
      </c>
      <c r="S32" s="23">
        <v>525.49599999999998</v>
      </c>
      <c r="T32" s="24">
        <v>725.49</v>
      </c>
      <c r="U32" s="24">
        <v>1040.71</v>
      </c>
      <c r="V32" s="24">
        <v>1342.24</v>
      </c>
      <c r="W32" s="24">
        <v>1735.80</v>
      </c>
      <c r="X32" s="24">
        <v>2548.16</v>
      </c>
      <c r="Y32" s="24">
        <v>3315</v>
      </c>
      <c r="Z32" s="24">
        <v>2790.19</v>
      </c>
    </row>
    <row r="33" spans="2:26" ht="12.75">
      <c r="B33" s="14" t="s">
        <v>25</v>
      </c>
      <c r="C33" s="29"/>
      <c r="D33" s="30"/>
      <c r="E33" s="30"/>
      <c r="F33" s="30">
        <f>F32*10^4/F30</f>
        <v>100.93531763232671</v>
      </c>
      <c r="G33" s="34">
        <f>G32*10^4/G30</f>
        <v>100.90793410599443</v>
      </c>
      <c r="H33" s="34">
        <f>H32*10^4/H30</f>
        <v>125.7391280036904</v>
      </c>
      <c r="I33" s="24">
        <f>I32*10^4/I30</f>
        <v>110.91954340676045</v>
      </c>
      <c r="J33" s="24">
        <f>J32*10^4/J30</f>
        <v>75.51710333170233</v>
      </c>
      <c r="K33" s="23"/>
      <c r="L33" s="24"/>
      <c r="M33" s="24"/>
      <c r="N33" s="24">
        <f>N32*10^4/N30</f>
        <v>166.1627549358418</v>
      </c>
      <c r="O33" s="24">
        <f>O32*10^4/O30</f>
        <v>170.39753299459943</v>
      </c>
      <c r="P33" s="24">
        <f>P32*10^4/P30</f>
        <v>177.99079798377659</v>
      </c>
      <c r="Q33" s="24">
        <f>Q32*10^4/Q30</f>
        <v>177.35502340516075</v>
      </c>
      <c r="R33" s="24">
        <f>R32*10^4/R30</f>
        <v>129.61782155722415</v>
      </c>
      <c r="S33" s="23"/>
      <c r="T33" s="24"/>
      <c r="U33" s="24"/>
      <c r="V33" s="24">
        <f>V32*10^4/V30</f>
        <v>67.856384538386095</v>
      </c>
      <c r="W33" s="24">
        <f>W32*10^4/W30</f>
        <v>72.354846374129323</v>
      </c>
      <c r="X33" s="24">
        <f>X32*10^4/X30</f>
        <v>90.903772198320453</v>
      </c>
      <c r="Y33" s="24">
        <f>Y32*10^4/Y30</f>
        <v>91.554858345439385</v>
      </c>
      <c r="Z33" s="24">
        <f>Z32*10^4/Z30</f>
        <v>69.69028648500138</v>
      </c>
    </row>
    <row r="34" spans="2:26" ht="12.75">
      <c r="B34" s="14" t="s">
        <v>26</v>
      </c>
      <c r="C34" s="29">
        <v>194.53899999999999</v>
      </c>
      <c r="D34" s="30">
        <v>670.02400000000011</v>
      </c>
      <c r="E34" s="30">
        <v>561.345</v>
      </c>
      <c r="F34" s="30">
        <v>507.54</v>
      </c>
      <c r="G34" s="34">
        <v>640.76099999999997</v>
      </c>
      <c r="H34" s="34">
        <v>718.59299999999996</v>
      </c>
      <c r="I34" s="24">
        <v>863.68399999999997</v>
      </c>
      <c r="J34" s="24">
        <v>725.96400000000006</v>
      </c>
      <c r="K34" s="23">
        <v>3570.4169999999999</v>
      </c>
      <c r="L34" s="24">
        <v>4232.2719999999999</v>
      </c>
      <c r="M34" s="24">
        <v>5915.1180000000004</v>
      </c>
      <c r="N34" s="24">
        <v>6481.4549999999999</v>
      </c>
      <c r="O34" s="24">
        <v>7064.81</v>
      </c>
      <c r="P34" s="24">
        <v>7348.107</v>
      </c>
      <c r="Q34" s="24">
        <v>7765.7969999999996</v>
      </c>
      <c r="R34" s="24">
        <v>5689.3280000000004</v>
      </c>
      <c r="S34" s="23">
        <v>368.44</v>
      </c>
      <c r="T34" s="24">
        <v>520.09299999999996</v>
      </c>
      <c r="U34" s="24">
        <v>694.86099999999999</v>
      </c>
      <c r="V34" s="24">
        <v>808.01199999999994</v>
      </c>
      <c r="W34" s="24">
        <v>981.58399999999995</v>
      </c>
      <c r="X34" s="24">
        <v>1286.1129999999998</v>
      </c>
      <c r="Y34" s="24">
        <v>1660.8309999999999</v>
      </c>
      <c r="Z34" s="24">
        <v>1222</v>
      </c>
    </row>
    <row r="35" spans="2:26" ht="12.75">
      <c r="B35" s="35" t="s">
        <v>27</v>
      </c>
      <c r="C35" s="36"/>
      <c r="D35" s="37"/>
      <c r="E35" s="37"/>
      <c r="F35" s="37">
        <f>F34*1000/F31</f>
        <v>13.580246913580247</v>
      </c>
      <c r="G35" s="38">
        <f>G34*1000/G31</f>
        <v>12.242608705620709</v>
      </c>
      <c r="H35" s="38">
        <f>H34*1000/H31</f>
        <v>13.951463345308488</v>
      </c>
      <c r="I35" s="39">
        <f>I34*1000/I31</f>
        <v>13.261779509810244</v>
      </c>
      <c r="J35" s="39">
        <f>J34*1000/J31</f>
        <v>8.9700932639414042</v>
      </c>
      <c r="K35" s="40"/>
      <c r="L35" s="39"/>
      <c r="M35" s="39"/>
      <c r="N35" s="39">
        <f>N34*1000/N31</f>
        <v>32.764347410954059</v>
      </c>
      <c r="O35" s="39">
        <f>O34*1000/O31</f>
        <v>31.356009686227306</v>
      </c>
      <c r="P35" s="39">
        <f>P34*1000/P31</f>
        <v>29.129359588382933</v>
      </c>
      <c r="Q35" s="39">
        <f>Q34*1000/Q31</f>
        <v>27.817527864821763</v>
      </c>
      <c r="R35" s="39">
        <f>R34*1000/R31</f>
        <v>19.304596828297463</v>
      </c>
      <c r="S35" s="40"/>
      <c r="T35" s="39"/>
      <c r="U35" s="39"/>
      <c r="V35" s="39">
        <f>V34*1000/V31</f>
        <v>11.346863986824351</v>
      </c>
      <c r="W35" s="39">
        <f>W34*1000/W31</f>
        <v>11.365614241800669</v>
      </c>
      <c r="X35" s="39">
        <f>X34*1000/X31</f>
        <v>12.744765195855758</v>
      </c>
      <c r="Y35" s="39">
        <f>Y34*1000/Y31</f>
        <v>12.741507201333537</v>
      </c>
      <c r="Z35" s="39">
        <f>Z34*1000/Z31</f>
        <v>8.4782687125520013</v>
      </c>
    </row>
    <row r="36" spans="3:26" ht="12.75">
      <c r="C36" s="41"/>
      <c r="D36" s="41"/>
      <c r="E36" s="41"/>
      <c r="F36" s="42"/>
      <c r="G36" s="42"/>
      <c r="H36" s="42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8" spans="2:2" ht="12.75">
      <c r="B38" s="44" t="s">
        <v>28</v>
      </c>
    </row>
    <row r="39" spans="2:2" ht="12.75">
      <c r="B39" s="45" t="s">
        <v>29</v>
      </c>
    </row>
    <row r="40" spans="2:2" ht="12.75">
      <c r="B40" s="45" t="s">
        <v>30</v>
      </c>
    </row>
    <row r="41" spans="2:2" ht="12.75">
      <c r="B41" s="45" t="s">
        <v>31</v>
      </c>
    </row>
    <row r="42" spans="2:2" ht="12.75">
      <c r="B42" s="45" t="s">
        <v>32</v>
      </c>
    </row>
    <row r="43" spans="2:2" ht="12.75">
      <c r="B43" s="45" t="s">
        <v>33</v>
      </c>
    </row>
    <row r="44" spans="2:2" ht="12.75">
      <c r="B44" s="45" t="s">
        <v>34</v>
      </c>
    </row>
  </sheetData>
  <pageMargins left="0.75" right="0.75" top="1" bottom="1" header="0.5" footer="0.5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