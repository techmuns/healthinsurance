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842" firstSheet="5" activeTab="11" autoFilterDateGrouping="1"/>
  </bookViews>
  <sheets>
    <sheet name="Industry Growth" sheetId="1" state="visible" r:id="rId1"/>
    <sheet name="FY26 GWP" sheetId="2" state="visible" r:id="rId2"/>
    <sheet name="Q1'26 GWP" sheetId="3" state="visible" r:id="rId3"/>
    <sheet name="SAHIs comparison" sheetId="4" state="visible" r:id="rId4"/>
    <sheet name="Management commentary " sheetId="5" state="visible" r:id="rId5"/>
    <sheet name="Analyst coverage" sheetId="6" state="visible" r:id="rId6"/>
    <sheet name="Comps" sheetId="7" state="visible" r:id="rId7"/>
    <sheet name="Captable" sheetId="8" state="visible" r:id="rId8"/>
    <sheet name="Channel Mix" sheetId="9" state="visible" r:id="rId9"/>
    <sheet name="Key sectoral updates" sheetId="10" state="visible" r:id="rId10"/>
    <sheet name="_CIQHiddenCacheSheet" sheetId="11" state="veryHidden" r:id="rId11"/>
    <sheet name="Historical Stock Movement" sheetId="12" state="visible" r:id="rId12"/>
  </sheets>
  <externalReferences>
    <externalReference r:id="rId13"/>
  </externalReferences>
  <definedNames>
    <definedName name="\" hidden="1">{"detail",#N/A,FALSE,"mfg";"summary",#N/A,FALSE,"mfg"}</definedName>
    <definedName name="\a">#REF!</definedName>
    <definedName name="\c">#N/A</definedName>
    <definedName name="\FDF" hidden="1">{"'7'!$B$15:$D$32"}</definedName>
    <definedName name="\NvsElapsedTime">0.000203356481506489</definedName>
    <definedName name="\NvsEndTime">37484.6666479167</definedName>
    <definedName name="\nvsinstspec">"%,FDEPTID,V121"</definedName>
    <definedName name="\nvspaneleffdt">"V2002-05-01"</definedName>
    <definedName name="\nvstreeasd">"V2002-07-31"</definedName>
    <definedName name="\o">#N/A</definedName>
    <definedName name="\p">#N/A</definedName>
    <definedName name="\r">#N/A</definedName>
    <definedName name="\t">#N/A</definedName>
    <definedName name="\X">#REF!</definedName>
    <definedName name="\y">#N/A</definedName>
    <definedName name="\z">#N/A</definedName>
    <definedName name="_" hidden="1">{"Page 1",#N/A,TRUE,"Sheet1";"Page 2",#N/A,TRUE,"Sheet1"}</definedName>
    <definedName name="_.ignore9._">#REF!</definedName>
    <definedName name="_?">#REF!</definedName>
    <definedName name="_????">#REF!</definedName>
    <definedName name="_?????????">#REF!</definedName>
    <definedName name="_??_???">#REF!</definedName>
    <definedName name="_?_??">#REF!</definedName>
    <definedName name="____________________________________________________________________________________________________FEB1">#N/A</definedName>
    <definedName name="____________________________________________________________________________________________________FEB2">#N/A</definedName>
    <definedName name="___________________________________________________________________________________________________FEB1">#N/A</definedName>
    <definedName name="___________________________________________________________________________________________________FEB2">#N/A</definedName>
    <definedName name="_________________________________________________________________________________________________FEB1">#N/A</definedName>
    <definedName name="_________________________________________________________________________________________________FEB2">#N/A</definedName>
    <definedName name="_________________________________________________________________________________________________m21">#N/A</definedName>
    <definedName name="________________________________________________________________________________________________FEB1">#N/A</definedName>
    <definedName name="________________________________________________________________________________________________FEB2">#N/A</definedName>
    <definedName name="________________________________________________________________________________________________m21">#N/A</definedName>
    <definedName name="_______________________________________________________________________________________________FEB1">#N/A</definedName>
    <definedName name="_______________________________________________________________________________________________FEB2">#N/A</definedName>
    <definedName name="_______________________________________________________________________________________________m21">#N/A</definedName>
    <definedName name="______________________________________________________________________________________________m21">#N/A</definedName>
    <definedName name="_____________________________________________________________________________________________FEB1">#N/A</definedName>
    <definedName name="_____________________________________________________________________________________________FEB2">#N/A</definedName>
    <definedName name="____________________________________________________________________________________________m21">#N/A</definedName>
    <definedName name="___________________________________________________________________________________________FEB1">#N/A</definedName>
    <definedName name="___________________________________________________________________________________________FEB2">#N/A</definedName>
    <definedName name="__________________________________________________________________________________________m21">#N/A</definedName>
    <definedName name="_________________________________________________________________________________________FEB1">#N/A</definedName>
    <definedName name="_________________________________________________________________________________________FEB2">#N/A</definedName>
    <definedName name="________________________________________________________________________________________FEB1">#N/A</definedName>
    <definedName name="________________________________________________________________________________________FEB2">#N/A</definedName>
    <definedName name="________________________________________________________________________________________m21">#N/A</definedName>
    <definedName name="_______________________________________________________________________________________FEB1">#N/A</definedName>
    <definedName name="_______________________________________________________________________________________FEB2">#N/A</definedName>
    <definedName name="_______________________________________________________________________________________m21">#N/A</definedName>
    <definedName name="______________________________________________________________________________________FEB1">#N/A</definedName>
    <definedName name="______________________________________________________________________________________FEB2">#N/A</definedName>
    <definedName name="______________________________________________________________________________________m21">#N/A</definedName>
    <definedName name="_____________________________________________________________________________________FEB1">#N/A</definedName>
    <definedName name="_____________________________________________________________________________________FEB2">#N/A</definedName>
    <definedName name="_____________________________________________________________________________________m21">#N/A</definedName>
    <definedName name="____________________________________________________________________________________FEB1">#N/A</definedName>
    <definedName name="____________________________________________________________________________________FEB2">#N/A</definedName>
    <definedName name="____________________________________________________________________________________m21">#N/A</definedName>
    <definedName name="___________________________________________________________________________________FEB1">#N/A</definedName>
    <definedName name="___________________________________________________________________________________FEB2">#N/A</definedName>
    <definedName name="___________________________________________________________________________________m21">#N/A</definedName>
    <definedName name="__________________________________________________________________________________FEB1">#N/A</definedName>
    <definedName name="__________________________________________________________________________________FEB2">#N/A</definedName>
    <definedName name="__________________________________________________________________________________m21">#N/A</definedName>
    <definedName name="_________________________________________________________________________________FEB1">#N/A</definedName>
    <definedName name="_________________________________________________________________________________FEB2">#N/A</definedName>
    <definedName name="_________________________________________________________________________________m21">#N/A</definedName>
    <definedName name="________________________________________________________________________________FEB1">#N/A</definedName>
    <definedName name="________________________________________________________________________________FEB2">#N/A</definedName>
    <definedName name="________________________________________________________________________________m21">#N/A</definedName>
    <definedName name="_______________________________________________________________________________FEB1">#N/A</definedName>
    <definedName name="_______________________________________________________________________________FEB2">#N/A</definedName>
    <definedName name="_______________________________________________________________________________m21">#N/A</definedName>
    <definedName name="______________________________________________________________________________FEB1">#N/A</definedName>
    <definedName name="______________________________________________________________________________FEB2">#N/A</definedName>
    <definedName name="______________________________________________________________________________m21">#N/A</definedName>
    <definedName name="_____________________________________________________________________________FEB1">#N/A</definedName>
    <definedName name="_____________________________________________________________________________FEB2">#N/A</definedName>
    <definedName name="_____________________________________________________________________________m21">#N/A</definedName>
    <definedName name="____________________________________________________________________________FEB1">#N/A</definedName>
    <definedName name="____________________________________________________________________________FEB2">#N/A</definedName>
    <definedName name="____________________________________________________________________________m21">#N/A</definedName>
    <definedName name="___________________________________________________________________________FEB1">#N/A</definedName>
    <definedName name="___________________________________________________________________________FEB2">#N/A</definedName>
    <definedName name="___________________________________________________________________________m21">#N/A</definedName>
    <definedName name="__________________________________________________________________________FEB1">#N/A</definedName>
    <definedName name="__________________________________________________________________________FEB2">#N/A</definedName>
    <definedName name="__________________________________________________________________________m21">#N/A</definedName>
    <definedName name="_________________________________________________________________________FEB1">#N/A</definedName>
    <definedName name="_________________________________________________________________________FEB2">#N/A</definedName>
    <definedName name="_________________________________________________________________________m21">#N/A</definedName>
    <definedName name="________________________________________________________________________FEB1">#N/A</definedName>
    <definedName name="________________________________________________________________________FEB2">#N/A</definedName>
    <definedName name="________________________________________________________________________m21">#N/A</definedName>
    <definedName name="_______________________________________________________________________FEB1">#N/A</definedName>
    <definedName name="_______________________________________________________________________FEB2">#N/A</definedName>
    <definedName name="_______________________________________________________________________m21">#N/A</definedName>
    <definedName name="______________________________________________________________________FEB1">#N/A</definedName>
    <definedName name="______________________________________________________________________FEB2">#N/A</definedName>
    <definedName name="______________________________________________________________________m21">#N/A</definedName>
    <definedName name="_____________________________________________________________________FEB1">#N/A</definedName>
    <definedName name="_____________________________________________________________________FEB2">#N/A</definedName>
    <definedName name="_____________________________________________________________________m21">#N/A</definedName>
    <definedName name="____________________________________________________________________FEB1">#N/A</definedName>
    <definedName name="____________________________________________________________________FEB2">#N/A</definedName>
    <definedName name="____________________________________________________________________m21">#N/A</definedName>
    <definedName name="___________________________________________________________________FEB1">#N/A</definedName>
    <definedName name="___________________________________________________________________FEB2">#N/A</definedName>
    <definedName name="___________________________________________________________________m21">#N/A</definedName>
    <definedName name="__________________________________________________________________FEB1">#N/A</definedName>
    <definedName name="__________________________________________________________________FEB2">#N/A</definedName>
    <definedName name="__________________________________________________________________m21">#N/A</definedName>
    <definedName name="_________________________________________________________________FEB1">#N/A</definedName>
    <definedName name="_________________________________________________________________FEB2">#N/A</definedName>
    <definedName name="_________________________________________________________________m21">#N/A</definedName>
    <definedName name="________________________________________________________________FEB1">#N/A</definedName>
    <definedName name="________________________________________________________________FEB2">#N/A</definedName>
    <definedName name="________________________________________________________________m21">#N/A</definedName>
    <definedName name="_______________________________________________________________FEB1">#N/A</definedName>
    <definedName name="_______________________________________________________________FEB2">#N/A</definedName>
    <definedName name="_______________________________________________________________m21">#N/A</definedName>
    <definedName name="______________________________________________________________FEB1">#N/A</definedName>
    <definedName name="______________________________________________________________FEB2">#N/A</definedName>
    <definedName name="______________________________________________________________m21">#N/A</definedName>
    <definedName name="_____________________________________________________________FEB1">#N/A</definedName>
    <definedName name="_____________________________________________________________FEB2">#N/A</definedName>
    <definedName name="_____________________________________________________________m21">#N/A</definedName>
    <definedName name="____________________________________________________________FEB1">#N/A</definedName>
    <definedName name="____________________________________________________________FEB2">#N/A</definedName>
    <definedName name="____________________________________________________________m21">#N/A</definedName>
    <definedName name="___________________________________________________________FEB1">#N/A</definedName>
    <definedName name="___________________________________________________________FEB2">#N/A</definedName>
    <definedName name="___________________________________________________________m21">#N/A</definedName>
    <definedName name="__________________________________________________________FEB1">#N/A</definedName>
    <definedName name="__________________________________________________________FEB2">#N/A</definedName>
    <definedName name="__________________________________________________________m21">#N/A</definedName>
    <definedName name="_________________________________________________________FEB1">#N/A</definedName>
    <definedName name="_________________________________________________________FEB2">#N/A</definedName>
    <definedName name="_________________________________________________________m21">#N/A</definedName>
    <definedName name="________________________________________________________FEB1">#N/A</definedName>
    <definedName name="________________________________________________________FEB2">#N/A</definedName>
    <definedName name="________________________________________________________m21">#N/A</definedName>
    <definedName name="_______________________________________________________FEB1">#N/A</definedName>
    <definedName name="_______________________________________________________FEB2">#N/A</definedName>
    <definedName name="_______________________________________________________m21">#N/A</definedName>
    <definedName name="______________________________________________________FEB1">#N/A</definedName>
    <definedName name="______________________________________________________FEB2">#N/A</definedName>
    <definedName name="______________________________________________________m21">#N/A</definedName>
    <definedName name="_____________________________________________________FEB1">#N/A</definedName>
    <definedName name="_____________________________________________________FEB2">#N/A</definedName>
    <definedName name="_____________________________________________________m21">#N/A</definedName>
    <definedName name="____________________________________________________FEB1">#N/A</definedName>
    <definedName name="____________________________________________________FEB2">#N/A</definedName>
    <definedName name="____________________________________________________m21">#N/A</definedName>
    <definedName name="___________________________________________________FEB1">#N/A</definedName>
    <definedName name="___________________________________________________FEB2">#N/A</definedName>
    <definedName name="___________________________________________________m21">#N/A</definedName>
    <definedName name="__________________________________________________FEB1">#N/A</definedName>
    <definedName name="__________________________________________________FEB2">#N/A</definedName>
    <definedName name="__________________________________________________m21">#N/A</definedName>
    <definedName name="_________________________________________________FEB1">#REF!</definedName>
    <definedName name="_________________________________________________FEB2">#REF!</definedName>
    <definedName name="_________________________________________________m21">#N/A</definedName>
    <definedName name="________________________________________________FEB1">#REF!</definedName>
    <definedName name="________________________________________________FEB2">#REF!</definedName>
    <definedName name="________________________________________________m21">#REF!</definedName>
    <definedName name="_______________________________________________FEB1">#REF!</definedName>
    <definedName name="_______________________________________________FEB2">#REF!</definedName>
    <definedName name="_______________________________________________m21">#REF!</definedName>
    <definedName name="______________________________________________FEB1">#N/A</definedName>
    <definedName name="______________________________________________FEB2">#N/A</definedName>
    <definedName name="______________________________________________m21">#REF!</definedName>
    <definedName name="_____________________________________________FEB1">#REF!</definedName>
    <definedName name="_____________________________________________FEB2">#REF!</definedName>
    <definedName name="_____________________________________________m21">#N/A</definedName>
    <definedName name="____________________________________________FEB1">#REF!</definedName>
    <definedName name="____________________________________________FEB2">#REF!</definedName>
    <definedName name="____________________________________________m21">#REF!</definedName>
    <definedName name="___________________________________________a1" hidden="1">{"Geo - Detail Detail",#N/A,FALSE,"Geo View";"Geo - Detail",#N/A,FALSE,"Geo View";"Dept - Detail Detail",#N/A,FALSE,"Dept View";"Dept - Detail",#N/A,FALSE,"Dept View"}</definedName>
    <definedName name="___________________________________________a2" hidden="1">{"Geo - Detail Detail",#N/A,FALSE,"Geo View";"Geo - Detail",#N/A,FALSE,"Geo View";"Dept - Detail Detail",#N/A,FALSE,"Dept View";"Dept - Detail",#N/A,FALSE,"Dept View"}</definedName>
    <definedName name="___________________________________________a3" hidden="1">{"Geo - Detail Detail",#N/A,FALSE,"Geo View";"Geo - Detail",#N/A,FALSE,"Geo View";"Dept - Detail Detail",#N/A,FALSE,"Dept View";"Dept - Detail",#N/A,FALSE,"Dept View"}</definedName>
    <definedName name="___________________________________________FEB1">#N/A</definedName>
    <definedName name="___________________________________________FEB2">#N/A</definedName>
    <definedName name="___________________________________________m21">#REF!</definedName>
    <definedName name="__________________________________________a1" hidden="1">{"Geo - Detail Detail",#N/A,FALSE,"Geo View";"Geo - Detail",#N/A,FALSE,"Geo View";"Dept - Detail Detail",#N/A,FALSE,"Dept View";"Dept - Detail",#N/A,FALSE,"Dept View"}</definedName>
    <definedName name="__________________________________________a2" hidden="1">{"Geo - Detail Detail",#N/A,FALSE,"Geo View";"Geo - Detail",#N/A,FALSE,"Geo View";"Dept - Detail Detail",#N/A,FALSE,"Dept View";"Dept - Detail",#N/A,FALSE,"Dept View"}</definedName>
    <definedName name="__________________________________________a3" hidden="1">{"Geo - Detail Detail",#N/A,FALSE,"Geo View";"Geo - Detail",#N/A,FALSE,"Geo View";"Dept - Detail Detail",#N/A,FALSE,"Dept View";"Dept - Detail",#N/A,FALSE,"Dept View"}</definedName>
    <definedName name="__________________________________________FEB1">#REF!</definedName>
    <definedName name="__________________________________________FEB2">#REF!</definedName>
    <definedName name="__________________________________________m21">#N/A</definedName>
    <definedName name="_________________________________________a1" hidden="1">{"Geo - Detail Detail",#N/A,FALSE,"Geo View";"Geo - Detail",#N/A,FALSE,"Geo View";"Dept - Detail Detail",#N/A,FALSE,"Dept View";"Dept - Detail",#N/A,FALSE,"Dept View"}</definedName>
    <definedName name="_________________________________________a2" hidden="1">{"Geo - Detail Detail",#N/A,FALSE,"Geo View";"Geo - Detail",#N/A,FALSE,"Geo View";"Dept - Detail Detail",#N/A,FALSE,"Dept View";"Dept - Detail",#N/A,FALSE,"Dept View"}</definedName>
    <definedName name="_________________________________________a3" hidden="1">{"Geo - Detail Detail",#N/A,FALSE,"Geo View";"Geo - Detail",#N/A,FALSE,"Geo View";"Dept - Detail Detail",#N/A,FALSE,"Dept View";"Dept - Detail",#N/A,FALSE,"Dept View"}</definedName>
    <definedName name="_________________________________________FEB1">#REF!</definedName>
    <definedName name="_________________________________________FEB2">#REF!</definedName>
    <definedName name="_________________________________________m21">#REF!</definedName>
    <definedName name="_________________________________________roe2">#REF!</definedName>
    <definedName name="________________________________________a1" hidden="1">{"Geo - Detail Detail",#N/A,FALSE,"Geo View";"Geo - Detail",#N/A,FALSE,"Geo View";"Dept - Detail Detail",#N/A,FALSE,"Dept View";"Dept - Detail",#N/A,FALSE,"Dept View"}</definedName>
    <definedName name="________________________________________a2" hidden="1">{"Geo - Detail Detail",#N/A,FALSE,"Geo View";"Geo - Detail",#N/A,FALSE,"Geo View";"Dept - Detail Detail",#N/A,FALSE,"Dept View";"Dept - Detail",#N/A,FALSE,"Dept View"}</definedName>
    <definedName name="________________________________________a3" hidden="1">{"Geo - Detail Detail",#N/A,FALSE,"Geo View";"Geo - Detail",#N/A,FALSE,"Geo View";"Dept - Detail Detail",#N/A,FALSE,"Dept View";"Dept - Detail",#N/A,FALSE,"Dept View"}</definedName>
    <definedName name="________________________________________FEB1">#REF!</definedName>
    <definedName name="________________________________________FEB2">#REF!</definedName>
    <definedName name="________________________________________m21">#REF!</definedName>
    <definedName name="________________________________________roe2">#REF!</definedName>
    <definedName name="_______________________________________a1" hidden="1">{"Geo - Detail Detail",#N/A,FALSE,"Geo View";"Geo - Detail",#N/A,FALSE,"Geo View";"Dept - Detail Detail",#N/A,FALSE,"Dept View";"Dept - Detail",#N/A,FALSE,"Dept View"}</definedName>
    <definedName name="_______________________________________a2" hidden="1">{"Geo - Detail Detail",#N/A,FALSE,"Geo View";"Geo - Detail",#N/A,FALSE,"Geo View";"Dept - Detail Detail",#N/A,FALSE,"Dept View";"Dept - Detail",#N/A,FALSE,"Dept View"}</definedName>
    <definedName name="_______________________________________a3" hidden="1">{"Geo - Detail Detail",#N/A,FALSE,"Geo View";"Geo - Detail",#N/A,FALSE,"Geo View";"Dept - Detail Detail",#N/A,FALSE,"Dept View";"Dept - Detail",#N/A,FALSE,"Dept View"}</definedName>
    <definedName name="_______________________________________FEB1">#REF!</definedName>
    <definedName name="_______________________________________FEB2">#REF!</definedName>
    <definedName name="_______________________________________m21">#REF!</definedName>
    <definedName name="_______________________________________roe2">#REF!</definedName>
    <definedName name="______________________________________a1" hidden="1">{"Geo - Detail Detail",#N/A,FALSE,"Geo View";"Geo - Detail",#N/A,FALSE,"Geo View";"Dept - Detail Detail",#N/A,FALSE,"Dept View";"Dept - Detail",#N/A,FALSE,"Dept View"}</definedName>
    <definedName name="______________________________________a2" hidden="1">{"Geo - Detail Detail",#N/A,FALSE,"Geo View";"Geo - Detail",#N/A,FALSE,"Geo View";"Dept - Detail Detail",#N/A,FALSE,"Dept View";"Dept - Detail",#N/A,FALSE,"Dept View"}</definedName>
    <definedName name="______________________________________a3" hidden="1">{"Geo - Detail Detail",#N/A,FALSE,"Geo View";"Geo - Detail",#N/A,FALSE,"Geo View";"Dept - Detail Detail",#N/A,FALSE,"Dept View";"Dept - Detail",#N/A,FALSE,"Dept View"}</definedName>
    <definedName name="______________________________________FEB1">#REF!</definedName>
    <definedName name="______________________________________FEB2">#REF!</definedName>
    <definedName name="______________________________________m21">#REF!</definedName>
    <definedName name="______________________________________roe2">#REF!</definedName>
    <definedName name="_____________________________________a1" hidden="1">{"Geo - Detail Detail",#N/A,FALSE,"Geo View";"Geo - Detail",#N/A,FALSE,"Geo View";"Dept - Detail Detail",#N/A,FALSE,"Dept View";"Dept - Detail",#N/A,FALSE,"Dept View"}</definedName>
    <definedName name="_____________________________________a2" hidden="1">{"Geo - Detail Detail",#N/A,FALSE,"Geo View";"Geo - Detail",#N/A,FALSE,"Geo View";"Dept - Detail Detail",#N/A,FALSE,"Dept View";"Dept - Detail",#N/A,FALSE,"Dept View"}</definedName>
    <definedName name="_____________________________________a3" hidden="1">{"Geo - Detail Detail",#N/A,FALSE,"Geo View";"Geo - Detail",#N/A,FALSE,"Geo View";"Dept - Detail Detail",#N/A,FALSE,"Dept View";"Dept - Detail",#N/A,FALSE,"Dept View"}</definedName>
    <definedName name="_____________________________________FEB1">#REF!</definedName>
    <definedName name="_____________________________________FEB2">#REF!</definedName>
    <definedName name="_____________________________________m21">#REF!</definedName>
    <definedName name="_____________________________________roe2">#REF!</definedName>
    <definedName name="____________________________________a1" hidden="1">{"Geo - Detail Detail",#N/A,FALSE,"Geo View";"Geo - Detail",#N/A,FALSE,"Geo View";"Dept - Detail Detail",#N/A,FALSE,"Dept View";"Dept - Detail",#N/A,FALSE,"Dept View"}</definedName>
    <definedName name="____________________________________a2" hidden="1">{"Geo - Detail Detail",#N/A,FALSE,"Geo View";"Geo - Detail",#N/A,FALSE,"Geo View";"Dept - Detail Detail",#N/A,FALSE,"Dept View";"Dept - Detail",#N/A,FALSE,"Dept View"}</definedName>
    <definedName name="____________________________________a3" hidden="1">{"Geo - Detail Detail",#N/A,FALSE,"Geo View";"Geo - Detail",#N/A,FALSE,"Geo View";"Dept - Detail Detail",#N/A,FALSE,"Dept View";"Dept - Detail",#N/A,FALSE,"Dept View"}</definedName>
    <definedName name="____________________________________FEB1">#REF!</definedName>
    <definedName name="____________________________________FEB2">#REF!</definedName>
    <definedName name="____________________________________m21">#REF!</definedName>
    <definedName name="____________________________________roe2">#REF!</definedName>
    <definedName name="___________________________________a1" hidden="1">{"Geo - Detail Detail",#N/A,FALSE,"Geo View";"Geo - Detail",#N/A,FALSE,"Geo View";"Dept - Detail Detail",#N/A,FALSE,"Dept View";"Dept - Detail",#N/A,FALSE,"Dept View"}</definedName>
    <definedName name="___________________________________a2" hidden="1">{"Geo - Detail Detail",#N/A,FALSE,"Geo View";"Geo - Detail",#N/A,FALSE,"Geo View";"Dept - Detail Detail",#N/A,FALSE,"Dept View";"Dept - Detail",#N/A,FALSE,"Dept View"}</definedName>
    <definedName name="___________________________________a3" hidden="1">{"Geo - Detail Detail",#N/A,FALSE,"Geo View";"Geo - Detail",#N/A,FALSE,"Geo View";"Dept - Detail Detail",#N/A,FALSE,"Dept View";"Dept - Detail",#N/A,FALSE,"Dept View"}</definedName>
    <definedName name="___________________________________FEB1">#REF!</definedName>
    <definedName name="___________________________________FEB2">#REF!</definedName>
    <definedName name="___________________________________m21">#REF!</definedName>
    <definedName name="___________________________________roe2">#REF!</definedName>
    <definedName name="__________________________________a1" hidden="1">{"Geo - Detail Detail",#N/A,FALSE,"Geo View";"Geo - Detail",#N/A,FALSE,"Geo View";"Dept - Detail Detail",#N/A,FALSE,"Dept View";"Dept - Detail",#N/A,FALSE,"Dept View"}</definedName>
    <definedName name="__________________________________a2" hidden="1">{"Geo - Detail Detail",#N/A,FALSE,"Geo View";"Geo - Detail",#N/A,FALSE,"Geo View";"Dept - Detail Detail",#N/A,FALSE,"Dept View";"Dept - Detail",#N/A,FALSE,"Dept View"}</definedName>
    <definedName name="__________________________________a3" hidden="1">{"Geo - Detail Detail",#N/A,FALSE,"Geo View";"Geo - Detail",#N/A,FALSE,"Geo View";"Dept - Detail Detail",#N/A,FALSE,"Dept View";"Dept - Detail",#N/A,FALSE,"Dept View"}</definedName>
    <definedName name="__________________________________FEB1">#REF!</definedName>
    <definedName name="__________________________________FEB2">#REF!</definedName>
    <definedName name="__________________________________m21">#REF!</definedName>
    <definedName name="__________________________________roe2">#REF!</definedName>
    <definedName name="_________________________________a1" hidden="1">{"Geo - Detail Detail",#N/A,FALSE,"Geo View";"Geo - Detail",#N/A,FALSE,"Geo View";"Dept - Detail Detail",#N/A,FALSE,"Dept View";"Dept - Detail",#N/A,FALSE,"Dept View"}</definedName>
    <definedName name="_________________________________a2" hidden="1">{"Geo - Detail Detail",#N/A,FALSE,"Geo View";"Geo - Detail",#N/A,FALSE,"Geo View";"Dept - Detail Detail",#N/A,FALSE,"Dept View";"Dept - Detail",#N/A,FALSE,"Dept View"}</definedName>
    <definedName name="_________________________________a3" hidden="1">{"Geo - Detail Detail",#N/A,FALSE,"Geo View";"Geo - Detail",#N/A,FALSE,"Geo View";"Dept - Detail Detail",#N/A,FALSE,"Dept View";"Dept - Detail",#N/A,FALSE,"Dept View"}</definedName>
    <definedName name="_________________________________FEB1">#REF!</definedName>
    <definedName name="_________________________________FEB2">#REF!</definedName>
    <definedName name="_________________________________m21">#REF!</definedName>
    <definedName name="_________________________________roe2">#REF!</definedName>
    <definedName name="________________________________a1" hidden="1">{"Geo - Detail Detail",#N/A,FALSE,"Geo View";"Geo - Detail",#N/A,FALSE,"Geo View";"Dept - Detail Detail",#N/A,FALSE,"Dept View";"Dept - Detail",#N/A,FALSE,"Dept View"}</definedName>
    <definedName name="________________________________a2" hidden="1">{"Geo - Detail Detail",#N/A,FALSE,"Geo View";"Geo - Detail",#N/A,FALSE,"Geo View";"Dept - Detail Detail",#N/A,FALSE,"Dept View";"Dept - Detail",#N/A,FALSE,"Dept View"}</definedName>
    <definedName name="________________________________a3" hidden="1">{"Geo - Detail Detail",#N/A,FALSE,"Geo View";"Geo - Detail",#N/A,FALSE,"Geo View";"Dept - Detail Detail",#N/A,FALSE,"Dept View";"Dept - Detail",#N/A,FALSE,"Dept View"}</definedName>
    <definedName name="________________________________FEB1">#REF!</definedName>
    <definedName name="________________________________FEB2">#REF!</definedName>
    <definedName name="________________________________m21">#REF!</definedName>
    <definedName name="________________________________roe2">#REF!</definedName>
    <definedName name="_______________________________a1" hidden="1">{"Geo - Detail Detail",#N/A,FALSE,"Geo View";"Geo - Detail",#N/A,FALSE,"Geo View";"Dept - Detail Detail",#N/A,FALSE,"Dept View";"Dept - Detail",#N/A,FALSE,"Dept View"}</definedName>
    <definedName name="_______________________________a2" hidden="1">{"Geo - Detail Detail",#N/A,FALSE,"Geo View";"Geo - Detail",#N/A,FALSE,"Geo View";"Dept - Detail Detail",#N/A,FALSE,"Dept View";"Dept - Detail",#N/A,FALSE,"Dept View"}</definedName>
    <definedName name="_______________________________a3" hidden="1">{"Geo - Detail Detail",#N/A,FALSE,"Geo View";"Geo - Detail",#N/A,FALSE,"Geo View";"Dept - Detail Detail",#N/A,FALSE,"Dept View";"Dept - Detail",#N/A,FALSE,"Dept View"}</definedName>
    <definedName name="_______________________________FEB1">#REF!</definedName>
    <definedName name="_______________________________FEB2">#REF!</definedName>
    <definedName name="_______________________________loc1">City&amp;" "&amp;State</definedName>
    <definedName name="_______________________________m21">#REF!</definedName>
    <definedName name="_______________________________roe2">#REF!</definedName>
    <definedName name="______________________________a1" hidden="1">{"Geo - Detail Detail",#N/A,FALSE,"Geo View";"Geo - Detail",#N/A,FALSE,"Geo View";"Dept - Detail Detail",#N/A,FALSE,"Dept View";"Dept - Detail",#N/A,FALSE,"Dept View"}</definedName>
    <definedName name="______________________________a2" hidden="1">{"Geo - Detail Detail",#N/A,FALSE,"Geo View";"Geo - Detail",#N/A,FALSE,"Geo View";"Dept - Detail Detail",#N/A,FALSE,"Dept View";"Dept - Detail",#N/A,FALSE,"Dept View"}</definedName>
    <definedName name="______________________________a3" hidden="1">{"Geo - Detail Detail",#N/A,FALSE,"Geo View";"Geo - Detail",#N/A,FALSE,"Geo View";"Dept - Detail Detail",#N/A,FALSE,"Dept View";"Dept - Detail",#N/A,FALSE,"Dept View"}</definedName>
    <definedName name="______________________________FEB1">#REF!</definedName>
    <definedName name="______________________________FEB2">#REF!</definedName>
    <definedName name="______________________________loc1">City&amp;" "&amp;State</definedName>
    <definedName name="______________________________m21">#REF!</definedName>
    <definedName name="______________________________roe2">#REF!</definedName>
    <definedName name="_____________________________a1" hidden="1">{"Geo - Detail Detail",#N/A,FALSE,"Geo View";"Geo - Detail",#N/A,FALSE,"Geo View";"Dept - Detail Detail",#N/A,FALSE,"Dept View";"Dept - Detail",#N/A,FALSE,"Dept View"}</definedName>
    <definedName name="_____________________________a2" hidden="1">{"Geo - Detail Detail",#N/A,FALSE,"Geo View";"Geo - Detail",#N/A,FALSE,"Geo View";"Dept - Detail Detail",#N/A,FALSE,"Dept View";"Dept - Detail",#N/A,FALSE,"Dept View"}</definedName>
    <definedName name="_____________________________a3" hidden="1">{"Geo - Detail Detail",#N/A,FALSE,"Geo View";"Geo - Detail",#N/A,FALSE,"Geo View";"Dept - Detail Detail",#N/A,FALSE,"Dept View";"Dept - Detail",#N/A,FALSE,"Dept View"}</definedName>
    <definedName name="_____________________________FEB1">#REF!</definedName>
    <definedName name="_____________________________FEB2">#REF!</definedName>
    <definedName name="_____________________________loc1">City&amp;" "&amp;State</definedName>
    <definedName name="_____________________________m21">#REF!</definedName>
    <definedName name="_____________________________roe2">#REF!</definedName>
    <definedName name="____________________________a1" hidden="1">{"Geo - Detail Detail",#N/A,FALSE,"Geo View";"Geo - Detail",#N/A,FALSE,"Geo View";"Dept - Detail Detail",#N/A,FALSE,"Dept View";"Dept - Detail",#N/A,FALSE,"Dept View"}</definedName>
    <definedName name="____________________________a2" hidden="1">{"Geo - Detail Detail",#N/A,FALSE,"Geo View";"Geo - Detail",#N/A,FALSE,"Geo View";"Dept - Detail Detail",#N/A,FALSE,"Dept View";"Dept - Detail",#N/A,FALSE,"Dept View"}</definedName>
    <definedName name="____________________________a3" hidden="1">{"Geo - Detail Detail",#N/A,FALSE,"Geo View";"Geo - Detail",#N/A,FALSE,"Geo View";"Dept - Detail Detail",#N/A,FALSE,"Dept View";"Dept - Detail",#N/A,FALSE,"Dept View"}</definedName>
    <definedName name="____________________________can430">40.73</definedName>
    <definedName name="____________________________can435">43.3</definedName>
    <definedName name="____________________________FEB1">#REF!</definedName>
    <definedName name="____________________________FEB2">#REF!</definedName>
    <definedName name="____________________________loc1">City&amp;" "&amp;State</definedName>
    <definedName name="____________________________m21">#REF!</definedName>
    <definedName name="____________________________roe2">#REF!</definedName>
    <definedName name="___________________________a1" hidden="1">{"Geo - Detail Detail",#N/A,FALSE,"Geo View";"Geo - Detail",#N/A,FALSE,"Geo View";"Dept - Detail Detail",#N/A,FALSE,"Dept View";"Dept - Detail",#N/A,FALSE,"Dept View"}</definedName>
    <definedName name="___________________________a2" hidden="1">{"Geo - Detail Detail",#N/A,FALSE,"Geo View";"Geo - Detail",#N/A,FALSE,"Geo View";"Dept - Detail Detail",#N/A,FALSE,"Dept View";"Dept - Detail",#N/A,FALSE,"Dept View"}</definedName>
    <definedName name="___________________________a3" hidden="1">{"Geo - Detail Detail",#N/A,FALSE,"Geo View";"Geo - Detail",#N/A,FALSE,"Geo View";"Dept - Detail Detail",#N/A,FALSE,"Dept View";"Dept - Detail",#N/A,FALSE,"Dept View"}</definedName>
    <definedName name="___________________________BG1">#N/A</definedName>
    <definedName name="___________________________can430">40.73</definedName>
    <definedName name="___________________________can435">43.3</definedName>
    <definedName name="___________________________FEB1">#REF!</definedName>
    <definedName name="___________________________FEB2">#REF!</definedName>
    <definedName name="___________________________IDC2">City&amp;" "&amp;State</definedName>
    <definedName name="___________________________m21">#REF!</definedName>
    <definedName name="___________________________roe2">#REF!</definedName>
    <definedName name="___________________________SH3">#N/A</definedName>
    <definedName name="__________________________a1" hidden="1">{"Geo - Detail Detail",#N/A,FALSE,"Geo View";"Geo - Detail",#N/A,FALSE,"Geo View";"Dept - Detail Detail",#N/A,FALSE,"Dept View";"Dept - Detail",#N/A,FALSE,"Dept View"}</definedName>
    <definedName name="__________________________A11" hidden="1">{#N/A,#N/A,FALSE,"Umsatz 99";#N/A,#N/A,FALSE,"ER 99 "}</definedName>
    <definedName name="__________________________a2" hidden="1">{"Geo - Detail Detail",#N/A,FALSE,"Geo View";"Geo - Detail",#N/A,FALSE,"Geo View";"Dept - Detail Detail",#N/A,FALSE,"Dept View";"Dept - Detail",#N/A,FALSE,"Dept View"}</definedName>
    <definedName name="__________________________a3" hidden="1">{"Geo - Detail Detail",#N/A,FALSE,"Geo View";"Geo - Detail",#N/A,FALSE,"Geo View";"Dept - Detail Detail",#N/A,FALSE,"Dept View";"Dept - Detail",#N/A,FALSE,"Dept View"}</definedName>
    <definedName name="__________________________BG1">#N/A</definedName>
    <definedName name="__________________________c" hidden="1">{"Fiesta Facer Page",#N/A,FALSE,"Q_C_S";"Fiesta Main Page",#N/A,FALSE,"V_L";"Fiesta 95BP Struct",#N/A,FALSE,"StructBP";"Fiesta Post 95BP Struct",#N/A,FALSE,"AdjStructBP"}</definedName>
    <definedName name="__________________________can430">40.73</definedName>
    <definedName name="__________________________can435">43.3</definedName>
    <definedName name="__________________________FEB1">#REF!</definedName>
    <definedName name="__________________________FEB2">#REF!</definedName>
    <definedName name="__________________________IDC2">City&amp;" "&amp;State</definedName>
    <definedName name="__________________________loc1">City&amp;" "&amp;State</definedName>
    <definedName name="__________________________m21">#REF!</definedName>
    <definedName name="__________________________roe2">#REF!</definedName>
    <definedName name="__________________________SH3">#N/A</definedName>
    <definedName name="__________________________V2" hidden="1">{#N/A,#N/A,FALSE,"Tabl. A1";#N/A,#N/A,FALSE,"Tabl. A1 b";#N/A,#N/A,FALSE,"Tabl. A2";#N/A,#N/A,FALSE,"Tabl. A2-1";#N/A,#N/A,FALSE,"Tabl. A2-2"}</definedName>
    <definedName name="_________________________a1" hidden="1">{"Geo - Detail Detail",#N/A,FALSE,"Geo View";"Geo - Detail",#N/A,FALSE,"Geo View";"Dept - Detail Detail",#N/A,FALSE,"Dept View";"Dept - Detail",#N/A,FALSE,"Dept View"}</definedName>
    <definedName name="_________________________a2" hidden="1">{"Geo - Detail Detail",#N/A,FALSE,"Geo View";"Geo - Detail",#N/A,FALSE,"Geo View";"Dept - Detail Detail",#N/A,FALSE,"Dept View";"Dept - Detail",#N/A,FALSE,"Dept View"}</definedName>
    <definedName name="_________________________a3" hidden="1">{"Geo - Detail Detail",#N/A,FALSE,"Geo View";"Geo - Detail",#N/A,FALSE,"Geo View";"Dept - Detail Detail",#N/A,FALSE,"Dept View";"Dept - Detail",#N/A,FALSE,"Dept View"}</definedName>
    <definedName name="_________________________can430">40.73</definedName>
    <definedName name="_________________________can435">43.3</definedName>
    <definedName name="_________________________FEB1">#REF!</definedName>
    <definedName name="_________________________FEB2">#REF!</definedName>
    <definedName name="_________________________loc1">City&amp;" "&amp;State</definedName>
    <definedName name="_________________________m21">#REF!</definedName>
    <definedName name="_________________________roe2">#REF!</definedName>
    <definedName name="________________________a1" hidden="1">{"Geo - Detail Detail",#N/A,FALSE,"Geo View";"Geo - Detail",#N/A,FALSE,"Geo View";"Dept - Detail Detail",#N/A,FALSE,"Dept View";"Dept - Detail",#N/A,FALSE,"Dept View"}</definedName>
    <definedName name="________________________a2" hidden="1">{"Geo - Detail Detail",#N/A,FALSE,"Geo View";"Geo - Detail",#N/A,FALSE,"Geo View";"Dept - Detail Detail",#N/A,FALSE,"Dept View";"Dept - Detail",#N/A,FALSE,"Dept View"}</definedName>
    <definedName name="________________________a3" hidden="1">{"Geo - Detail Detail",#N/A,FALSE,"Geo View";"Geo - Detail",#N/A,FALSE,"Geo View";"Dept - Detail Detail",#N/A,FALSE,"Dept View";"Dept - Detail",#N/A,FALSE,"Dept View"}</definedName>
    <definedName name="________________________can430">40.73</definedName>
    <definedName name="________________________can435">43.3</definedName>
    <definedName name="________________________FEB1">#REF!</definedName>
    <definedName name="________________________FEB2">#REF!</definedName>
    <definedName name="________________________IDC2">City&amp;" "&amp;State</definedName>
    <definedName name="________________________loc1">City&amp;" "&amp;State</definedName>
    <definedName name="________________________m21">#REF!</definedName>
    <definedName name="________________________roe2">#REF!</definedName>
    <definedName name="_______________________a1" hidden="1">{"Geo - Detail Detail",#N/A,FALSE,"Geo View";"Geo - Detail",#N/A,FALSE,"Geo View";"Dept - Detail Detail",#N/A,FALSE,"Dept View";"Dept - Detail",#N/A,FALSE,"Dept View"}</definedName>
    <definedName name="_______________________A11" hidden="1">{#N/A,#N/A,FALSE,"Umsatz 99";#N/A,#N/A,FALSE,"ER 99 "}</definedName>
    <definedName name="_______________________a2" hidden="1">{"Geo - Detail Detail",#N/A,FALSE,"Geo View";"Geo - Detail",#N/A,FALSE,"Geo View";"Dept - Detail Detail",#N/A,FALSE,"Dept View";"Dept - Detail",#N/A,FALSE,"Dept View"}</definedName>
    <definedName name="_______________________a3" hidden="1">{"Geo - Detail Detail",#N/A,FALSE,"Geo View";"Geo - Detail",#N/A,FALSE,"Geo View";"Dept - Detail Detail",#N/A,FALSE,"Dept View";"Dept - Detail",#N/A,FALSE,"Dept View"}</definedName>
    <definedName name="_______________________BG1">#N/A</definedName>
    <definedName name="_______________________c" hidden="1">{"Fiesta Facer Page",#N/A,FALSE,"Q_C_S";"Fiesta Main Page",#N/A,FALSE,"V_L";"Fiesta 95BP Struct",#N/A,FALSE,"StructBP";"Fiesta Post 95BP Struct",#N/A,FALSE,"AdjStructBP"}</definedName>
    <definedName name="_______________________can430">40.73</definedName>
    <definedName name="_______________________can435">43.3</definedName>
    <definedName name="_______________________FEB1">#REF!</definedName>
    <definedName name="_______________________FEB2">#REF!</definedName>
    <definedName name="_______________________IDC2">City&amp;" "&amp;State</definedName>
    <definedName name="_______________________loc1">City&amp;" "&amp;State</definedName>
    <definedName name="_______________________m21">#REF!</definedName>
    <definedName name="_______________________roe2">#REF!</definedName>
    <definedName name="_______________________SH3">#N/A</definedName>
    <definedName name="_______________________V2" hidden="1">{#N/A,#N/A,FALSE,"Tabl. A1";#N/A,#N/A,FALSE,"Tabl. A1 b";#N/A,#N/A,FALSE,"Tabl. A2";#N/A,#N/A,FALSE,"Tabl. A2-1";#N/A,#N/A,FALSE,"Tabl. A2-2"}</definedName>
    <definedName name="______________________a1" hidden="1">{"Geo - Detail Detail",#N/A,FALSE,"Geo View";"Geo - Detail",#N/A,FALSE,"Geo View";"Dept - Detail Detail",#N/A,FALSE,"Dept View";"Dept - Detail",#N/A,FALSE,"Dept View"}</definedName>
    <definedName name="______________________a2" hidden="1">{"Geo - Detail Detail",#N/A,FALSE,"Geo View";"Geo - Detail",#N/A,FALSE,"Geo View";"Dept - Detail Detail",#N/A,FALSE,"Dept View";"Dept - Detail",#N/A,FALSE,"Dept View"}</definedName>
    <definedName name="______________________a3" hidden="1">{"Geo - Detail Detail",#N/A,FALSE,"Geo View";"Geo - Detail",#N/A,FALSE,"Geo View";"Dept - Detail Detail",#N/A,FALSE,"Dept View";"Dept - Detail",#N/A,FALSE,"Dept View"}</definedName>
    <definedName name="______________________can430">40.73</definedName>
    <definedName name="______________________can435">43.3</definedName>
    <definedName name="______________________FEB1">#REF!</definedName>
    <definedName name="______________________FEB2">#REF!</definedName>
    <definedName name="______________________IDC2">City&amp;" "&amp;State</definedName>
    <definedName name="______________________loc1">City&amp;" "&amp;State</definedName>
    <definedName name="______________________m21">#REF!</definedName>
    <definedName name="______________________roe2">#REF!</definedName>
    <definedName name="_____________________a1" hidden="1">{"Geo - Detail Detail",#N/A,FALSE,"Geo View";"Geo - Detail",#N/A,FALSE,"Geo View";"Dept - Detail Detail",#N/A,FALSE,"Dept View";"Dept - Detail",#N/A,FALSE,"Dept View"}</definedName>
    <definedName name="_____________________A11" hidden="1">{#N/A,#N/A,FALSE,"Umsatz 99";#N/A,#N/A,FALSE,"ER 99 "}</definedName>
    <definedName name="_____________________a2" hidden="1">{"Geo - Detail Detail",#N/A,FALSE,"Geo View";"Geo - Detail",#N/A,FALSE,"Geo View";"Dept - Detail Detail",#N/A,FALSE,"Dept View";"Dept - Detail",#N/A,FALSE,"Dept View"}</definedName>
    <definedName name="_____________________a3" hidden="1">{"Geo - Detail Detail",#N/A,FALSE,"Geo View";"Geo - Detail",#N/A,FALSE,"Geo View";"Dept - Detail Detail",#N/A,FALSE,"Dept View";"Dept - Detail",#N/A,FALSE,"Dept View"}</definedName>
    <definedName name="_____________________BG1">#N/A</definedName>
    <definedName name="_____________________c" hidden="1">{"Fiesta Facer Page",#N/A,FALSE,"Q_C_S";"Fiesta Main Page",#N/A,FALSE,"V_L";"Fiesta 95BP Struct",#N/A,FALSE,"StructBP";"Fiesta Post 95BP Struct",#N/A,FALSE,"AdjStructBP"}</definedName>
    <definedName name="_____________________can430">40.73</definedName>
    <definedName name="_____________________can435">43.3</definedName>
    <definedName name="_____________________FEB1">#REF!</definedName>
    <definedName name="_____________________FEB2">#REF!</definedName>
    <definedName name="_____________________IDC2">City&amp;" "&amp;State</definedName>
    <definedName name="_____________________loc1">City&amp;" "&amp;State</definedName>
    <definedName name="_____________________m21">#REF!</definedName>
    <definedName name="_____________________roe2">#REF!</definedName>
    <definedName name="_____________________SH3">#N/A</definedName>
    <definedName name="_____________________V2" hidden="1">{#N/A,#N/A,FALSE,"Tabl. A1";#N/A,#N/A,FALSE,"Tabl. A1 b";#N/A,#N/A,FALSE,"Tabl. A2";#N/A,#N/A,FALSE,"Tabl. A2-1";#N/A,#N/A,FALSE,"Tabl. A2-2"}</definedName>
    <definedName name="____________________a1" hidden="1">{"Geo - Detail Detail",#N/A,FALSE,"Geo View";"Geo - Detail",#N/A,FALSE,"Geo View";"Dept - Detail Detail",#N/A,FALSE,"Dept View";"Dept - Detail",#N/A,FALSE,"Dept View"}</definedName>
    <definedName name="____________________A11" hidden="1">{#N/A,#N/A,FALSE,"Umsatz 99";#N/A,#N/A,FALSE,"ER 99 "}</definedName>
    <definedName name="____________________a2" hidden="1">{"Geo - Detail Detail",#N/A,FALSE,"Geo View";"Geo - Detail",#N/A,FALSE,"Geo View";"Dept - Detail Detail",#N/A,FALSE,"Dept View";"Dept - Detail",#N/A,FALSE,"Dept View"}</definedName>
    <definedName name="____________________a3" hidden="1">{"Geo - Detail Detail",#N/A,FALSE,"Geo View";"Geo - Detail",#N/A,FALSE,"Geo View";"Dept - Detail Detail",#N/A,FALSE,"Dept View";"Dept - Detail",#N/A,FALSE,"Dept View"}</definedName>
    <definedName name="____________________BG1">#N/A</definedName>
    <definedName name="____________________c" hidden="1">{"Fiesta Facer Page",#N/A,FALSE,"Q_C_S";"Fiesta Main Page",#N/A,FALSE,"V_L";"Fiesta 95BP Struct",#N/A,FALSE,"StructBP";"Fiesta Post 95BP Struct",#N/A,FALSE,"AdjStructBP"}</definedName>
    <definedName name="____________________can430">40.73</definedName>
    <definedName name="____________________can435">43.3</definedName>
    <definedName name="____________________FEB1">#REF!</definedName>
    <definedName name="____________________FEB2">#REF!</definedName>
    <definedName name="____________________IDC2">City&amp;" "&amp;State</definedName>
    <definedName name="____________________loc1">City&amp;" "&amp;State</definedName>
    <definedName name="____________________m21">#REF!</definedName>
    <definedName name="____________________roe2">#REF!</definedName>
    <definedName name="____________________SH3">#N/A</definedName>
    <definedName name="____________________V2" hidden="1">{#N/A,#N/A,FALSE,"Tabl. A1";#N/A,#N/A,FALSE,"Tabl. A1 b";#N/A,#N/A,FALSE,"Tabl. A2";#N/A,#N/A,FALSE,"Tabl. A2-1";#N/A,#N/A,FALSE,"Tabl. A2-2"}</definedName>
    <definedName name="___________________a1" hidden="1">{"Geo - Detail Detail",#N/A,FALSE,"Geo View";"Geo - Detail",#N/A,FALSE,"Geo View";"Dept - Detail Detail",#N/A,FALSE,"Dept View";"Dept - Detail",#N/A,FALSE,"Dept View"}</definedName>
    <definedName name="___________________A11" hidden="1">{#N/A,#N/A,FALSE,"Umsatz 99";#N/A,#N/A,FALSE,"ER 99 "}</definedName>
    <definedName name="___________________a2" hidden="1">{"Geo - Detail Detail",#N/A,FALSE,"Geo View";"Geo - Detail",#N/A,FALSE,"Geo View";"Dept - Detail Detail",#N/A,FALSE,"Dept View";"Dept - Detail",#N/A,FALSE,"Dept View"}</definedName>
    <definedName name="___________________a3" hidden="1">{"Geo - Detail Detail",#N/A,FALSE,"Geo View";"Geo - Detail",#N/A,FALSE,"Geo View";"Dept - Detail Detail",#N/A,FALSE,"Dept View";"Dept - Detail",#N/A,FALSE,"Dept View"}</definedName>
    <definedName name="___________________BG1">#N/A</definedName>
    <definedName name="___________________c" hidden="1">{"Fiesta Facer Page",#N/A,FALSE,"Q_C_S";"Fiesta Main Page",#N/A,FALSE,"V_L";"Fiesta 95BP Struct",#N/A,FALSE,"StructBP";"Fiesta Post 95BP Struct",#N/A,FALSE,"AdjStructBP"}</definedName>
    <definedName name="___________________can430">40.73</definedName>
    <definedName name="___________________can435">43.3</definedName>
    <definedName name="___________________FEB1">#REF!</definedName>
    <definedName name="___________________FEB2">#REF!</definedName>
    <definedName name="___________________IDC2">City&amp;" "&amp;State</definedName>
    <definedName name="___________________loc1">City&amp;" "&amp;State</definedName>
    <definedName name="___________________m21">#REF!</definedName>
    <definedName name="___________________roe2">#REF!</definedName>
    <definedName name="___________________SH3">#N/A</definedName>
    <definedName name="___________________V2" hidden="1">{#N/A,#N/A,FALSE,"Tabl. A1";#N/A,#N/A,FALSE,"Tabl. A1 b";#N/A,#N/A,FALSE,"Tabl. A2";#N/A,#N/A,FALSE,"Tabl. A2-1";#N/A,#N/A,FALSE,"Tabl. A2-2"}</definedName>
    <definedName name="__________________a1" hidden="1">{"Geo - Detail Detail",#N/A,FALSE,"Geo View";"Geo - Detail",#N/A,FALSE,"Geo View";"Dept - Detail Detail",#N/A,FALSE,"Dept View";"Dept - Detail",#N/A,FALSE,"Dept View"}</definedName>
    <definedName name="__________________A11" hidden="1">{#N/A,#N/A,FALSE,"Umsatz 99";#N/A,#N/A,FALSE,"ER 99 "}</definedName>
    <definedName name="__________________a2" hidden="1">{"Geo - Detail Detail",#N/A,FALSE,"Geo View";"Geo - Detail",#N/A,FALSE,"Geo View";"Dept - Detail Detail",#N/A,FALSE,"Dept View";"Dept - Detail",#N/A,FALSE,"Dept View"}</definedName>
    <definedName name="__________________a3" hidden="1">{"Geo - Detail Detail",#N/A,FALSE,"Geo View";"Geo - Detail",#N/A,FALSE,"Geo View";"Dept - Detail Detail",#N/A,FALSE,"Dept View";"Dept - Detail",#N/A,FALSE,"Dept View"}</definedName>
    <definedName name="__________________BG1">#N/A</definedName>
    <definedName name="__________________c" hidden="1">{"Fiesta Facer Page",#N/A,FALSE,"Q_C_S";"Fiesta Main Page",#N/A,FALSE,"V_L";"Fiesta 95BP Struct",#N/A,FALSE,"StructBP";"Fiesta Post 95BP Struct",#N/A,FALSE,"AdjStructBP"}</definedName>
    <definedName name="__________________can430">40.73</definedName>
    <definedName name="__________________can435">43.3</definedName>
    <definedName name="__________________FEB1">#REF!</definedName>
    <definedName name="__________________FEB2">#REF!</definedName>
    <definedName name="__________________IDC2">City&amp;" "&amp;State</definedName>
    <definedName name="__________________loc1">City&amp;" "&amp;State</definedName>
    <definedName name="__________________m21">#REF!</definedName>
    <definedName name="__________________roe2">#REF!</definedName>
    <definedName name="__________________SH3">#N/A</definedName>
    <definedName name="__________________V2" hidden="1">{#N/A,#N/A,FALSE,"Tabl. A1";#N/A,#N/A,FALSE,"Tabl. A1 b";#N/A,#N/A,FALSE,"Tabl. A2";#N/A,#N/A,FALSE,"Tabl. A2-1";#N/A,#N/A,FALSE,"Tabl. A2-2"}</definedName>
    <definedName name="_________________a1" hidden="1">{"Geo - Detail Detail",#N/A,FALSE,"Geo View";"Geo - Detail",#N/A,FALSE,"Geo View";"Dept - Detail Detail",#N/A,FALSE,"Dept View";"Dept - Detail",#N/A,FALSE,"Dept View"}</definedName>
    <definedName name="_________________A11" hidden="1">{#N/A,#N/A,FALSE,"Umsatz 99";#N/A,#N/A,FALSE,"ER 99 "}</definedName>
    <definedName name="_________________a2" hidden="1">{"Geo - Detail Detail",#N/A,FALSE,"Geo View";"Geo - Detail",#N/A,FALSE,"Geo View";"Dept - Detail Detail",#N/A,FALSE,"Dept View";"Dept - Detail",#N/A,FALSE,"Dept View"}</definedName>
    <definedName name="_________________a3" hidden="1">{"Geo - Detail Detail",#N/A,FALSE,"Geo View";"Geo - Detail",#N/A,FALSE,"Geo View";"Dept - Detail Detail",#N/A,FALSE,"Dept View";"Dept - Detail",#N/A,FALSE,"Dept View"}</definedName>
    <definedName name="___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_BG1">#N/A</definedName>
    <definedName name="_________________c" hidden="1">{"Fiesta Facer Page",#N/A,FALSE,"Q_C_S";"Fiesta Main Page",#N/A,FALSE,"V_L";"Fiesta 95BP Struct",#N/A,FALSE,"StructBP";"Fiesta Post 95BP Struct",#N/A,FALSE,"AdjStructBP"}</definedName>
    <definedName name="_________________can430">40.73</definedName>
    <definedName name="_________________can435">43.3</definedName>
    <definedName name="_________________FEB1">#REF!</definedName>
    <definedName name="_________________FEB2">#REF!</definedName>
    <definedName name="_________________Grp16" hidden="1">{#N/A,#N/A,FALSE,"PMTABB";#N/A,#N/A,FALSE,"PMTABB"}</definedName>
    <definedName name="_________________IDC2">City&amp;" "&amp;State</definedName>
    <definedName name="_________________loc1">City&amp;" "&amp;State</definedName>
    <definedName name="_________________m21">#REF!</definedName>
    <definedName name="_________________roe2">#REF!</definedName>
    <definedName name="_________________SH3">#N/A</definedName>
    <definedName name="_________________V2" hidden="1">{#N/A,#N/A,FALSE,"Tabl. A1";#N/A,#N/A,FALSE,"Tabl. A1 b";#N/A,#N/A,FALSE,"Tabl. A2";#N/A,#N/A,FALSE,"Tabl. A2-1";#N/A,#N/A,FALSE,"Tabl. A2-2"}</definedName>
    <definedName name="________________a1" hidden="1">{"Geo - Detail Detail",#N/A,FALSE,"Geo View";"Geo - Detail",#N/A,FALSE,"Geo View";"Dept - Detail Detail",#N/A,FALSE,"Dept View";"Dept - Detail",#N/A,FALSE,"Dept View"}</definedName>
    <definedName name="________________A11" hidden="1">{#N/A,#N/A,FALSE,"Umsatz 99";#N/A,#N/A,FALSE,"ER 99 "}</definedName>
    <definedName name="________________a2" hidden="1">{"Geo - Detail Detail",#N/A,FALSE,"Geo View";"Geo - Detail",#N/A,FALSE,"Geo View";"Dept - Detail Detail",#N/A,FALSE,"Dept View";"Dept - Detail",#N/A,FALSE,"Dept View"}</definedName>
    <definedName name="________________a3" hidden="1">{"Geo - Detail Detail",#N/A,FALSE,"Geo View";"Geo - Detail",#N/A,FALSE,"Geo View";"Dept - Detail Detail",#N/A,FALSE,"Dept View";"Dept - Detail",#N/A,FALSE,"Dept View"}</definedName>
    <definedName name="__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BG1">#N/A</definedName>
    <definedName name="________________c" hidden="1">{"Fiesta Facer Page",#N/A,FALSE,"Q_C_S";"Fiesta Main Page",#N/A,FALSE,"V_L";"Fiesta 95BP Struct",#N/A,FALSE,"StructBP";"Fiesta Post 95BP Struct",#N/A,FALSE,"AdjStructBP"}</definedName>
    <definedName name="________________can430">40.73</definedName>
    <definedName name="________________can435">43.3</definedName>
    <definedName name="________________FEB1">#REF!</definedName>
    <definedName name="________________FEB2">#REF!</definedName>
    <definedName name="________________Grp16" hidden="1">{#N/A,#N/A,FALSE,"PMTABB";#N/A,#N/A,FALSE,"PMTABB"}</definedName>
    <definedName name="________________IDC2">City&amp;" "&amp;State</definedName>
    <definedName name="________________loc1">City&amp;" "&amp;State</definedName>
    <definedName name="________________m21">#REF!</definedName>
    <definedName name="________________roe2">#REF!</definedName>
    <definedName name="________________SH3">#N/A</definedName>
    <definedName name="________________V2" hidden="1">{#N/A,#N/A,FALSE,"Tabl. A1";#N/A,#N/A,FALSE,"Tabl. A1 b";#N/A,#N/A,FALSE,"Tabl. A2";#N/A,#N/A,FALSE,"Tabl. A2-1";#N/A,#N/A,FALSE,"Tabl. A2-2"}</definedName>
    <definedName name="_______________a1" hidden="1">{"Geo - Detail Detail",#N/A,FALSE,"Geo View";"Geo - Detail",#N/A,FALSE,"Geo View";"Dept - Detail Detail",#N/A,FALSE,"Dept View";"Dept - Detail",#N/A,FALSE,"Dept View"}</definedName>
    <definedName name="_______________A11" hidden="1">{#N/A,#N/A,FALSE,"Umsatz 99";#N/A,#N/A,FALSE,"ER 99 "}</definedName>
    <definedName name="_______________a2" hidden="1">{"Geo - Detail Detail",#N/A,FALSE,"Geo View";"Geo - Detail",#N/A,FALSE,"Geo View";"Dept - Detail Detail",#N/A,FALSE,"Dept View";"Dept - Detail",#N/A,FALSE,"Dept View"}</definedName>
    <definedName name="_______________a3" hidden="1">{"Geo - Detail Detail",#N/A,FALSE,"Geo View";"Geo - Detail",#N/A,FALSE,"Geo View";"Dept - Detail Detail",#N/A,FALSE,"Dept View";"Dept - Detail",#N/A,FALSE,"Dept View"}</definedName>
    <definedName name="_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BG1">#N/A</definedName>
    <definedName name="_______________c" hidden="1">{"Fiesta Facer Page",#N/A,FALSE,"Q_C_S";"Fiesta Main Page",#N/A,FALSE,"V_L";"Fiesta 95BP Struct",#N/A,FALSE,"StructBP";"Fiesta Post 95BP Struct",#N/A,FALSE,"AdjStructBP"}</definedName>
    <definedName name="_______________can430">40.73</definedName>
    <definedName name="_______________can435">43.3</definedName>
    <definedName name="_______________FEB1">#REF!</definedName>
    <definedName name="_______________FEB2">#REF!</definedName>
    <definedName name="_______________Grp16" hidden="1">{#N/A,#N/A,FALSE,"PMTABB";#N/A,#N/A,FALSE,"PMTABB"}</definedName>
    <definedName name="_______________IDC2">City&amp;" "&amp;State</definedName>
    <definedName name="_______________loc1">City&amp;" "&amp;State</definedName>
    <definedName name="_______________m21">#REF!</definedName>
    <definedName name="_______________roe2">#REF!</definedName>
    <definedName name="_______________SH3">#N/A</definedName>
    <definedName name="_______________V2" hidden="1">{#N/A,#N/A,FALSE,"Tabl. A1";#N/A,#N/A,FALSE,"Tabl. A1 b";#N/A,#N/A,FALSE,"Tabl. A2";#N/A,#N/A,FALSE,"Tabl. A2-1";#N/A,#N/A,FALSE,"Tabl. A2-2"}</definedName>
    <definedName name="______________a1" hidden="1">{"Geo - Detail Detail",#N/A,FALSE,"Geo View";"Geo - Detail",#N/A,FALSE,"Geo View";"Dept - Detail Detail",#N/A,FALSE,"Dept View";"Dept - Detail",#N/A,FALSE,"Dept View"}</definedName>
    <definedName name="______________A11" hidden="1">{#N/A,#N/A,FALSE,"Umsatz 99";#N/A,#N/A,FALSE,"ER 99 "}</definedName>
    <definedName name="______________a2" hidden="1">{"Geo - Detail Detail",#N/A,FALSE,"Geo View";"Geo - Detail",#N/A,FALSE,"Geo View";"Dept - Detail Detail",#N/A,FALSE,"Dept View";"Dept - Detail",#N/A,FALSE,"Dept View"}</definedName>
    <definedName name="______________a3" hidden="1">{"Geo - Detail Detail",#N/A,FALSE,"Geo View";"Geo - Detail",#N/A,FALSE,"Geo View";"Dept - Detail Detail",#N/A,FALSE,"Dept View";"Dept - Detail",#N/A,FALSE,"Dept View"}</definedName>
    <definedName name="_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BG1">#N/A</definedName>
    <definedName name="______________c" hidden="1">{"Fiesta Facer Page",#N/A,FALSE,"Q_C_S";"Fiesta Main Page",#N/A,FALSE,"V_L";"Fiesta 95BP Struct",#N/A,FALSE,"StructBP";"Fiesta Post 95BP Struct",#N/A,FALSE,"AdjStructBP"}</definedName>
    <definedName name="______________can430">40.73</definedName>
    <definedName name="______________can435">43.3</definedName>
    <definedName name="______________FEB1">#REF!</definedName>
    <definedName name="______________FEB2">#REF!</definedName>
    <definedName name="______________Grp16" hidden="1">{#N/A,#N/A,FALSE,"PMTABB";#N/A,#N/A,FALSE,"PMTABB"}</definedName>
    <definedName name="______________IDC2">City&amp;" "&amp;State</definedName>
    <definedName name="______________loc1">City&amp;" "&amp;State</definedName>
    <definedName name="______________m21">#REF!</definedName>
    <definedName name="______________roe2">#REF!</definedName>
    <definedName name="______________SH3">#N/A</definedName>
    <definedName name="______________V2" hidden="1">{#N/A,#N/A,FALSE,"Tabl. A1";#N/A,#N/A,FALSE,"Tabl. A1 b";#N/A,#N/A,FALSE,"Tabl. A2";#N/A,#N/A,FALSE,"Tabl. A2-1";#N/A,#N/A,FALSE,"Tabl. A2-2"}</definedName>
    <definedName name="_____________a1" hidden="1">{"Geo - Detail Detail",#N/A,FALSE,"Geo View";"Geo - Detail",#N/A,FALSE,"Geo View";"Dept - Detail Detail",#N/A,FALSE,"Dept View";"Dept - Detail",#N/A,FALSE,"Dept View"}</definedName>
    <definedName name="_____________A11" hidden="1">{#N/A,#N/A,FALSE,"Umsatz 99";#N/A,#N/A,FALSE,"ER 99 "}</definedName>
    <definedName name="_____________a2" hidden="1">{"Geo - Detail Detail",#N/A,FALSE,"Geo View";"Geo - Detail",#N/A,FALSE,"Geo View";"Dept - Detail Detail",#N/A,FALSE,"Dept View";"Dept - Detail",#N/A,FALSE,"Dept View"}</definedName>
    <definedName name="_____________a3" hidden="1">{"Geo - Detail Detail",#N/A,FALSE,"Geo View";"Geo - Detail",#N/A,FALSE,"Geo View";"Dept - Detail Detail",#N/A,FALSE,"Dept View";"Dept - Detail",#N/A,FALSE,"Dept View"}</definedName>
    <definedName name="_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BG1">#N/A</definedName>
    <definedName name="_____________c" hidden="1">{"Fiesta Facer Page",#N/A,FALSE,"Q_C_S";"Fiesta Main Page",#N/A,FALSE,"V_L";"Fiesta 95BP Struct",#N/A,FALSE,"StructBP";"Fiesta Post 95BP Struct",#N/A,FALSE,"AdjStructBP"}</definedName>
    <definedName name="_____________can430">40.73</definedName>
    <definedName name="_____________can435">43.3</definedName>
    <definedName name="_____________FEB1">#REF!</definedName>
    <definedName name="_____________FEB2">#REF!</definedName>
    <definedName name="_____________Grp16" hidden="1">{#N/A,#N/A,FALSE,"PMTABB";#N/A,#N/A,FALSE,"PMTABB"}</definedName>
    <definedName name="_____________IDC2">City&amp;" "&amp;State</definedName>
    <definedName name="_____________IDC2_1">"city"&amp;" "&amp;"state"</definedName>
    <definedName name="_____________IDC2_2">"city"&amp;" "&amp;"state"</definedName>
    <definedName name="_____________IDC2_3">"city"&amp;" "&amp;"state"</definedName>
    <definedName name="_____________IDC2_4">"city"&amp;" "&amp;"state"</definedName>
    <definedName name="_____________IDC2_5">"city"&amp;" "&amp;"state"</definedName>
    <definedName name="_____________loc1">City&amp;" "&amp;State</definedName>
    <definedName name="_____________loc1_1">"city"&amp;" "&amp;"state"</definedName>
    <definedName name="_____________loc1_2">"city"&amp;" "&amp;"state"</definedName>
    <definedName name="_____________loc1_3">"city"&amp;" "&amp;"state"</definedName>
    <definedName name="_____________loc1_4">"city"&amp;" "&amp;"state"</definedName>
    <definedName name="_____________loc1_5">"city"&amp;" "&amp;"state"</definedName>
    <definedName name="_____________m21">#REF!</definedName>
    <definedName name="_____________roe2">#REF!</definedName>
    <definedName name="_____________SH3">#N/A</definedName>
    <definedName name="_____________V2" hidden="1">{#N/A,#N/A,FALSE,"Tabl. A1";#N/A,#N/A,FALSE,"Tabl. A1 b";#N/A,#N/A,FALSE,"Tabl. A2";#N/A,#N/A,FALSE,"Tabl. A2-1";#N/A,#N/A,FALSE,"Tabl. A2-2"}</definedName>
    <definedName name="____________a1" hidden="1">{"Geo - Detail Detail",#N/A,FALSE,"Geo View";"Geo - Detail",#N/A,FALSE,"Geo View";"Dept - Detail Detail",#N/A,FALSE,"Dept View";"Dept - Detail",#N/A,FALSE,"Dept View"}</definedName>
    <definedName name="____________A11" hidden="1">{#N/A,#N/A,FALSE,"Umsatz 99";#N/A,#N/A,FALSE,"ER 99 "}</definedName>
    <definedName name="____________a2" hidden="1">{"Geo - Detail Detail",#N/A,FALSE,"Geo View";"Geo - Detail",#N/A,FALSE,"Geo View";"Dept - Detail Detail",#N/A,FALSE,"Dept View";"Dept - Detail",#N/A,FALSE,"Dept View"}</definedName>
    <definedName name="____________a3" hidden="1">{"Geo - Detail Detail",#N/A,FALSE,"Geo View";"Geo - Detail",#N/A,FALSE,"Geo View";"Dept - Detail Detail",#N/A,FALSE,"Dept View";"Dept - Detail",#N/A,FALSE,"Dept View"}</definedName>
    <definedName name="_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abc1" hidden="1">{"detail",#N/A,FALSE,"mfg";"summary",#N/A,FALSE,"mfg"}</definedName>
    <definedName name="____________abc2" hidden="1">{"detail",#N/A,FALSE,"mfg";"summary",#N/A,FALSE,"mfg"}</definedName>
    <definedName name="____________BG1">#N/A</definedName>
    <definedName name="____________c" hidden="1">{"Fiesta Facer Page",#N/A,FALSE,"Q_C_S";"Fiesta Main Page",#N/A,FALSE,"V_L";"Fiesta 95BP Struct",#N/A,FALSE,"StructBP";"Fiesta Post 95BP Struct",#N/A,FALSE,"AdjStructBP"}</definedName>
    <definedName name="____________can430">40.73</definedName>
    <definedName name="____________can435">43.3</definedName>
    <definedName name="____________FEB1">#REF!</definedName>
    <definedName name="____________FEB2">#REF!</definedName>
    <definedName name="____________Grp16" hidden="1">{#N/A,#N/A,FALSE,"PMTABB";#N/A,#N/A,FALSE,"PMTABB"}</definedName>
    <definedName name="____________IDC2">City&amp;" "&amp;State</definedName>
    <definedName name="____________loc1">City&amp;" "&amp;State</definedName>
    <definedName name="____________m21">#REF!</definedName>
    <definedName name="____________roe2">#REF!</definedName>
    <definedName name="____________SH3">#N/A</definedName>
    <definedName name="____________V2" hidden="1">{#N/A,#N/A,FALSE,"Tabl. A1";#N/A,#N/A,FALSE,"Tabl. A1 b";#N/A,#N/A,FALSE,"Tabl. A2";#N/A,#N/A,FALSE,"Tabl. A2-1";#N/A,#N/A,FALSE,"Tabl. A2-2"}</definedName>
    <definedName name="____________z12" hidden="1">{"pro_view",#N/A,FALSE,"EEFSNAP2";"rep_view",#N/A,FALSE,"EEFSNAP2"}</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hidden="1">{"detail",#N/A,FALSE,"mfg";"summary",#N/A,FALSE,"mfg"}</definedName>
    <definedName name="___________a1" hidden="1">{"Geo - Detail Detail",#N/A,FALSE,"Geo View";"Geo - Detail",#N/A,FALSE,"Geo View";"Dept - Detail Detail",#N/A,FALSE,"Dept View";"Dept - Detail",#N/A,FALSE,"Dept View"}</definedName>
    <definedName name="___________A11" hidden="1">{#N/A,#N/A,FALSE,"Umsatz 99";#N/A,#N/A,FALSE,"ER 99 "}</definedName>
    <definedName name="___________a2" hidden="1">{"Geo - Detail Detail",#N/A,FALSE,"Geo View";"Geo - Detail",#N/A,FALSE,"Geo View";"Dept - Detail Detail",#N/A,FALSE,"Dept View";"Dept - Detail",#N/A,FALSE,"Dept View"}</definedName>
    <definedName name="___________a3" hidden="1">{"Geo - Detail Detail",#N/A,FALSE,"Geo View";"Geo - Detail",#N/A,FALSE,"Geo View";"Dept - Detail Detail",#N/A,FALSE,"Dept View";"Dept - Detail",#N/A,FALSE,"Dept View"}</definedName>
    <definedName name="_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abc1" hidden="1">{"detail",#N/A,FALSE,"mfg";"summary",#N/A,FALSE,"mfg"}</definedName>
    <definedName name="___________abc2" hidden="1">{"detail",#N/A,FALSE,"mfg";"summary",#N/A,FALSE,"mfg"}</definedName>
    <definedName name="___________BG1">#N/A</definedName>
    <definedName name="___________c" hidden="1">{"Fiesta Facer Page",#N/A,FALSE,"Q_C_S";"Fiesta Main Page",#N/A,FALSE,"V_L";"Fiesta 95BP Struct",#N/A,FALSE,"StructBP";"Fiesta Post 95BP Struct",#N/A,FALSE,"AdjStructBP"}</definedName>
    <definedName name="___________can430">40.73</definedName>
    <definedName name="___________can435">43.3</definedName>
    <definedName name="___________FEB1">#REF!</definedName>
    <definedName name="___________FEB2">#REF!</definedName>
    <definedName name="___________Grp16" hidden="1">{#N/A,#N/A,FALSE,"PMTABB";#N/A,#N/A,FALSE,"PMTABB"}</definedName>
    <definedName name="___________IDC2">City&amp;" "&amp;State</definedName>
    <definedName name="___________IDC2_1">"city"&amp;" "&amp;"state"</definedName>
    <definedName name="___________IDC2_2">"city"&amp;" "&amp;"state"</definedName>
    <definedName name="___________IDC2_3">"city"&amp;" "&amp;"state"</definedName>
    <definedName name="___________IDC2_4">"city"&amp;" "&amp;"state"</definedName>
    <definedName name="___________IDC2_5">"city"&amp;" "&amp;"state"</definedName>
    <definedName name="___________lb1_1">"#REF!"</definedName>
    <definedName name="___________lb1_2">"#REF!"</definedName>
    <definedName name="___________lb1_3">"#REF!"</definedName>
    <definedName name="___________lb1_4">"#REF!"</definedName>
    <definedName name="___________lb1_5">"#REF!"</definedName>
    <definedName name="___________lb2_1">"#REF!"</definedName>
    <definedName name="___________lb2_2">"#REF!"</definedName>
    <definedName name="___________lb2_3">"#REF!"</definedName>
    <definedName name="___________lb2_4">"#REF!"</definedName>
    <definedName name="___________lb2_5">"#REF!"</definedName>
    <definedName name="___________loc1">City&amp;" "&amp;State</definedName>
    <definedName name="___________loc1_1">"city"&amp;" "&amp;"state"</definedName>
    <definedName name="___________loc1_2">"city"&amp;" "&amp;"state"</definedName>
    <definedName name="___________loc1_3">"city"&amp;" "&amp;"state"</definedName>
    <definedName name="___________loc1_4">"city"&amp;" "&amp;"state"</definedName>
    <definedName name="___________loc1_5">"city"&amp;" "&amp;"state"</definedName>
    <definedName name="___________m21">#REF!</definedName>
    <definedName name="___________mm1_1">"#REF!"</definedName>
    <definedName name="___________mm1_2">"#REF!"</definedName>
    <definedName name="___________mm1_3">"#REF!"</definedName>
    <definedName name="___________mm1_4">"#REF!"</definedName>
    <definedName name="___________mm1_5">"#REF!"</definedName>
    <definedName name="___________mm2_1">"#REF!"</definedName>
    <definedName name="___________mm2_2">"#REF!"</definedName>
    <definedName name="___________mm2_3">"#REF!"</definedName>
    <definedName name="___________mm2_4">"#REF!"</definedName>
    <definedName name="___________mm2_5">"#REF!"</definedName>
    <definedName name="___________mm3_1">"#REF!"</definedName>
    <definedName name="___________mm3_2">"#REF!"</definedName>
    <definedName name="___________mm3_3">"#REF!"</definedName>
    <definedName name="___________mm3_4">"#REF!"</definedName>
    <definedName name="___________mm3_5">"#REF!"</definedName>
    <definedName name="___________roe2">#REF!</definedName>
    <definedName name="___________SH3">#N/A</definedName>
    <definedName name="___________V2" hidden="1">{#N/A,#N/A,FALSE,"Tabl. A1";#N/A,#N/A,FALSE,"Tabl. A1 b";#N/A,#N/A,FALSE,"Tabl. A2";#N/A,#N/A,FALSE,"Tabl. A2-1";#N/A,#N/A,FALSE,"Tabl. A2-2"}</definedName>
    <definedName name="___________z12" hidden="1">{"pro_view",#N/A,FALSE,"EEFSNAP2";"rep_view",#N/A,FALSE,"EEFSNAP2"}</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hidden="1">{"detail",#N/A,FALSE,"mfg";"summary",#N/A,FALSE,"mfg"}</definedName>
    <definedName name="__________a1" hidden="1">{"Geo - Detail Detail",#N/A,FALSE,"Geo View";"Geo - Detail",#N/A,FALSE,"Geo View";"Dept - Detail Detail",#N/A,FALSE,"Dept View";"Dept - Detail",#N/A,FALSE,"Dept View"}</definedName>
    <definedName name="__________A11" hidden="1">{#N/A,#N/A,FALSE,"Umsatz 99";#N/A,#N/A,FALSE,"ER 99 "}</definedName>
    <definedName name="__________a2" hidden="1">{"Geo - Detail Detail",#N/A,FALSE,"Geo View";"Geo - Detail",#N/A,FALSE,"Geo View";"Dept - Detail Detail",#N/A,FALSE,"Dept View";"Dept - Detail",#N/A,FALSE,"Dept View"}</definedName>
    <definedName name="__________a3" hidden="1">{"Geo - Detail Detail",#N/A,FALSE,"Geo View";"Geo - Detail",#N/A,FALSE,"Geo View";"Dept - Detail Detail",#N/A,FALSE,"Dept View";"Dept - Detail",#N/A,FALSE,"Dept View"}</definedName>
    <definedName name="_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abc1" hidden="1">{"detail",#N/A,FALSE,"mfg";"summary",#N/A,FALSE,"mfg"}</definedName>
    <definedName name="__________abc2" hidden="1">{"detail",#N/A,FALSE,"mfg";"summary",#N/A,FALSE,"mfg"}</definedName>
    <definedName name="__________BG1">#N/A</definedName>
    <definedName name="__________c" hidden="1">{"Fiesta Facer Page",#N/A,FALSE,"Q_C_S";"Fiesta Main Page",#N/A,FALSE,"V_L";"Fiesta 95BP Struct",#N/A,FALSE,"StructBP";"Fiesta Post 95BP Struct",#N/A,FALSE,"AdjStructBP"}</definedName>
    <definedName name="__________can430">40.73</definedName>
    <definedName name="__________can435">43.3</definedName>
    <definedName name="__________FEB1">#REF!</definedName>
    <definedName name="__________FEB2">#REF!</definedName>
    <definedName name="__________Grp16" hidden="1">{#N/A,#N/A,FALSE,"PMTABB";#N/A,#N/A,FALSE,"PMTABB"}</definedName>
    <definedName name="__________IDC2">City&amp;" "&amp;State</definedName>
    <definedName name="__________lb1_1">"#REF!"</definedName>
    <definedName name="__________lb1_2">"#REF!"</definedName>
    <definedName name="__________lb1_3">"#REF!"</definedName>
    <definedName name="__________lb1_4">"#REF!"</definedName>
    <definedName name="__________lb1_5">"#REF!"</definedName>
    <definedName name="__________lb2_1">"#REF!"</definedName>
    <definedName name="__________lb2_2">"#REF!"</definedName>
    <definedName name="__________lb2_3">"#REF!"</definedName>
    <definedName name="__________lb2_4">"#REF!"</definedName>
    <definedName name="__________lb2_5">"#REF!"</definedName>
    <definedName name="__________loc1">City&amp;" "&amp;State</definedName>
    <definedName name="__________m21">#REF!</definedName>
    <definedName name="__________mm1_1">"#REF!"</definedName>
    <definedName name="__________mm1_2">"#REF!"</definedName>
    <definedName name="__________mm1_3">"#REF!"</definedName>
    <definedName name="__________mm1_4">"#REF!"</definedName>
    <definedName name="__________mm1_5">"#REF!"</definedName>
    <definedName name="__________mm2_1">"#REF!"</definedName>
    <definedName name="__________mm2_2">"#REF!"</definedName>
    <definedName name="__________mm2_3">"#REF!"</definedName>
    <definedName name="__________mm2_4">"#REF!"</definedName>
    <definedName name="__________mm2_5">"#REF!"</definedName>
    <definedName name="__________mm3_1">"#REF!"</definedName>
    <definedName name="__________mm3_2">"#REF!"</definedName>
    <definedName name="__________mm3_3">"#REF!"</definedName>
    <definedName name="__________mm3_4">"#REF!"</definedName>
    <definedName name="__________mm3_5">"#REF!"</definedName>
    <definedName name="__________roe2">#REF!</definedName>
    <definedName name="__________SH3">#N/A</definedName>
    <definedName name="__________V2" hidden="1">{#N/A,#N/A,FALSE,"Tabl. A1";#N/A,#N/A,FALSE,"Tabl. A1 b";#N/A,#N/A,FALSE,"Tabl. A2";#N/A,#N/A,FALSE,"Tabl. A2-1";#N/A,#N/A,FALSE,"Tabl. A2-2"}</definedName>
    <definedName name="__________z12" hidden="1">{"pro_view",#N/A,FALSE,"EEFSNAP2";"rep_view",#N/A,FALSE,"EEFSNAP2"}</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hidden="1">{"detail",#N/A,FALSE,"mfg";"summary",#N/A,FALSE,"mfg"}</definedName>
    <definedName name="_________a1" hidden="1">{"Geo - Detail Detail",#N/A,FALSE,"Geo View";"Geo - Detail",#N/A,FALSE,"Geo View";"Dept - Detail Detail",#N/A,FALSE,"Dept View";"Dept - Detail",#N/A,FALSE,"Dept View"}</definedName>
    <definedName name="_________A11" hidden="1">{#N/A,#N/A,FALSE,"Umsatz 99";#N/A,#N/A,FALSE,"ER 99 "}</definedName>
    <definedName name="_________a2" hidden="1">{"Geo - Detail Detail",#N/A,FALSE,"Geo View";"Geo - Detail",#N/A,FALSE,"Geo View";"Dept - Detail Detail",#N/A,FALSE,"Dept View";"Dept - Detail",#N/A,FALSE,"Dept View"}</definedName>
    <definedName name="_________a3" hidden="1">{"Geo - Detail Detail",#N/A,FALSE,"Geo View";"Geo - Detail",#N/A,FALSE,"Geo View";"Dept - Detail Detail",#N/A,FALSE,"Dept View";"Dept - Detail",#N/A,FALSE,"Dept View"}</definedName>
    <definedName name="_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bc1" hidden="1">{"detail",#N/A,FALSE,"mfg";"summary",#N/A,FALSE,"mfg"}</definedName>
    <definedName name="_________abc2" hidden="1">{"detail",#N/A,FALSE,"mfg";"summary",#N/A,FALSE,"mfg"}</definedName>
    <definedName name="_________BG1">#N/A</definedName>
    <definedName name="_________c" hidden="1">{"Fiesta Facer Page",#N/A,FALSE,"Q_C_S";"Fiesta Main Page",#N/A,FALSE,"V_L";"Fiesta 95BP Struct",#N/A,FALSE,"StructBP";"Fiesta Post 95BP Struct",#N/A,FALSE,"AdjStructBP"}</definedName>
    <definedName name="_________can430">40.73</definedName>
    <definedName name="_________can435">43.3</definedName>
    <definedName name="_________FEB1">#REF!</definedName>
    <definedName name="_________FEB2">#REF!</definedName>
    <definedName name="_________Grp16" hidden="1">{#N/A,#N/A,FALSE,"PMTABB";#N/A,#N/A,FALSE,"PMTABB"}</definedName>
    <definedName name="_________IDC2">City&amp;" "&amp;State</definedName>
    <definedName name="_________IDC2_1">"city"&amp;" "&amp;"state"</definedName>
    <definedName name="_________IDC2_2">"city"&amp;" "&amp;"state"</definedName>
    <definedName name="_________IDC2_3">"city"&amp;" "&amp;"state"</definedName>
    <definedName name="_________IDC2_4">"city"&amp;" "&amp;"state"</definedName>
    <definedName name="_________IDC2_5">"city"&amp;" "&amp;"state"</definedName>
    <definedName name="_________lb1_1">"#REF!"</definedName>
    <definedName name="_________lb1_2">"#REF!"</definedName>
    <definedName name="_________lb1_3">"#REF!"</definedName>
    <definedName name="_________lb1_4">"#REF!"</definedName>
    <definedName name="_________lb1_5">"#REF!"</definedName>
    <definedName name="_________lb2_1">"#REF!"</definedName>
    <definedName name="_________lb2_2">"#REF!"</definedName>
    <definedName name="_________lb2_3">"#REF!"</definedName>
    <definedName name="_________lb2_4">"#REF!"</definedName>
    <definedName name="_________lb2_5">"#REF!"</definedName>
    <definedName name="_________loc1">City&amp;" "&amp;State</definedName>
    <definedName name="_________loc1_1">"city"&amp;" "&amp;"state"</definedName>
    <definedName name="_________loc1_2">"city"&amp;" "&amp;"state"</definedName>
    <definedName name="_________loc1_3">"city"&amp;" "&amp;"state"</definedName>
    <definedName name="_________loc1_4">"city"&amp;" "&amp;"state"</definedName>
    <definedName name="_________loc1_5">"city"&amp;" "&amp;"state"</definedName>
    <definedName name="_________m21">#REF!</definedName>
    <definedName name="_________mm1_1">"#REF!"</definedName>
    <definedName name="_________mm1_2">"#REF!"</definedName>
    <definedName name="_________mm1_3">"#REF!"</definedName>
    <definedName name="_________mm1_4">"#REF!"</definedName>
    <definedName name="_________mm1_5">"#REF!"</definedName>
    <definedName name="_________mm2_1">"#REF!"</definedName>
    <definedName name="_________mm2_2">"#REF!"</definedName>
    <definedName name="_________mm2_3">"#REF!"</definedName>
    <definedName name="_________mm2_4">"#REF!"</definedName>
    <definedName name="_________mm2_5">"#REF!"</definedName>
    <definedName name="_________mm3_1">"#REF!"</definedName>
    <definedName name="_________mm3_2">"#REF!"</definedName>
    <definedName name="_________mm3_3">"#REF!"</definedName>
    <definedName name="_________mm3_4">"#REF!"</definedName>
    <definedName name="_________mm3_5">"#REF!"</definedName>
    <definedName name="_________roe2">#REF!</definedName>
    <definedName name="_________san4" hidden="1">{0,#N/A,TRUE,0;0,#N/A,TRUE,0}</definedName>
    <definedName name="_________SGA2" hidden="1">{"Page 1",#N/A,TRUE,"Sheet1";"Page 2",#N/A,TRUE,"Sheet1"}</definedName>
    <definedName name="_________SH3">#N/A</definedName>
    <definedName name="_________V2" hidden="1">{#N/A,#N/A,FALSE,"Tabl. A1";#N/A,#N/A,FALSE,"Tabl. A1 b";#N/A,#N/A,FALSE,"Tabl. A2";#N/A,#N/A,FALSE,"Tabl. A2-1";#N/A,#N/A,FALSE,"Tabl. A2-2"}</definedName>
    <definedName name="_________z12" hidden="1">{"pro_view",#N/A,FALSE,"EEFSNAP2";"rep_view",#N/A,FALSE,"EEFSNAP2"}</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hidden="1">{"detail",#N/A,FALSE,"mfg";"summary",#N/A,FALSE,"mfg"}</definedName>
    <definedName name="________a1" hidden="1">{"Geo - Detail Detail",#N/A,FALSE,"Geo View";"Geo - Detail",#N/A,FALSE,"Geo View";"Dept - Detail Detail",#N/A,FALSE,"Dept View";"Dept - Detail",#N/A,FALSE,"Dept View"}</definedName>
    <definedName name="________A11" hidden="1">{#N/A,#N/A,FALSE,"Umsatz 99";#N/A,#N/A,FALSE,"ER 99 "}</definedName>
    <definedName name="________a2" hidden="1">{"Geo - Detail Detail",#N/A,FALSE,"Geo View";"Geo - Detail",#N/A,FALSE,"Geo View";"Dept - Detail Detail",#N/A,FALSE,"Dept View";"Dept - Detail",#N/A,FALSE,"Dept View"}</definedName>
    <definedName name="________a3" hidden="1">{"Geo - Detail Detail",#N/A,FALSE,"Geo View";"Geo - Detail",#N/A,FALSE,"Geo View";"Dept - Detail Detail",#N/A,FALSE,"Dept View";"Dept - Detail",#N/A,FALSE,"Dept View"}</definedName>
    <definedName name="_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bc1" hidden="1">{"detail",#N/A,FALSE,"mfg";"summary",#N/A,FALSE,"mfg"}</definedName>
    <definedName name="________abc2" hidden="1">{"detail",#N/A,FALSE,"mfg";"summary",#N/A,FALSE,"mfg"}</definedName>
    <definedName name="________BG1">#N/A</definedName>
    <definedName name="________bol1_1">"#REF!"</definedName>
    <definedName name="________bol1_2">"#REF!"</definedName>
    <definedName name="________bol1_3">"#REF!"</definedName>
    <definedName name="________bol1_4">"#REF!"</definedName>
    <definedName name="________bol1_5">"#REF!"</definedName>
    <definedName name="________c" hidden="1">{"Fiesta Facer Page",#N/A,FALSE,"Q_C_S";"Fiesta Main Page",#N/A,FALSE,"V_L";"Fiesta 95BP Struct",#N/A,FALSE,"StructBP";"Fiesta Post 95BP Struct",#N/A,FALSE,"AdjStructBP"}</definedName>
    <definedName name="________can430">40.73</definedName>
    <definedName name="________can435">43.3</definedName>
    <definedName name="________FEB1">#REF!</definedName>
    <definedName name="________FEB2">#REF!</definedName>
    <definedName name="________Grp16" hidden="1">{#N/A,#N/A,FALSE,"PMTABB";#N/A,#N/A,FALSE,"PMTABB"}</definedName>
    <definedName name="________IDC2">City&amp;" "&amp;State</definedName>
    <definedName name="________IDC2_1">"city"&amp;" "&amp;"state"</definedName>
    <definedName name="________IDC2_2">"city"&amp;" "&amp;"state"</definedName>
    <definedName name="________IDC2_3">"city"&amp;" "&amp;"state"</definedName>
    <definedName name="________IDC2_4">"city"&amp;" "&amp;"state"</definedName>
    <definedName name="________IDC2_5">"city"&amp;" "&amp;"state"</definedName>
    <definedName name="________jj300_1">"#REF!"</definedName>
    <definedName name="________jj300_2">"#REF!"</definedName>
    <definedName name="________jj300_3">"#REF!"</definedName>
    <definedName name="________jj300_4">"#REF!"</definedName>
    <definedName name="________jj300_5">"#REF!"</definedName>
    <definedName name="________loc1">City&amp;" "&amp;State</definedName>
    <definedName name="________loc1_1">"city"&amp;" "&amp;"state"</definedName>
    <definedName name="________loc1_2">"city"&amp;" "&amp;"state"</definedName>
    <definedName name="________loc1_3">"city"&amp;" "&amp;"state"</definedName>
    <definedName name="________loc1_4">"city"&amp;" "&amp;"state"</definedName>
    <definedName name="________loc1_5">"city"&amp;" "&amp;"state"</definedName>
    <definedName name="________m21">#REF!</definedName>
    <definedName name="________met10_1">"#REF!"</definedName>
    <definedName name="________met10_2">"#REF!"</definedName>
    <definedName name="________met10_3">"#REF!"</definedName>
    <definedName name="________met10_4">"#REF!"</definedName>
    <definedName name="________met10_5">"#REF!"</definedName>
    <definedName name="________met20_1">"#REF!"</definedName>
    <definedName name="________met20_2">"#REF!"</definedName>
    <definedName name="________met20_3">"#REF!"</definedName>
    <definedName name="________met20_4">"#REF!"</definedName>
    <definedName name="________met20_5">"#REF!"</definedName>
    <definedName name="________met30_1">"#REF!"</definedName>
    <definedName name="________met30_2">"#REF!"</definedName>
    <definedName name="________met30_3">"#REF!"</definedName>
    <definedName name="________met30_4">"#REF!"</definedName>
    <definedName name="________met30_5">"#REF!"</definedName>
    <definedName name="________roe2">#REF!</definedName>
    <definedName name="________sdb2_1">"#REF!"</definedName>
    <definedName name="________sdb2_2">"#REF!"</definedName>
    <definedName name="________sdb2_3">"#REF!"</definedName>
    <definedName name="________sdb2_4">"#REF!"</definedName>
    <definedName name="________sdb2_5">"#REF!"</definedName>
    <definedName name="________SH3">#N/A</definedName>
    <definedName name="________V2" hidden="1">{#N/A,#N/A,FALSE,"Tabl. A1";#N/A,#N/A,FALSE,"Tabl. A1 b";#N/A,#N/A,FALSE,"Tabl. A2";#N/A,#N/A,FALSE,"Tabl. A2-1";#N/A,#N/A,FALSE,"Tabl. A2-2"}</definedName>
    <definedName name="________xx1" hidden="1">{#N/A,#N/A,FALSE,"CMN_FE"}</definedName>
    <definedName name="________z12" hidden="1">{"pro_view",#N/A,FALSE,"EEFSNAP2";"rep_view",#N/A,FALSE,"EEFSNAP2"}</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hidden="1">{"detail",#N/A,FALSE,"mfg";"summary",#N/A,FALSE,"mfg"}</definedName>
    <definedName name="_______a1" hidden="1">{"Geo - Detail Detail",#N/A,FALSE,"Geo View";"Geo - Detail",#N/A,FALSE,"Geo View";"Dept - Detail Detail",#N/A,FALSE,"Dept View";"Dept - Detail",#N/A,FALSE,"Dept View"}</definedName>
    <definedName name="_______A11" hidden="1">{#N/A,#N/A,FALSE,"Umsatz 99";#N/A,#N/A,FALSE,"ER 99 "}</definedName>
    <definedName name="_______a2" hidden="1">{"Geo - Detail Detail",#N/A,FALSE,"Geo View";"Geo - Detail",#N/A,FALSE,"Geo View";"Dept - Detail Detail",#N/A,FALSE,"Dept View";"Dept - Detail",#N/A,FALSE,"Dept View"}</definedName>
    <definedName name="_______a3" hidden="1">{"Geo - Detail Detail",#N/A,FALSE,"Geo View";"Geo - Detail",#N/A,FALSE,"Geo View";"Dept - Detail Detail",#N/A,FALSE,"Dept View";"Dept - Detail",#N/A,FALSE,"Dept View"}</definedName>
    <definedName name="__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bc1" hidden="1">{"detail",#N/A,FALSE,"mfg";"summary",#N/A,FALSE,"mfg"}</definedName>
    <definedName name="_______abc2" hidden="1">{"detail",#N/A,FALSE,"mfg";"summary",#N/A,FALSE,"mfg"}</definedName>
    <definedName name="_______BG1">#N/A</definedName>
    <definedName name="_______bol1_1">"#REF!"</definedName>
    <definedName name="_______bol1_2">"#REF!"</definedName>
    <definedName name="_______bol1_3">"#REF!"</definedName>
    <definedName name="_______bol1_4">"#REF!"</definedName>
    <definedName name="_______bol1_5">"#REF!"</definedName>
    <definedName name="_______c" hidden="1">{"Fiesta Facer Page",#N/A,FALSE,"Q_C_S";"Fiesta Main Page",#N/A,FALSE,"V_L";"Fiesta 95BP Struct",#N/A,FALSE,"StructBP";"Fiesta Post 95BP Struct",#N/A,FALSE,"AdjStructBP"}</definedName>
    <definedName name="_______can430">40.73</definedName>
    <definedName name="_______can435">43.3</definedName>
    <definedName name="_______FEB1">#REF!</definedName>
    <definedName name="_______FEB2">#REF!</definedName>
    <definedName name="_______Grp16" hidden="1">{#N/A,#N/A,FALSE,"PMTABB";#N/A,#N/A,FALSE,"PMTABB"}</definedName>
    <definedName name="_______IDC2">City&amp;" "&amp;State</definedName>
    <definedName name="_______IDC2_1">"city"&amp;" "&amp;"state"</definedName>
    <definedName name="_______IDC2_2">"city"&amp;" "&amp;"state"</definedName>
    <definedName name="_______IDC2_3">"city"&amp;" "&amp;"state"</definedName>
    <definedName name="_______IDC2_4">"city"&amp;" "&amp;"state"</definedName>
    <definedName name="_______IDC2_5">"city"&amp;" "&amp;"state"</definedName>
    <definedName name="_______IS2">OFFSET(#REF!,0,1)</definedName>
    <definedName name="_______jj300_1">"#REF!"</definedName>
    <definedName name="_______jj300_2">"#REF!"</definedName>
    <definedName name="_______jj300_3">"#REF!"</definedName>
    <definedName name="_______jj300_4">"#REF!"</definedName>
    <definedName name="_______jj300_5">"#REF!"</definedName>
    <definedName name="_______lb1_1">"#REF!"</definedName>
    <definedName name="_______lb1_2">"#REF!"</definedName>
    <definedName name="_______lb1_3">"#REF!"</definedName>
    <definedName name="_______lb1_4">"#REF!"</definedName>
    <definedName name="_______lb1_5">"#REF!"</definedName>
    <definedName name="_______lb2_1">"#REF!"</definedName>
    <definedName name="_______lb2_2">"#REF!"</definedName>
    <definedName name="_______lb2_3">"#REF!"</definedName>
    <definedName name="_______lb2_4">"#REF!"</definedName>
    <definedName name="_______lb2_5">"#REF!"</definedName>
    <definedName name="_______loc1">City&amp;" "&amp;State</definedName>
    <definedName name="_______loc1_1">"city"&amp;" "&amp;"state"</definedName>
    <definedName name="_______loc1_2">"city"&amp;" "&amp;"state"</definedName>
    <definedName name="_______loc1_3">"city"&amp;" "&amp;"state"</definedName>
    <definedName name="_______loc1_4">"city"&amp;" "&amp;"state"</definedName>
    <definedName name="_______loc1_5">"city"&amp;" "&amp;"state"</definedName>
    <definedName name="_______m21">#REF!</definedName>
    <definedName name="_______met10_1">"#REF!"</definedName>
    <definedName name="_______met10_2">"#REF!"</definedName>
    <definedName name="_______met10_3">"#REF!"</definedName>
    <definedName name="_______met10_4">"#REF!"</definedName>
    <definedName name="_______met10_5">"#REF!"</definedName>
    <definedName name="_______met20_1">"#REF!"</definedName>
    <definedName name="_______met20_2">"#REF!"</definedName>
    <definedName name="_______met20_3">"#REF!"</definedName>
    <definedName name="_______met20_4">"#REF!"</definedName>
    <definedName name="_______met20_5">"#REF!"</definedName>
    <definedName name="_______met30_1">"#REF!"</definedName>
    <definedName name="_______met30_2">"#REF!"</definedName>
    <definedName name="_______met30_3">"#REF!"</definedName>
    <definedName name="_______met30_4">"#REF!"</definedName>
    <definedName name="_______met30_5">"#REF!"</definedName>
    <definedName name="_______mm1_1">"#REF!"</definedName>
    <definedName name="_______mm1_2">"#REF!"</definedName>
    <definedName name="_______mm1_3">"#REF!"</definedName>
    <definedName name="_______mm1_4">"#REF!"</definedName>
    <definedName name="_______mm1_5">"#REF!"</definedName>
    <definedName name="_______mm2_1">"#REF!"</definedName>
    <definedName name="_______mm2_2">"#REF!"</definedName>
    <definedName name="_______mm2_3">"#REF!"</definedName>
    <definedName name="_______mm2_4">"#REF!"</definedName>
    <definedName name="_______mm2_5">"#REF!"</definedName>
    <definedName name="_______mm3_1">"#REF!"</definedName>
    <definedName name="_______mm3_2">"#REF!"</definedName>
    <definedName name="_______mm3_3">"#REF!"</definedName>
    <definedName name="_______mm3_4">"#REF!"</definedName>
    <definedName name="_______mm3_5">"#REF!"</definedName>
    <definedName name="_______roe2">#REF!</definedName>
    <definedName name="_______san4" hidden="1">{0,#N/A,TRUE,0;0,#N/A,TRUE,0}</definedName>
    <definedName name="_______sdb2_1">"#REF!"</definedName>
    <definedName name="_______sdb2_2">"#REF!"</definedName>
    <definedName name="_______sdb2_3">"#REF!"</definedName>
    <definedName name="_______sdb2_4">"#REF!"</definedName>
    <definedName name="_______sdb2_5">"#REF!"</definedName>
    <definedName name="_______SGA2" hidden="1">{"Page 1",#N/A,TRUE,"Sheet1";"Page 2",#N/A,TRUE,"Sheet1"}</definedName>
    <definedName name="_______SH3">#N/A</definedName>
    <definedName name="_______V2" hidden="1">{#N/A,#N/A,FALSE,"Tabl. A1";#N/A,#N/A,FALSE,"Tabl. A1 b";#N/A,#N/A,FALSE,"Tabl. A2";#N/A,#N/A,FALSE,"Tabl. A2-1";#N/A,#N/A,FALSE,"Tabl. A2-2"}</definedName>
    <definedName name="_______xx1" hidden="1">{#N/A,#N/A,FALSE,"CMN_FE"}</definedName>
    <definedName name="_______z12" hidden="1">{"pro_view",#N/A,FALSE,"EEFSNAP2";"rep_view",#N/A,FALSE,"EEFSNAP2"}</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hidden="1">{"detail",#N/A,FALSE,"mfg";"summary",#N/A,FALSE,"mfg"}</definedName>
    <definedName name="______a1" hidden="1">{#N/A,#N/A,FALSE,"Pharm";#N/A,#N/A,FALSE,"WWCM"}</definedName>
    <definedName name="______A11" hidden="1">{#N/A,#N/A,FALSE,"Umsatz 99";#N/A,#N/A,FALSE,"ER 99 "}</definedName>
    <definedName name="______a2" hidden="1">{"Geo - Detail Detail",#N/A,FALSE,"Geo View";"Geo - Detail",#N/A,FALSE,"Geo View";"Dept - Detail Detail",#N/A,FALSE,"Dept View";"Dept - Detail",#N/A,FALSE,"Dept View"}</definedName>
    <definedName name="______a3" hidden="1">{"Geo - Detail Detail",#N/A,FALSE,"Geo View";"Geo - Detail",#N/A,FALSE,"Geo View";"Dept - Detail Detail",#N/A,FALSE,"Dept View";"Dept - Detail",#N/A,FALSE,"Dept View"}</definedName>
    <definedName name="______aaa1" hidden="1">{#N/A,#N/A,FALSE,"REPORT"}</definedName>
    <definedName name="______aas1" hidden="1">{#N/A,#N/A,FALSE,"REPORT"}</definedName>
    <definedName name="______ACS2000" hidden="1">{#N/A,#N/A,FALSE,"REPORT"}</definedName>
    <definedName name="______b111" hidden="1">{#N/A,#N/A,FALSE,"Pharm";#N/A,#N/A,FALSE,"WWCM"}</definedName>
    <definedName name="______BG1">#N/A</definedName>
    <definedName name="______bol1_1">"#REF!"</definedName>
    <definedName name="______bol1_2">"#REF!"</definedName>
    <definedName name="______bol1_3">"#REF!"</definedName>
    <definedName name="______bol1_4">"#REF!"</definedName>
    <definedName name="______bol1_5">"#REF!"</definedName>
    <definedName name="______bol1_6">"#REF!"</definedName>
    <definedName name="______BU4" hidden="1">{"Page 1",#N/A,TRUE,"Sheet1";"Page 2",#N/A,TRUE,"Sheet1"}</definedName>
    <definedName name="______BU5" hidden="1">{"Page 1",#N/A,TRUE,"Sheet1";"Page 2",#N/A,TRUE,"Sheet1"}</definedName>
    <definedName name="______c" hidden="1">{"Fiesta Facer Page",#N/A,FALSE,"Q_C_S";"Fiesta Main Page",#N/A,FALSE,"V_L";"Fiesta 95BP Struct",#N/A,FALSE,"StructBP";"Fiesta Post 95BP Struct",#N/A,FALSE,"AdjStructBP"}</definedName>
    <definedName name="______can430">40.73</definedName>
    <definedName name="______can435">43.3</definedName>
    <definedName name="______FEB1">#REF!</definedName>
    <definedName name="______FEB2">#REF!</definedName>
    <definedName name="______Grp16" hidden="1">{#N/A,#N/A,FALSE,"PMTABB";#N/A,#N/A,FALSE,"PMTABB"}</definedName>
    <definedName name="______IDC2">City&amp;" "&amp;State</definedName>
    <definedName name="______jj300_1">"#REF!"</definedName>
    <definedName name="______jj300_2">"#REF!"</definedName>
    <definedName name="______jj300_3">"#REF!"</definedName>
    <definedName name="______jj300_4">"#REF!"</definedName>
    <definedName name="______jj300_5">"#REF!"</definedName>
    <definedName name="______lb1_1">"#REF!"</definedName>
    <definedName name="______lb1_2">"#REF!"</definedName>
    <definedName name="______lb1_3">"#REF!"</definedName>
    <definedName name="______lb1_4">"#REF!"</definedName>
    <definedName name="______lb1_5">"#REF!"</definedName>
    <definedName name="______lb1_6">"#REF!"</definedName>
    <definedName name="______lb2_1">"#REF!"</definedName>
    <definedName name="______lb2_2">"#REF!"</definedName>
    <definedName name="______lb2_3">"#REF!"</definedName>
    <definedName name="______lb2_4">"#REF!"</definedName>
    <definedName name="______lb2_5">"#REF!"</definedName>
    <definedName name="______lb2_6">"#REF!"</definedName>
    <definedName name="______loc1">City&amp;" "&amp;State</definedName>
    <definedName name="______m21">#REF!</definedName>
    <definedName name="______met10_1">"#REF!"</definedName>
    <definedName name="______met10_2">"#REF!"</definedName>
    <definedName name="______met10_3">"#REF!"</definedName>
    <definedName name="______met10_4">"#REF!"</definedName>
    <definedName name="______met10_5">"#REF!"</definedName>
    <definedName name="______met20_1">"#REF!"</definedName>
    <definedName name="______met20_2">"#REF!"</definedName>
    <definedName name="______met20_3">"#REF!"</definedName>
    <definedName name="______met20_4">"#REF!"</definedName>
    <definedName name="______met20_5">"#REF!"</definedName>
    <definedName name="______met30_1">"#REF!"</definedName>
    <definedName name="______met30_2">"#REF!"</definedName>
    <definedName name="______met30_3">"#REF!"</definedName>
    <definedName name="______met30_4">"#REF!"</definedName>
    <definedName name="______met30_5">"#REF!"</definedName>
    <definedName name="______mm1_1">"#REF!"</definedName>
    <definedName name="______mm1_2">"#REF!"</definedName>
    <definedName name="______mm1_3">"#REF!"</definedName>
    <definedName name="______mm1_4">"#REF!"</definedName>
    <definedName name="______mm1_5">"#REF!"</definedName>
    <definedName name="______mm1_6">"#REF!"</definedName>
    <definedName name="______mm2_1">"#REF!"</definedName>
    <definedName name="______mm2_2">"#REF!"</definedName>
    <definedName name="______mm2_3">"#REF!"</definedName>
    <definedName name="______mm2_4">"#REF!"</definedName>
    <definedName name="______mm2_5">"#REF!"</definedName>
    <definedName name="______mm2_6">"#REF!"</definedName>
    <definedName name="______mm3_1">"#REF!"</definedName>
    <definedName name="______mm3_2">"#REF!"</definedName>
    <definedName name="______mm3_3">"#REF!"</definedName>
    <definedName name="______mm3_4">"#REF!"</definedName>
    <definedName name="______mm3_5">"#REF!"</definedName>
    <definedName name="______mm3_6">"#REF!"</definedName>
    <definedName name="______new1" hidden="1">{#N/A,#N/A,FALSE,"Pharm";#N/A,#N/A,FALSE,"WWCM"}</definedName>
    <definedName name="______r" hidden="1">{#N/A,#N/A,FALSE,"Pharm";#N/A,#N/A,FALSE,"WWCM"}</definedName>
    <definedName name="______roe2">#REF!</definedName>
    <definedName name="______san4" hidden="1">{0,#N/A,TRUE,0;0,#N/A,TRUE,0}</definedName>
    <definedName name="______sdb2_1">"#REF!"</definedName>
    <definedName name="______sdb2_2">"#REF!"</definedName>
    <definedName name="______sdb2_3">"#REF!"</definedName>
    <definedName name="______sdb2_4">"#REF!"</definedName>
    <definedName name="______sdb2_5">"#REF!"</definedName>
    <definedName name="______SGA2" hidden="1">{"Page 1",#N/A,TRUE,"Sheet1";"Page 2",#N/A,TRUE,"Sheet1"}</definedName>
    <definedName name="______SH3">#N/A</definedName>
    <definedName name="______TB2_1">NA()</definedName>
    <definedName name="______TB2_2">NA()</definedName>
    <definedName name="______TB2_3">NA()</definedName>
    <definedName name="______tm1" hidden="1">{#N/A,#N/A,FALSE,"Pharm";#N/A,#N/A,FALSE,"WWCM"}</definedName>
    <definedName name="______V2" hidden="1">{#N/A,#N/A,FALSE,"Tabl. A1";#N/A,#N/A,FALSE,"Tabl. A1 b";#N/A,#N/A,FALSE,"Tabl. A2";#N/A,#N/A,FALSE,"Tabl. A2-1";#N/A,#N/A,FALSE,"Tabl. A2-2"}</definedName>
    <definedName name="______X2" hidden="1">{#N/A,#N/A,FALSE,"Other";#N/A,#N/A,FALSE,"Ace";#N/A,#N/A,FALSE,"Derm"}</definedName>
    <definedName name="______xx1" hidden="1">{#N/A,#N/A,FALSE,"CMN_FE"}</definedName>
    <definedName name="_____a1" hidden="1">{"Geo - Detail Detail",#N/A,FALSE,"Geo View";"Geo - Detail",#N/A,FALSE,"Geo View";"Dept - Detail Detail",#N/A,FALSE,"Dept View";"Dept - Detail",#N/A,FALSE,"Dept View"}</definedName>
    <definedName name="_____A11" hidden="1">{#N/A,#N/A,FALSE,"Umsatz 99";#N/A,#N/A,FALSE,"ER 99 "}</definedName>
    <definedName name="_____a2" hidden="1">{"Geo - Detail Detail",#N/A,FALSE,"Geo View";"Geo - Detail",#N/A,FALSE,"Geo View";"Dept - Detail Detail",#N/A,FALSE,"Dept View";"Dept - Detail",#N/A,FALSE,"Dept View"}</definedName>
    <definedName name="_____a3" hidden="1">{"Geo - Detail Detail",#N/A,FALSE,"Geo View";"Geo - Detail",#N/A,FALSE,"Geo View";"Dept - Detail Detail",#N/A,FALSE,"Dept View";"Dept - Detail",#N/A,FALSE,"Dept View"}</definedName>
    <definedName name="_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bc1" hidden="1">{"detail",#N/A,FALSE,"mfg";"summary",#N/A,FALSE,"mfg"}</definedName>
    <definedName name="_____abc2" hidden="1">{"detail",#N/A,FALSE,"mfg";"summary",#N/A,FALSE,"mfg"}</definedName>
    <definedName name="_____BG1">#N/A</definedName>
    <definedName name="_____bol1_1">"#REF!"</definedName>
    <definedName name="_____bol1_2">"#REF!"</definedName>
    <definedName name="_____bol1_3">"#REF!"</definedName>
    <definedName name="_____bol1_4">"#REF!"</definedName>
    <definedName name="_____bol1_5">"#REF!"</definedName>
    <definedName name="_____c" hidden="1">{"Fiesta Facer Page",#N/A,FALSE,"Q_C_S";"Fiesta Main Page",#N/A,FALSE,"V_L";"Fiesta 95BP Struct",#N/A,FALSE,"StructBP";"Fiesta Post 95BP Struct",#N/A,FALSE,"AdjStructBP"}</definedName>
    <definedName name="_____can430">40.73</definedName>
    <definedName name="_____can435">43.3</definedName>
    <definedName name="_____FEB1">#REF!</definedName>
    <definedName name="_____FEB2">#REF!</definedName>
    <definedName name="_____Grp16" hidden="1">{#N/A,#N/A,FALSE,"PMTABB";#N/A,#N/A,FALSE,"PMTABB"}</definedName>
    <definedName name="_____IDC2">City&amp;" "&amp;State</definedName>
    <definedName name="_____IDC2_1">"city"&amp;" "&amp;"state"</definedName>
    <definedName name="_____IDC2_2">"city"&amp;" "&amp;"state"</definedName>
    <definedName name="_____IDC2_3">"city"&amp;" "&amp;"state"</definedName>
    <definedName name="_____IDC2_4">"city"&amp;" "&amp;"state"</definedName>
    <definedName name="_____IDC2_5">"city"&amp;" "&amp;"state"</definedName>
    <definedName name="_____IDC2_6">"city"&amp;" "&amp;"state"</definedName>
    <definedName name="_____IDC2_7">"city"&amp;" "&amp;"state"</definedName>
    <definedName name="_____jj300_1">"#REF!"</definedName>
    <definedName name="_____jj300_2">"#REF!"</definedName>
    <definedName name="_____jj300_3">"#REF!"</definedName>
    <definedName name="_____jj300_4">"#REF!"</definedName>
    <definedName name="_____jj300_5">"#REF!"</definedName>
    <definedName name="_____jj300_6">"#REF!"</definedName>
    <definedName name="_____lb1_1">"#REF!"</definedName>
    <definedName name="_____lb1_2">"#REF!"</definedName>
    <definedName name="_____lb1_3">"#REF!"</definedName>
    <definedName name="_____lb1_4">"#REF!"</definedName>
    <definedName name="_____lb1_5">"#REF!"</definedName>
    <definedName name="_____lb2_1">"#REF!"</definedName>
    <definedName name="_____lb2_2">"#REF!"</definedName>
    <definedName name="_____lb2_3">"#REF!"</definedName>
    <definedName name="_____lb2_4">"#REF!"</definedName>
    <definedName name="_____lb2_5">"#REF!"</definedName>
    <definedName name="_____loc1">City&amp;" "&amp;State</definedName>
    <definedName name="_____loc1_1">"city"&amp;" "&amp;"state"</definedName>
    <definedName name="_____loc1_2">"city"&amp;" "&amp;"state"</definedName>
    <definedName name="_____loc1_3">"city"&amp;" "&amp;"state"</definedName>
    <definedName name="_____loc1_4">"city"&amp;" "&amp;"state"</definedName>
    <definedName name="_____loc1_5">"city"&amp;" "&amp;"state"</definedName>
    <definedName name="_____loc1_6">"city"&amp;" "&amp;"state"</definedName>
    <definedName name="_____loc1_7">"city"&amp;" "&amp;"state"</definedName>
    <definedName name="_____m21">#REF!</definedName>
    <definedName name="_____met10_1">"#REF!"</definedName>
    <definedName name="_____met10_2">"#REF!"</definedName>
    <definedName name="_____met10_3">"#REF!"</definedName>
    <definedName name="_____met10_4">"#REF!"</definedName>
    <definedName name="_____met10_5">"#REF!"</definedName>
    <definedName name="_____met20_1">"#REF!"</definedName>
    <definedName name="_____met20_2">"#REF!"</definedName>
    <definedName name="_____met20_3">"#REF!"</definedName>
    <definedName name="_____met20_4">"#REF!"</definedName>
    <definedName name="_____met20_5">"#REF!"</definedName>
    <definedName name="_____met30_1">"#REF!"</definedName>
    <definedName name="_____met30_2">"#REF!"</definedName>
    <definedName name="_____met30_3">"#REF!"</definedName>
    <definedName name="_____met30_4">"#REF!"</definedName>
    <definedName name="_____met30_5">"#REF!"</definedName>
    <definedName name="_____mm1_1">"#REF!"</definedName>
    <definedName name="_____mm1_2">"#REF!"</definedName>
    <definedName name="_____mm1_3">"#REF!"</definedName>
    <definedName name="_____mm1_4">"#REF!"</definedName>
    <definedName name="_____mm1_5">"#REF!"</definedName>
    <definedName name="_____mm2_1">"#REF!"</definedName>
    <definedName name="_____mm2_2">"#REF!"</definedName>
    <definedName name="_____mm2_3">"#REF!"</definedName>
    <definedName name="_____mm2_4">"#REF!"</definedName>
    <definedName name="_____mm2_5">"#REF!"</definedName>
    <definedName name="_____mm3_1">"#REF!"</definedName>
    <definedName name="_____mm3_2">"#REF!"</definedName>
    <definedName name="_____mm3_3">"#REF!"</definedName>
    <definedName name="_____mm3_4">"#REF!"</definedName>
    <definedName name="_____mm3_5">"#REF!"</definedName>
    <definedName name="_____roe2">#REF!</definedName>
    <definedName name="_____s1">#REF!</definedName>
    <definedName name="_____sdb2_1">"#REF!"</definedName>
    <definedName name="_____sdb2_2">"#REF!"</definedName>
    <definedName name="_____sdb2_3">"#REF!"</definedName>
    <definedName name="_____sdb2_4">"#REF!"</definedName>
    <definedName name="_____sdb2_5">"#REF!"</definedName>
    <definedName name="_____SH3">#N/A</definedName>
    <definedName name="_____V2" hidden="1">{#N/A,#N/A,FALSE,"Tabl. A1";#N/A,#N/A,FALSE,"Tabl. A1 b";#N/A,#N/A,FALSE,"Tabl. A2";#N/A,#N/A,FALSE,"Tabl. A2-1";#N/A,#N/A,FALSE,"Tabl. A2-2"}</definedName>
    <definedName name="_____xlnm.Print_Area">"#REF!"</definedName>
    <definedName name="_____xlnm.Print_Titles_1">NA()</definedName>
    <definedName name="_____xx1" hidden="1">{#N/A,#N/A,FALSE,"CMN_FE"}</definedName>
    <definedName name="_____z12" hidden="1">{"pro_view",#N/A,FALSE,"EEFSNAP2";"rep_view",#N/A,FALSE,"EEFSNAP2"}</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hidden="1">{"detail",#N/A,FALSE,"mfg";"summary",#N/A,FALSE,"mfg"}</definedName>
    <definedName name="____a1" hidden="1">{"Geo - Detail Detail",#N/A,FALSE,"Geo View";"Geo - Detail",#N/A,FALSE,"Geo View";"Dept - Detail Detail",#N/A,FALSE,"Dept View";"Dept - Detail",#N/A,FALSE,"Dept View"}</definedName>
    <definedName name="____A11" hidden="1">{#N/A,#N/A,FALSE,"Umsatz 99";#N/A,#N/A,FALSE,"ER 99 "}</definedName>
    <definedName name="____a2" hidden="1">{"Geo - Detail Detail",#N/A,FALSE,"Geo View";"Geo - Detail",#N/A,FALSE,"Geo View";"Dept - Detail Detail",#N/A,FALSE,"Dept View";"Dept - Detail",#N/A,FALSE,"Dept View"}</definedName>
    <definedName name="____a3" hidden="1">{"Geo - Detail Detail",#N/A,FALSE,"Geo View";"Geo - Detail",#N/A,FALSE,"Geo View";"Dept - Detail Detail",#N/A,FALSE,"Dept View";"Dept - Detail",#N/A,FALSE,"Dept View"}</definedName>
    <definedName name="_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bc1" hidden="1">{"detail",#N/A,FALSE,"mfg";"summary",#N/A,FALSE,"mfg"}</definedName>
    <definedName name="____abc2" hidden="1">{"detail",#N/A,FALSE,"mfg";"summary",#N/A,FALSE,"mfg"}</definedName>
    <definedName name="____BG1">#N/A</definedName>
    <definedName name="____bol1_1">"#REF!"</definedName>
    <definedName name="____bol1_2">"#REF!"</definedName>
    <definedName name="____bol1_3">"#REF!"</definedName>
    <definedName name="____bol1_4">"#REF!"</definedName>
    <definedName name="____bol1_5">"#REF!"</definedName>
    <definedName name="____bol1_6">"#REF!"</definedName>
    <definedName name="____BU4" hidden="1">{"Page 1",#N/A,TRUE,"Sheet1";"Page 2",#N/A,TRUE,"Sheet1"}</definedName>
    <definedName name="____BU5" hidden="1">{"Page 1",#N/A,TRUE,"Sheet1";"Page 2",#N/A,TRUE,"Sheet1"}</definedName>
    <definedName name="____c" hidden="1">{"Fiesta Facer Page",#N/A,FALSE,"Q_C_S";"Fiesta Main Page",#N/A,FALSE,"V_L";"Fiesta 95BP Struct",#N/A,FALSE,"StructBP";"Fiesta Post 95BP Struct",#N/A,FALSE,"AdjStructBP"}</definedName>
    <definedName name="____can430">40.73</definedName>
    <definedName name="____can435">43.3</definedName>
    <definedName name="____fco2" hidden="1">{#N/A,#N/A,FALSE,"gc (2)"}</definedName>
    <definedName name="____FEB1">#REF!</definedName>
    <definedName name="____FEB2">#REF!</definedName>
    <definedName name="____Grp16" hidden="1">{#N/A,#N/A,FALSE,"PMTABB";#N/A,#N/A,FALSE,"PMTABB"}</definedName>
    <definedName name="____IDC2">City&amp;" "&amp;State</definedName>
    <definedName name="____IDC2_1">"city"&amp;" "&amp;"state"</definedName>
    <definedName name="____IDC2_2">"city"&amp;" "&amp;"state"</definedName>
    <definedName name="____IDC2_3">"city"&amp;" "&amp;"state"</definedName>
    <definedName name="____IDC2_4">"city"&amp;" "&amp;"state"</definedName>
    <definedName name="____IDC2_5">"city"&amp;" "&amp;"state"</definedName>
    <definedName name="____IDC2_6">"city"&amp;" "&amp;"state"</definedName>
    <definedName name="____IDC2_7">"city"&amp;" "&amp;"state"</definedName>
    <definedName name="____JAN0801">#N/A</definedName>
    <definedName name="____jj300_1">"#REF!"</definedName>
    <definedName name="____jj300_2">"#REF!"</definedName>
    <definedName name="____jj300_3">"#REF!"</definedName>
    <definedName name="____jj300_4">"#REF!"</definedName>
    <definedName name="____jj300_5">"#REF!"</definedName>
    <definedName name="____jj300_6">"#REF!"</definedName>
    <definedName name="____lb1_1">"#REF!"</definedName>
    <definedName name="____lb1_2">"#REF!"</definedName>
    <definedName name="____lb1_3">"#REF!"</definedName>
    <definedName name="____lb1_4">"#REF!"</definedName>
    <definedName name="____lb1_5">"#REF!"</definedName>
    <definedName name="____lb1_6">"#REF!"</definedName>
    <definedName name="____lb2_1">"#REF!"</definedName>
    <definedName name="____lb2_2">"#REF!"</definedName>
    <definedName name="____lb2_3">"#REF!"</definedName>
    <definedName name="____lb2_4">"#REF!"</definedName>
    <definedName name="____lb2_5">"#REF!"</definedName>
    <definedName name="____lb2_6">"#REF!"</definedName>
    <definedName name="____loc1">City&amp;" "&amp;State</definedName>
    <definedName name="____loc1_1">"city"&amp;" "&amp;"state"</definedName>
    <definedName name="____loc1_2">"city"&amp;" "&amp;"state"</definedName>
    <definedName name="____loc1_3">"city"&amp;" "&amp;"state"</definedName>
    <definedName name="____loc1_4">"city"&amp;" "&amp;"state"</definedName>
    <definedName name="____loc1_5">"city"&amp;" "&amp;"state"</definedName>
    <definedName name="____loc1_6">"city"&amp;" "&amp;"state"</definedName>
    <definedName name="____loc1_7">"city"&amp;" "&amp;"state"</definedName>
    <definedName name="____m21">#REF!</definedName>
    <definedName name="____MAR3">#N/A</definedName>
    <definedName name="____met10_1">"#REF!"</definedName>
    <definedName name="____met10_2">"#REF!"</definedName>
    <definedName name="____met10_3">"#REF!"</definedName>
    <definedName name="____met10_4">"#REF!"</definedName>
    <definedName name="____met10_5">"#REF!"</definedName>
    <definedName name="____met10_6">"#REF!"</definedName>
    <definedName name="____met20_1">"#REF!"</definedName>
    <definedName name="____met20_2">"#REF!"</definedName>
    <definedName name="____met20_3">"#REF!"</definedName>
    <definedName name="____met20_4">"#REF!"</definedName>
    <definedName name="____met20_5">"#REF!"</definedName>
    <definedName name="____met30_1">"#REF!"</definedName>
    <definedName name="____met30_2">"#REF!"</definedName>
    <definedName name="____met30_3">"#REF!"</definedName>
    <definedName name="____met30_4">"#REF!"</definedName>
    <definedName name="____met30_5">"#REF!"</definedName>
    <definedName name="____mm1_1">"#REF!"</definedName>
    <definedName name="____mm1_2">"#REF!"</definedName>
    <definedName name="____mm1_3">"#REF!"</definedName>
    <definedName name="____mm1_4">"#REF!"</definedName>
    <definedName name="____mm1_5">"#REF!"</definedName>
    <definedName name="____mm1_6">"#REF!"</definedName>
    <definedName name="____mm2_1">"#REF!"</definedName>
    <definedName name="____mm2_2">"#REF!"</definedName>
    <definedName name="____mm2_3">"#REF!"</definedName>
    <definedName name="____mm2_4">"#REF!"</definedName>
    <definedName name="____mm2_5">"#REF!"</definedName>
    <definedName name="____mm2_6">"#REF!"</definedName>
    <definedName name="____mm3_1">"#REF!"</definedName>
    <definedName name="____mm3_2">"#REF!"</definedName>
    <definedName name="____mm3_3">"#REF!"</definedName>
    <definedName name="____mm3_4">"#REF!"</definedName>
    <definedName name="____mm3_5">"#REF!"</definedName>
    <definedName name="____mm3_6">"#REF!"</definedName>
    <definedName name="____ram1" hidden="1">{#N/A,#N/A,FALSE,"gc (2)"}</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oe2">#REF!</definedName>
    <definedName name="____s1">#REF!</definedName>
    <definedName name="____san4" hidden="1">{0,#N/A,TRUE,0;0,#N/A,TRUE,0}</definedName>
    <definedName name="____sdb2_1">"#REF!"</definedName>
    <definedName name="____sdb2_2">"#REF!"</definedName>
    <definedName name="____sdb2_3">"#REF!"</definedName>
    <definedName name="____sdb2_4">"#REF!"</definedName>
    <definedName name="____sdb2_5">"#REF!"</definedName>
    <definedName name="____sdb2_6">"#REF!"</definedName>
    <definedName name="____SGA2" hidden="1">{"Page 1",#N/A,TRUE,"Sheet1";"Page 2",#N/A,TRUE,"Sheet1"}</definedName>
    <definedName name="____SH3">#N/A</definedName>
    <definedName name="____sti02" hidden="1">{#N/A,#N/A,FALSE,"gc (2)"}</definedName>
    <definedName name="_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ta1" hidden="1">{#N/A,#N/A,TRUE,"Financials";#N/A,#N/A,TRUE,"Operating Statistics";#N/A,#N/A,TRUE,"Capex &amp; Depreciation";#N/A,#N/A,TRUE,"Debt"}</definedName>
    <definedName name="____tb1" hidden="1">{#N/A,#N/A,FALSE,"One Pager";#N/A,#N/A,FALSE,"Technical"}</definedName>
    <definedName name="____TB2_1">NA()</definedName>
    <definedName name="____TB2_2">NA()</definedName>
    <definedName name="____TB2_3">NA()</definedName>
    <definedName name="____V2" hidden="1">{#N/A,#N/A,FALSE,"Tabl. A1";#N/A,#N/A,FALSE,"Tabl. A1 b";#N/A,#N/A,FALSE,"Tabl. A2";#N/A,#N/A,FALSE,"Tabl. A2-1";#N/A,#N/A,FALSE,"Tabl. A2-2"}</definedName>
    <definedName name="____x1" hidden="1">{"detail",#N/A,FALSE,"mfg";"summary",#N/A,FALSE,"mfg"}</definedName>
    <definedName name="____x2" hidden="1">{#N/A,"PURCHM",FALSE,"Business Analysis";#N/A,"SPADD",FALSE,"Business Analysis"}</definedName>
    <definedName name="____x3" hidden="1">{"detail",#N/A,FALSE,"mfg";"summary",#N/A,FALSE,"mfg"}</definedName>
    <definedName name="____x4" hidden="1">{#N/A,"PURCHM",FALSE,"Business Analysis";#N/A,"SPADD",FALSE,"Business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lnm.Print_Area_2">"$#REF!.$A$1:$M$339"</definedName>
    <definedName name="____xlnm.Print_Titles_2">"$#REF!.$A$1:$AMJ$9"</definedName>
    <definedName name="____xx1" hidden="1">{#N/A,#N/A,FALSE,"CMN_FE"}</definedName>
    <definedName name="____xx10" hidden="1">{#N/A,"PURCHM",FALSE,"Business Analysis";#N/A,"SPADD",FALSE,"Business Analysis"}</definedName>
    <definedName name="____xx3" hidden="1">{"detail",#N/A,FALSE,"mfg";"summary",#N/A,FALSE,"mfg"}</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hidden="1">{"oct_res_comm",#N/A,FALSE,"VarToBud"}</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hidden="1">{"AS REP",#N/A,FALSE,"EEFSNAP2";"PROP",#N/A,FALSE,"EEFSNAP2";"RISKS",#N/A,FALSE,"EEFSNAP2";"VIEW ALL",#N/A,FALSE,"EEFSNAP2"}</definedName>
    <definedName name="____z12" hidden="1">{"pro_view",#N/A,FALSE,"EEFSNAP2";"rep_view",#N/A,FALSE,"EEFSNAP2"}</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hidden="1">{"detail",#N/A,FALSE,"mfg";"summary",#N/A,FALSE,"mfg"}</definedName>
    <definedName name="____zz1" hidden="1">{"pro_view",#N/A,FALSE,"EEFSNAP2";"rep_view",#N/A,FALSE,"EEFSNAP2"}</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a1" hidden="1">{"Geo - Detail Detail",#N/A,FALSE,"Geo View";"Geo - Detail",#N/A,FALSE,"Geo View";"Dept - Detail Detail",#N/A,FALSE,"Dept View";"Dept - Detail",#N/A,FALSE,"Dept View"}</definedName>
    <definedName name="___A11" hidden="1">{#N/A,#N/A,FALSE,"Umsatz 99";#N/A,#N/A,FALSE,"ER 99 "}</definedName>
    <definedName name="___a2" hidden="1">{"Geo - Detail Detail",#N/A,FALSE,"Geo View";"Geo - Detail",#N/A,FALSE,"Geo View";"Dept - Detail Detail",#N/A,FALSE,"Dept View";"Dept - Detail",#N/A,FALSE,"Dept View"}</definedName>
    <definedName name="___a3" hidden="1">{"Geo - Detail Detail",#N/A,FALSE,"Geo View";"Geo - Detail",#N/A,FALSE,"Geo View";"Dept - Detail Detail",#N/A,FALSE,"Dept View";"Dept - Detail",#N/A,FALSE,"Dept View"}</definedName>
    <definedName name="___AAA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bc1" hidden="1">{"detail",#N/A,FALSE,"mfg";"summary",#N/A,FALSE,"mfg"}</definedName>
    <definedName name="___abc2" hidden="1">{"detail",#N/A,FALSE,"mfg";"summary",#N/A,FALSE,"mfg"}</definedName>
    <definedName name="___ACK2">#REF!,#REF!,#REF!,#REF!,#REF!,#REF!,#REF!</definedName>
    <definedName name="___Ack3" hidden="1">{#N/A,#N/A,FALSE,"COMP"}</definedName>
    <definedName name="___all01">#REF!</definedName>
    <definedName name="___all02">#REF!</definedName>
    <definedName name="___all03">#REF!</definedName>
    <definedName name="___all04">#REF!</definedName>
    <definedName name="___all05">#REF!</definedName>
    <definedName name="___all06">#REF!</definedName>
    <definedName name="___all07">#REF!</definedName>
    <definedName name="___all08">#REF!</definedName>
    <definedName name="___all98">#REF!</definedName>
    <definedName name="___all99">#REF!</definedName>
    <definedName name="___asd1">#REF!</definedName>
    <definedName name="___BG1">#N/A</definedName>
    <definedName name="___bol1_1">"#REF!"</definedName>
    <definedName name="___bol1_2">"#REF!"</definedName>
    <definedName name="___bol1_3">"#REF!"</definedName>
    <definedName name="___bol1_4">"#REF!"</definedName>
    <definedName name="___bol1_5">"#REF!"</definedName>
    <definedName name="___bol1_6">"#REF!"</definedName>
    <definedName name="___BU4" hidden="1">{"Page 1",#N/A,TRUE,"Sheet1";"Page 2",#N/A,TRUE,"Sheet1"}</definedName>
    <definedName name="___BU5" hidden="1">{"Page 1",#N/A,TRUE,"Sheet1";"Page 2",#N/A,TRUE,"Sheet1"}</definedName>
    <definedName name="___c" hidden="1">{"Fiesta Facer Page",#N/A,FALSE,"Q_C_S";"Fiesta Main Page",#N/A,FALSE,"V_L";"Fiesta 95BP Struct",#N/A,FALSE,"StructBP";"Fiesta Post 95BP Struct",#N/A,FALSE,"AdjStructBP"}</definedName>
    <definedName name="___can430">40.73</definedName>
    <definedName name="___can435">43.3</definedName>
    <definedName name="___FEB1">#REF!</definedName>
    <definedName name="___FEB2">#REF!</definedName>
    <definedName name="___Grp16" hidden="1">{#N/A,#N/A,FALSE,"PMTABB";#N/A,#N/A,FALSE,"PMTABB"}</definedName>
    <definedName name="___IDC2">City&amp;" "&amp;State</definedName>
    <definedName name="___IDC2_1">"city"&amp;" "&amp;"state"</definedName>
    <definedName name="___IDC2_2">"city"&amp;" "&amp;"state"</definedName>
    <definedName name="___IDC2_3">"city"&amp;" "&amp;"state"</definedName>
    <definedName name="___IDC2_4">"city"&amp;" "&amp;"state"</definedName>
    <definedName name="___IDC2_5">"city"&amp;" "&amp;"state"</definedName>
    <definedName name="___IDC2_6">"city"&amp;" "&amp;"state"</definedName>
    <definedName name="___IDT3">#REF!</definedName>
    <definedName name="___INDEX_SHEET___ASAP_Utilities">#REF!</definedName>
    <definedName name="___JAN0801">#N/A</definedName>
    <definedName name="___jj300_1">"#REF!"</definedName>
    <definedName name="___jj300_2">"#REF!"</definedName>
    <definedName name="___jj300_3">"#REF!"</definedName>
    <definedName name="___jj300_4">"#REF!"</definedName>
    <definedName name="___jj300_5">"#REF!"</definedName>
    <definedName name="___jj300_6">"#REF!"</definedName>
    <definedName name="___key2" hidden="1">#REF!</definedName>
    <definedName name="___lb1_1">"#REF!"</definedName>
    <definedName name="___lb1_2">"#REF!"</definedName>
    <definedName name="___lb1_3">"#REF!"</definedName>
    <definedName name="___lb1_4">"#REF!"</definedName>
    <definedName name="___lb1_5">"#REF!"</definedName>
    <definedName name="___lb2_1">"#REF!"</definedName>
    <definedName name="___lb2_2">"#REF!"</definedName>
    <definedName name="___lb2_3">"#REF!"</definedName>
    <definedName name="___lb2_4">"#REF!"</definedName>
    <definedName name="___lb2_5">"#REF!"</definedName>
    <definedName name="___loc1">City&amp;" "&amp;State</definedName>
    <definedName name="___loc1_1">"city"&amp;" "&amp;"state"</definedName>
    <definedName name="___loc1_2">"city"&amp;" "&amp;"state"</definedName>
    <definedName name="___loc1_3">"city"&amp;" "&amp;"state"</definedName>
    <definedName name="___loc1_4">"city"&amp;" "&amp;"state"</definedName>
    <definedName name="___loc1_5">"city"&amp;" "&amp;"state"</definedName>
    <definedName name="___loc1_6">"city"&amp;" "&amp;"state"</definedName>
    <definedName name="___m21">#REF!</definedName>
    <definedName name="___MAR3">#N/A</definedName>
    <definedName name="___met10_1">"#REF!"</definedName>
    <definedName name="___met10_2">"#REF!"</definedName>
    <definedName name="___met10_3">"#REF!"</definedName>
    <definedName name="___met10_4">"#REF!"</definedName>
    <definedName name="___met10_5">"#REF!"</definedName>
    <definedName name="___met10_6">"#REF!"</definedName>
    <definedName name="___met20_1">"#REF!"</definedName>
    <definedName name="___met20_2">"#REF!"</definedName>
    <definedName name="___met20_3">"#REF!"</definedName>
    <definedName name="___met20_4">"#REF!"</definedName>
    <definedName name="___met20_5">"#REF!"</definedName>
    <definedName name="___met20_6">"#REF!"</definedName>
    <definedName name="___met30_1">"#REF!"</definedName>
    <definedName name="___met30_2">"#REF!"</definedName>
    <definedName name="___met30_3">"#REF!"</definedName>
    <definedName name="___met30_4">"#REF!"</definedName>
    <definedName name="___met30_5">"#REF!"</definedName>
    <definedName name="___met30_6">"#REF!"</definedName>
    <definedName name="___mm1_1">"#REF!"</definedName>
    <definedName name="___mm1_2">"#REF!"</definedName>
    <definedName name="___mm1_3">"#REF!"</definedName>
    <definedName name="___mm1_4">"#REF!"</definedName>
    <definedName name="___mm1_5">"#REF!"</definedName>
    <definedName name="___mm2_1">"#REF!"</definedName>
    <definedName name="___mm2_2">"#REF!"</definedName>
    <definedName name="___mm2_3">"#REF!"</definedName>
    <definedName name="___mm2_4">"#REF!"</definedName>
    <definedName name="___mm2_5">"#REF!"</definedName>
    <definedName name="___mm3_1">"#REF!"</definedName>
    <definedName name="___mm3_2">"#REF!"</definedName>
    <definedName name="___mm3_3">"#REF!"</definedName>
    <definedName name="___mm3_4">"#REF!"</definedName>
    <definedName name="___mm3_5">"#REF!"</definedName>
    <definedName name="___mm3_6">"#REF!"</definedName>
    <definedName name="___PG1">#REF!</definedName>
    <definedName name="___pg10">#REF!</definedName>
    <definedName name="___PG3">#REF!</definedName>
    <definedName name="___PG5">#REF!</definedName>
    <definedName name="___PG7">#REF!</definedName>
    <definedName name="___pg8">#REF!</definedName>
    <definedName name="___pg9">#REF!</definedName>
    <definedName name="___REP1">#REF!</definedName>
    <definedName name="___REP2">#REF!</definedName>
    <definedName name="___REP3">#REF!</definedName>
    <definedName name="___REP4">#REF!</definedName>
    <definedName name="___roe2">#REF!</definedName>
    <definedName name="___RT25" hidden="1">{#N/A,#N/A,FALSE,"Umsatz 99";#N/A,#N/A,FALSE,"ER 99 "}</definedName>
    <definedName name="___s1">#REF!</definedName>
    <definedName name="___san4" hidden="1">{0,#N/A,TRUE,0;0,#N/A,TRUE,0}</definedName>
    <definedName name="___sdb2_1">"#REF!"</definedName>
    <definedName name="___sdb2_2">"#REF!"</definedName>
    <definedName name="___sdb2_3">"#REF!"</definedName>
    <definedName name="___sdb2_4">"#REF!"</definedName>
    <definedName name="___sdb2_5">"#REF!"</definedName>
    <definedName name="___sdb2_6">"#REF!"</definedName>
    <definedName name="___SGA2" hidden="1">{"Page 1",#N/A,TRUE,"Sheet1";"Page 2",#N/A,TRUE,"Sheet1"}</definedName>
    <definedName name="___SH3">#N/A</definedName>
    <definedName name="___TOT1">#REF!</definedName>
    <definedName name="___xlfn.BAHTTEXT" hidden="1">#NAME?</definedName>
    <definedName name="___xx1" hidden="1">{#N/A,#N/A,FALSE,"CMN_FE"}</definedName>
    <definedName name="___z12" hidden="1">{"pro_view",#N/A,FALSE,"EEFSNAP2";"rep_view",#N/A,FALSE,"EEFSNAP2"}</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hidden="1">{"detail",#N/A,FALSE,"mfg";"summary",#N/A,FALSE,"mfg"}</definedName>
    <definedName name="__123Graph_B" hidden="1">#REF!</definedName>
    <definedName name="__123Graph_D" hidden="1">#REF!</definedName>
    <definedName name="__123Graph_F" hidden="1">#REF!</definedName>
    <definedName name="__1wrn.²Ä1­Ó¤ë1_Ü20¤H." hidden="1">{#N/A,#N/A,FALSE,"²Ä1­Ó¤ë"}</definedName>
    <definedName name="__3wrn.²Ä1­Ó¤ë1_Ü20¤H." hidden="1">{#N/A,#N/A,FALSE,"²Ä1­Ó¤ë"}</definedName>
    <definedName name="__a1" hidden="1">{#N/A,#N/A,FALSE,"Pharm";#N/A,#N/A,FALSE,"WWCM"}</definedName>
    <definedName name="__A11" hidden="1">{#N/A,#N/A,FALSE,"Umsatz 99";#N/A,#N/A,FALSE,"ER 99 "}</definedName>
    <definedName name="__a2" hidden="1">{"Geo - Detail Detail",#N/A,FALSE,"Geo View";"Geo - Detail",#N/A,FALSE,"Geo View";"Dept - Detail Detail",#N/A,FALSE,"Dept View";"Dept - Detail",#N/A,FALSE,"Dept View"}</definedName>
    <definedName name="__a3" hidden="1">{"Geo - Detail Detail",#N/A,FALSE,"Geo View";"Geo - Detail",#N/A,FALSE,"Geo View";"Dept - Detail Detail",#N/A,FALSE,"Dept View";"Dept - Detail",#N/A,FALSE,"Dept View"}</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a1" hidden="1">{#N/A,#N/A,FALSE,"REPORT"}</definedName>
    <definedName name="__aas1" hidden="1">{#N/A,#N/A,FALSE,"REPORT"}</definedName>
    <definedName name="__abc1" hidden="1">{"detail",#N/A,FALSE,"mfg";"summary",#N/A,FALSE,"mfg"}</definedName>
    <definedName name="__abc2" hidden="1">{"detail",#N/A,FALSE,"mfg";"summary",#N/A,FALSE,"mfg"}</definedName>
    <definedName name="__abc3" hidden="1">{"detail",#N/A,FALSE,"mfg";"summary",#N/A,FALSE,"mfg"}</definedName>
    <definedName name="__ACC1">#REF!</definedName>
    <definedName name="__ACK1">#REF!</definedName>
    <definedName name="__ACK3">#REF!</definedName>
    <definedName name="__acq1">#REF!</definedName>
    <definedName name="__Acq2">#REF!</definedName>
    <definedName name="__Acq3">#REF!</definedName>
    <definedName name="__Acq4">#REF!</definedName>
    <definedName name="__ACS2000" hidden="1">{#N/A,#N/A,FALSE,"REPORT"}</definedName>
    <definedName name="__ADD1">#REF!</definedName>
    <definedName name="__ADD2">#REF!</definedName>
    <definedName name="__ADD3">#REF!</definedName>
    <definedName name="__ap2" hidden="1">{"detail",#N/A,FALSE,"mfg";"summary",#N/A,FALSE,"mfg"}</definedName>
    <definedName name="__aro30" hidden="1">{#N/A,#N/A,FALSE,"Staffnos &amp; cost"}</definedName>
    <definedName name="__asd1">#REF!</definedName>
    <definedName name="__asd2">#REF!</definedName>
    <definedName name="__ass2">#REF!</definedName>
    <definedName name="__b111" hidden="1">{#N/A,#N/A,FALSE,"Pharm";#N/A,#N/A,FALSE,"WWCM"}</definedName>
    <definedName name="__BG1">#N/A</definedName>
    <definedName name="__bol1_1">"#REF!"</definedName>
    <definedName name="__bol1_2">"#REF!"</definedName>
    <definedName name="__bol1_3">"#REF!"</definedName>
    <definedName name="__bol1_4">"#REF!"</definedName>
    <definedName name="__bol1_5">"#REF!"</definedName>
    <definedName name="__bol1_6">"#REF!"</definedName>
    <definedName name="__BTU1299">#N/A</definedName>
    <definedName name="__BU4" hidden="1">{"Page 1",#N/A,TRUE,"Sheet1";"Page 2",#N/A,TRUE,"Sheet1"}</definedName>
    <definedName name="__BU5" hidden="1">{"Page 1",#N/A,TRUE,"Sheet1";"Page 2",#N/A,TRUE,"Sheet1"}</definedName>
    <definedName name="__c" hidden="1">{"Fiesta Facer Page",#N/A,FALSE,"Q_C_S";"Fiesta Main Page",#N/A,FALSE,"V_L";"Fiesta 95BP Struct",#N/A,FALSE,"StructBP";"Fiesta Post 95BP Struct",#N/A,FALSE,"AdjStructBP"}</definedName>
    <definedName name="__can430">40.73</definedName>
    <definedName name="__can435">43.3</definedName>
    <definedName name="__dwa1" hidden="1">{#N/A,"PURCHM",FALSE,"Business Analysis";#N/A,"SPADD",FALSE,"Business Analysis"}</definedName>
    <definedName name="__EST1299">#N/A</definedName>
    <definedName name="__eu93" hidden="1">{"Comp_of_Price_Effect",#N/A,FALSE,"QTRDPVAR"}</definedName>
    <definedName name="__fco2" hidden="1">{#N/A,#N/A,FALSE,"gc (2)"}</definedName>
    <definedName name="__FDS_HYPERLINK_TOGGLE_STATE__" hidden="1">"ON"</definedName>
    <definedName name="__FDS_UNIQUE_RANGE_ID_GENERATOR_COUNTER" hidden="1">1</definedName>
    <definedName name="__FDS_USED_FOR_REUSING_RANGE_IDS_RECYCLE" hidden="1">{11}</definedName>
    <definedName name="__FEB1">#REF!</definedName>
    <definedName name="__FEB2">#REF!</definedName>
    <definedName name="__Grp16" hidden="1">{#N/A,#N/A,FALSE,"PMTABB";#N/A,#N/A,FALSE,"PMTABB"}</definedName>
    <definedName name="__IDC2">City&amp;" "&amp;State</definedName>
    <definedName name="__IDC2_1">"city"&amp;" "&amp;"state"</definedName>
    <definedName name="__IDC2_2">"city"&amp;" "&amp;"state"</definedName>
    <definedName name="__IDC2_3">"city"&amp;" "&amp;"state"</definedName>
    <definedName name="__IDC2_4">"city"&amp;" "&amp;"state"</definedName>
    <definedName name="__IDC2_5">"city"&amp;" "&amp;"state"</definedName>
    <definedName name="__IDC2_6">"city"&amp;" "&amp;"state"</definedName>
    <definedName name="__IDC2_7">"city"&amp;" "&amp;"state"</definedName>
    <definedName name="__IDT3">#REF!</definedName>
    <definedName name="__IntlFixup" hidden="1">TRUE</definedName>
    <definedName name="__IRR1">#REF!</definedName>
    <definedName name="__IRR2">#REF!</definedName>
    <definedName name="__IRR3">#REF!</definedName>
    <definedName name="__IRR4">#REF!</definedName>
    <definedName name="__IRR5">#REF!</definedName>
    <definedName name="__IRR6">#REF!</definedName>
    <definedName name="__IS2">OFFSET(#REF!,0,1)</definedName>
    <definedName name="__JAN0801">#REF!</definedName>
    <definedName name="__jj300_1">"#REF!"</definedName>
    <definedName name="__jj300_2">"#REF!"</definedName>
    <definedName name="__jj300_3">"#REF!"</definedName>
    <definedName name="__jj300_4">"#REF!"</definedName>
    <definedName name="__jj300_5">"#REF!"</definedName>
    <definedName name="__jj300_6">"#REF!"</definedName>
    <definedName name="__jUL2005" hidden="1">{#N/A,#N/A,FALSE,"Aging Summary";#N/A,#N/A,FALSE,"Ratio Analysis";#N/A,#N/A,FALSE,"Test 120 Day Accts";#N/A,#N/A,FALSE,"Tickmarks"}</definedName>
    <definedName name="__key2" hidden="1">#REF!</definedName>
    <definedName name="__lb1_1">"#REF!"</definedName>
    <definedName name="__lb1_2">"#REF!"</definedName>
    <definedName name="__lb1_3">"#REF!"</definedName>
    <definedName name="__lb1_4">"#REF!"</definedName>
    <definedName name="__lb1_5">"#REF!"</definedName>
    <definedName name="__lb1_6">"#REF!"</definedName>
    <definedName name="__lb2_1">"#REF!"</definedName>
    <definedName name="__lb2_2">"#REF!"</definedName>
    <definedName name="__lb2_3">"#REF!"</definedName>
    <definedName name="__lb2_4">"#REF!"</definedName>
    <definedName name="__lb2_5">"#REF!"</definedName>
    <definedName name="__lb2_6">"#REF!"</definedName>
    <definedName name="__loc1">City&amp;" "&amp;State</definedName>
    <definedName name="__loc1_1">"city"&amp;" "&amp;"state"</definedName>
    <definedName name="__loc1_2">"city"&amp;" "&amp;"state"</definedName>
    <definedName name="__loc1_3">"city"&amp;" "&amp;"state"</definedName>
    <definedName name="__loc1_4">"city"&amp;" "&amp;"state"</definedName>
    <definedName name="__loc1_5">"city"&amp;" "&amp;"state"</definedName>
    <definedName name="__loc1_6">"city"&amp;" "&amp;"state"</definedName>
    <definedName name="__loc1_7">"city"&amp;" "&amp;"state"</definedName>
    <definedName name="__m21">#REF!</definedName>
    <definedName name="__MAR3">#REF!</definedName>
    <definedName name="__MBY1299">#N/A</definedName>
    <definedName name="__md1">#REF!</definedName>
    <definedName name="__md10">#REF!</definedName>
    <definedName name="__md11">#REF!</definedName>
    <definedName name="__md12">#REF!</definedName>
    <definedName name="__md13">#REF!</definedName>
    <definedName name="__md14">#REF!</definedName>
    <definedName name="__md15">#REF!</definedName>
    <definedName name="__md2">#REF!</definedName>
    <definedName name="__md3">#REF!</definedName>
    <definedName name="__md4">#REF!</definedName>
    <definedName name="__md5">#REF!</definedName>
    <definedName name="__md6">#REF!</definedName>
    <definedName name="__md7">#REF!</definedName>
    <definedName name="__md8">#REF!</definedName>
    <definedName name="__md9">#REF!</definedName>
    <definedName name="__Mei97">#REF!</definedName>
    <definedName name="__met10_1">"#REF!"</definedName>
    <definedName name="__met10_2">"#REF!"</definedName>
    <definedName name="__met10_3">"#REF!"</definedName>
    <definedName name="__met10_4">"#REF!"</definedName>
    <definedName name="__met10_5">"#REF!"</definedName>
    <definedName name="__met10_6">"#REF!"</definedName>
    <definedName name="__met20_1">"#REF!"</definedName>
    <definedName name="__met20_2">"#REF!"</definedName>
    <definedName name="__met20_3">"#REF!"</definedName>
    <definedName name="__met20_4">"#REF!"</definedName>
    <definedName name="__met20_5">"#REF!"</definedName>
    <definedName name="__met20_6">"#REF!"</definedName>
    <definedName name="__met30_1">"#REF!"</definedName>
    <definedName name="__met30_2">"#REF!"</definedName>
    <definedName name="__met30_3">"#REF!"</definedName>
    <definedName name="__met30_4">"#REF!"</definedName>
    <definedName name="__met30_5">"#REF!"</definedName>
    <definedName name="__met30_6">"#REF!"</definedName>
    <definedName name="__mm1_1">"#REF!"</definedName>
    <definedName name="__mm1_2">"#REF!"</definedName>
    <definedName name="__mm1_3">"#REF!"</definedName>
    <definedName name="__mm1_4">"#REF!"</definedName>
    <definedName name="__mm1_5">"#REF!"</definedName>
    <definedName name="__mm1_6">"#REF!"</definedName>
    <definedName name="__mm2_1">"#REF!"</definedName>
    <definedName name="__mm2_2">"#REF!"</definedName>
    <definedName name="__mm2_3">"#REF!"</definedName>
    <definedName name="__mm2_4">"#REF!"</definedName>
    <definedName name="__mm2_5">"#REF!"</definedName>
    <definedName name="__mm2_6">"#REF!"</definedName>
    <definedName name="__mm3_1">"#REF!"</definedName>
    <definedName name="__mm3_2">"#REF!"</definedName>
    <definedName name="__mm3_3">"#REF!"</definedName>
    <definedName name="__mm3_4">"#REF!"</definedName>
    <definedName name="__mm3_5">"#REF!"</definedName>
    <definedName name="__mm3_6">"#REF!"</definedName>
    <definedName name="__mno9" hidden="1">{"detail",#N/A,FALSE,"mfg";"summary",#N/A,FALSE,"mfg"}</definedName>
    <definedName name="__MTU1299">#N/A</definedName>
    <definedName name="__new1" hidden="1">{#N/A,#N/A,FALSE,"Pharm";#N/A,#N/A,FALSE,"WWCM"}</definedName>
    <definedName name="__NN10">#REF!</definedName>
    <definedName name="__NN9">#REF!</definedName>
    <definedName name="__no1">#REF!</definedName>
    <definedName name="__no2">#REF!</definedName>
    <definedName name="__no3">#REF!</definedName>
    <definedName name="__no4">#REF!</definedName>
    <definedName name="__no5">#REF!</definedName>
    <definedName name="__NO6">#REF!</definedName>
    <definedName name="__NO7">#REF!</definedName>
    <definedName name="__NOR1299">#N/A</definedName>
    <definedName name="__PG2">#REF!</definedName>
    <definedName name="__PG4">#REF!</definedName>
    <definedName name="__PG6">#REF!</definedName>
    <definedName name="__Q1" hidden="1">{#N/A,#N/A,FALSE,"CDA Plan"}</definedName>
    <definedName name="__r" hidden="1">{#N/A,#N/A,FALSE,"Pharm";#N/A,#N/A,FALSE,"WWCM"}</definedName>
    <definedName name="__ram1" hidden="1">{#N/A,#N/A,FALSE,"gc (2)"}</definedName>
    <definedName name="__RAN1">#N/A</definedName>
    <definedName name="__RAN2">#REF!</definedName>
    <definedName name="__RAN3">#REF!</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O1299">#N/A</definedName>
    <definedName name="__roe2">#REF!</definedName>
    <definedName name="__RT25" hidden="1">{#N/A,#N/A,FALSE,"Umsatz 99";#N/A,#N/A,FALSE,"ER 99 "}</definedName>
    <definedName name="__s1">#REF!</definedName>
    <definedName name="__s34" hidden="1">{"QTD_GENERALH2",#N/A,FALSE,"QTD"}</definedName>
    <definedName name="__san4" hidden="1">{0,#N/A,TRUE,0;0,#N/A,TRUE,0}</definedName>
    <definedName name="__sd34" hidden="1">{"QTD",#N/A,FALSE,"SUM"}</definedName>
    <definedName name="__sdb2_1">"#REF!"</definedName>
    <definedName name="__sdb2_2">"#REF!"</definedName>
    <definedName name="__sdb2_3">"#REF!"</definedName>
    <definedName name="__sdb2_4">"#REF!"</definedName>
    <definedName name="__sdb2_5">"#REF!"</definedName>
    <definedName name="__sdb2_6">"#REF!"</definedName>
    <definedName name="__SGA2" hidden="1">{"Page 1",#N/A,TRUE,"Sheet1";"Page 2",#N/A,TRUE,"Sheet1"}</definedName>
    <definedName name="__SH3">#N/A</definedName>
    <definedName name="__SOU1299">#N/A</definedName>
    <definedName name="__sti02" hidden="1">{#N/A,#N/A,FALSE,"gc (2)"}</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a1" hidden="1">{#N/A,#N/A,TRUE,"Financials";#N/A,#N/A,TRUE,"Operating Statistics";#N/A,#N/A,TRUE,"Capex &amp; Depreciation";#N/A,#N/A,TRUE,"Debt"}</definedName>
    <definedName name="__tb1" hidden="1">{#N/A,#N/A,FALSE,"One Pager";#N/A,#N/A,FALSE,"Technical"}</definedName>
    <definedName name="__tb2">#REF!</definedName>
    <definedName name="__TB2_1">NA()</definedName>
    <definedName name="__TB2_2">NA()</definedName>
    <definedName name="__TB2_3">NA()</definedName>
    <definedName name="__tm1" hidden="1">{#N/A,#N/A,FALSE,"Pharm";#N/A,#N/A,FALSE,"WWCM"}</definedName>
    <definedName name="__trc1">City&amp;" "&amp;State</definedName>
    <definedName name="__V2" hidden="1">{#N/A,#N/A,FALSE,"Tabl. A1";#N/A,#N/A,FALSE,"Tabl. A1 b";#N/A,#N/A,FALSE,"Tabl. A2";#N/A,#N/A,FALSE,"Tabl. A2-1";#N/A,#N/A,FALSE,"Tabl. A2-2"}</definedName>
    <definedName name="__wrn1" hidden="1">{#N/A,#N/A,FALSE,"SUMMARY";#N/A,#N/A,FALSE,"SUMMARY"}</definedName>
    <definedName name="__x1" hidden="1">{"detail",#N/A,FALSE,"mfg";"summary",#N/A,FALSE,"mfg"}</definedName>
    <definedName name="__X2" hidden="1">{#N/A,#N/A,FALSE,"Other";#N/A,#N/A,FALSE,"Ace";#N/A,#N/A,FALSE,"Derm"}</definedName>
    <definedName name="__x3" hidden="1">{"detail",#N/A,FALSE,"mfg";"summary",#N/A,FALSE,"mfg"}</definedName>
    <definedName name="__x4" hidden="1">{#N/A,"PURCHM",FALSE,"Business Analysis";#N/A,"SPADD",FALSE,"Business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lfn.BAHTTEXT" hidden="1">#NAME?</definedName>
    <definedName name="__xlfn.RTD" hidden="1">#NAME?</definedName>
    <definedName name="__xlnm.Database">"#REF!"</definedName>
    <definedName name="__xlnm.Database_1">"#REF!"</definedName>
    <definedName name="__xlnm.Database_2">"#REF!"</definedName>
    <definedName name="__xlnm.Database_3">"#REF!"</definedName>
    <definedName name="__xlnm.Database_4">"#REF!"</definedName>
    <definedName name="__xlnm.Database_5">"#REF!"</definedName>
    <definedName name="__xlnm.Database_6">"#REF!"</definedName>
    <definedName name="__xlnm.Database_7">"#REF!"</definedName>
    <definedName name="__xlnm.Print_Area_11">NA()</definedName>
    <definedName name="__xlnm.Print_Area_8">"$#REF!.$C$1:$F$3"</definedName>
    <definedName name="__xlnm.Print_Titles">NA()</definedName>
    <definedName name="__xlnm.Print_Titles_4">NA()</definedName>
    <definedName name="__xlnm.Print_Titles_5">NA()</definedName>
    <definedName name="__xlnm.Print_Titles_6">NA()</definedName>
    <definedName name="__xlnm.Print_Titles_7">NA()</definedName>
    <definedName name="__xx1" hidden="1">{#N/A,#N/A,FALSE,"CMN_FE"}</definedName>
    <definedName name="__xx10" hidden="1">{#N/A,"PURCHM",FALSE,"Business Analysis";#N/A,"SPADD",FALSE,"Business Analysis"}</definedName>
    <definedName name="__xx3" hidden="1">{"detail",#N/A,FALSE,"mfg";"summary",#N/A,FALSE,"mfg"}</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hidden="1">{"oct_res_comm",#N/A,FALSE,"VarToBud"}</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hidden="1">{"AS REP",#N/A,FALSE,"EEFSNAP2";"PROP",#N/A,FALSE,"EEFSNAP2";"RISKS",#N/A,FALSE,"EEFSNAP2";"VIEW ALL",#N/A,FALSE,"EEFSNAP2"}</definedName>
    <definedName name="__z12" hidden="1">{"pro_view",#N/A,FALSE,"EEFSNAP2";"rep_view",#N/A,FALSE,"EEFSNAP2"}</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hidden="1">{"detail",#N/A,FALSE,"mfg";"summary",#N/A,FALSE,"mfg"}</definedName>
    <definedName name="__zz1" hidden="1">{"pro_view",#N/A,FALSE,"EEFSNAP2";"rep_view",#N/A,FALSE,"EEFSNAP2"}</definedName>
    <definedName name="__zz2" hidden="1">{#N/A,"PURADD",FALSE,"Business Analysis";#N/A,"PURSPP",FALSE,"Business Analysis";#N/A,"CTGIND",FALSE,"Business Analysis";#N/A,"PURCHM",FALSE,"Business Analysis";#N/A,"SPADD",FALSE,"Business Analysis";#N/A,"EPOXY",FALSE,"Business Analysis";#N/A,"PURPER",FALSE,"Business Analysis"}</definedName>
    <definedName name="_1">#REF!</definedName>
    <definedName name="_1_______________________________________________PRINT_ALL_IN">#REF!</definedName>
    <definedName name="_1_____________________loc1_1">#NAME?&amp;" "&amp;#NAME?</definedName>
    <definedName name="_1__wrn.²Ä1­Ó¤ë1_Ü20¤H." hidden="1">{#N/A,#N/A,FALSE,"²Ä1­Ó¤ë"}</definedName>
    <definedName name="_10">#REF!</definedName>
    <definedName name="_10_____________loc1_1">#NAME?&amp;" "&amp;#NAME?</definedName>
    <definedName name="_10__123Graph_ACHART_6" hidden="1">#N/A</definedName>
    <definedName name="_100Excel_BuiltIn_Print_Area_6_1">"$#REF!.$A$1:$J$5"</definedName>
    <definedName name="_100sdsdsds_1">{#N/A,#N/A,TRUE,"Front";#N/A,#N/A,TRUE,"Simple Letter";#N/A,#N/A,TRUE,"Inside";#N/A,#N/A,TRUE,"Contents";#N/A,#N/A,TRUE,"Basis";#N/A,#N/A,TRUE,"Inclusions";#N/A,#N/A,TRUE,"Exclusions";#N/A,#N/A,TRUE,"Areas";#N/A,#N/A,TRUE,"Summary";#N/A,#N/A,TRUE,"Detail"}</definedName>
    <definedName name="_101SHYAM_1">City&amp;" "&amp;#NAME?</definedName>
    <definedName name="_102sim_1">#N/A</definedName>
    <definedName name="_103spell_1">City&amp;" "&amp;#NAME?</definedName>
    <definedName name="_104ss_1">{#N/A,#N/A,TRUE,"Front";#N/A,#N/A,TRUE,"Simple Letter";#N/A,#N/A,TRUE,"Inside";#N/A,#N/A,TRUE,"Contents";#N/A,#N/A,TRUE,"Basis";#N/A,#N/A,TRUE,"Inclusions";#N/A,#N/A,TRUE,"Exclusions";#N/A,#N/A,TRUE,"Areas";#N/A,#N/A,TRUE,"Summary";#N/A,#N/A,TRUE,"Detail"}</definedName>
    <definedName name="_105st_1">{#N/A,#N/A,TRUE,"Front";#N/A,#N/A,TRUE,"Simple Letter";#N/A,#N/A,TRUE,"Inside";#N/A,#N/A,TRUE,"Contents";#N/A,#N/A,TRUE,"Basis";#N/A,#N/A,TRUE,"Inclusions";#N/A,#N/A,TRUE,"Exclusions";#N/A,#N/A,TRUE,"Areas";#N/A,#N/A,TRUE,"Summary";#N/A,#N/A,TRUE,"Detail"}</definedName>
    <definedName name="_106target_1">City&amp;" "&amp;State</definedName>
    <definedName name="_107th_1">City&amp;" "&amp;State</definedName>
    <definedName name="_108Thiagarajan_1">{"'Sheet1'!$A$4386:$N$4591"}</definedName>
    <definedName name="_109TRE_1">City&amp;" "&amp;State</definedName>
    <definedName name="_10P">#REF!</definedName>
    <definedName name="_11">#REF!</definedName>
    <definedName name="_11___________IDC2_1">#NAME?&amp;" "&amp;#NAME?</definedName>
    <definedName name="_11__123Graph_ACHART_7" hidden="1">#N/A</definedName>
    <definedName name="_110TRU_1">{#N/A,#N/A,TRUE,"Front";#N/A,#N/A,TRUE,"Simple Letter";#N/A,#N/A,TRUE,"Inside";#N/A,#N/A,TRUE,"Contents";#N/A,#N/A,TRUE,"Basis";#N/A,#N/A,TRUE,"Inclusions";#N/A,#N/A,TRUE,"Exclusions";#N/A,#N/A,TRUE,"Areas";#N/A,#N/A,TRUE,"Summary";#N/A,#N/A,TRUE,"Detail"}</definedName>
    <definedName name="_111ttc_1">City&amp;" "&amp;State</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TY_1">City&amp;" "&amp;State</definedName>
    <definedName name="_113UPDATE_1">{#N/A,#N/A,TRUE,"Front";#N/A,#N/A,TRUE,"Simple Letter";#N/A,#N/A,TRUE,"Inside";#N/A,#N/A,TRUE,"Contents";#N/A,#N/A,TRUE,"Basis";#N/A,#N/A,TRUE,"Inclusions";#N/A,#N/A,TRUE,"Exclusions";#N/A,#N/A,TRUE,"Areas";#N/A,#N/A,TRUE,"Summary";#N/A,#N/A,TRUE,"Detail"}</definedName>
    <definedName name="_114wer_1">{#N/A,#N/A,TRUE,"Front";#N/A,#N/A,TRUE,"Simple Letter";#N/A,#N/A,TRUE,"Inside";#N/A,#N/A,TRUE,"Contents";#N/A,#N/A,TRUE,"Basis";#N/A,#N/A,TRUE,"Inclusions";#N/A,#N/A,TRUE,"Exclusions";#N/A,#N/A,TRUE,"Areas";#N/A,#N/A,TRUE,"Summary";#N/A,#N/A,TRUE,"Detail"}</definedName>
    <definedName name="_115workstatus_1">City&amp;" "&amp;State</definedName>
    <definedName name="_116">#REF!</definedName>
    <definedName name="_116wrn.Full._.Report._1">{#N/A,#N/A,TRUE,"Front";#N/A,#N/A,TRUE,"Simple Letter";#N/A,#N/A,TRUE,"Inside";#N/A,#N/A,TRUE,"Contents";#N/A,#N/A,TRUE,"Basis";#N/A,#N/A,TRUE,"Inclusions";#N/A,#N/A,TRUE,"Exclusions";#N/A,#N/A,TRUE,"Areas";#N/A,#N/A,TRUE,"Summary";#N/A,#N/A,TRUE,"Detail"}</definedName>
    <definedName name="_117wrn.full._.reports_1">{#N/A,#N/A,TRUE,"Front";#N/A,#N/A,TRUE,"Simple Letter";#N/A,#N/A,TRUE,"Inside";#N/A,#N/A,TRUE,"Contents";#N/A,#N/A,TRUE,"Basis";#N/A,#N/A,TRUE,"Inclusions";#N/A,#N/A,TRUE,"Exclusions";#N/A,#N/A,TRUE,"Areas";#N/A,#N/A,TRUE,"Summary";#N/A,#N/A,TRUE,"Detail"}</definedName>
    <definedName name="_118x_1">{#N/A,#N/A,TRUE,"Front";#N/A,#N/A,TRUE,"Simple Letter";#N/A,#N/A,TRUE,"Inside";#N/A,#N/A,TRUE,"Contents";#N/A,#N/A,TRUE,"Basis";#N/A,#N/A,TRUE,"Inclusions";#N/A,#N/A,TRUE,"Exclusions";#N/A,#N/A,TRUE,"Areas";#N/A,#N/A,TRUE,"Summary";#N/A,#N/A,TRUE,"Detail"}</definedName>
    <definedName name="_119xczx_1">City&amp;" "&amp;State</definedName>
    <definedName name="_11P">#REF!</definedName>
    <definedName name="_12">#REF!</definedName>
    <definedName name="_12___________loc1_1">#NAME?&amp;" "&amp;#NAME?</definedName>
    <definedName name="_12__123Graph_ACHART_8" hidden="1">#N/A</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xz_1">{#N/A,#N/A,TRUE,"Front";#N/A,#N/A,TRUE,"Simple Letter";#N/A,#N/A,TRUE,"Inside";#N/A,#N/A,TRUE,"Contents";#N/A,#N/A,TRUE,"Basis";#N/A,#N/A,TRUE,"Inclusions";#N/A,#N/A,TRUE,"Exclusions";#N/A,#N/A,TRUE,"Areas";#N/A,#N/A,TRUE,"Summary";#N/A,#N/A,TRUE,"Detail"}</definedName>
    <definedName name="_121YES_1">{#N/A,#N/A,TRUE,"Front";#N/A,#N/A,TRUE,"Simple Letter";#N/A,#N/A,TRUE,"Inside";#N/A,#N/A,TRUE,"Contents";#N/A,#N/A,TRUE,"Basis";#N/A,#N/A,TRUE,"Inclusions";#N/A,#N/A,TRUE,"Exclusions";#N/A,#N/A,TRUE,"Areas";#N/A,#N/A,TRUE,"Summary";#N/A,#N/A,TRUE,"Detail"}</definedName>
    <definedName name="_122YU_1">{#N/A,#N/A,TRUE,"Front";#N/A,#N/A,TRUE,"Simple Letter";#N/A,#N/A,TRUE,"Inside";#N/A,#N/A,TRUE,"Contents";#N/A,#N/A,TRUE,"Basis";#N/A,#N/A,TRUE,"Inclusions";#N/A,#N/A,TRUE,"Exclusions";#N/A,#N/A,TRUE,"Areas";#N/A,#N/A,TRUE,"Summary";#N/A,#N/A,TRUE,"Detail"}</definedName>
    <definedName name="_123z_1">{#N/A,#N/A,TRUE,"Front";#N/A,#N/A,TRUE,"Simple Letter";#N/A,#N/A,TRUE,"Inside";#N/A,#N/A,TRUE,"Contents";#N/A,#N/A,TRUE,"Basis";#N/A,#N/A,TRUE,"Inclusions";#N/A,#N/A,TRUE,"Exclusions";#N/A,#N/A,TRUE,"Areas";#N/A,#N/A,TRUE,"Summary";#N/A,#N/A,TRUE,"Detail"}</definedName>
    <definedName name="_124zc_1">{#N/A,#N/A,TRUE,"Front";#N/A,#N/A,TRUE,"Simple Letter";#N/A,#N/A,TRUE,"Inside";#N/A,#N/A,TRUE,"Contents";#N/A,#N/A,TRUE,"Basis";#N/A,#N/A,TRUE,"Inclusions";#N/A,#N/A,TRUE,"Exclusions";#N/A,#N/A,TRUE,"Areas";#N/A,#N/A,TRUE,"Summary";#N/A,#N/A,TRUE,"Detail"}</definedName>
    <definedName name="_125zccz_1">City&amp;" "&amp;State</definedName>
    <definedName name="_126zxz_1">City&amp;" "&amp;State</definedName>
    <definedName name="_127zz_1">{#N/A,#N/A,TRUE,"Front";#N/A,#N/A,TRUE,"Simple Letter";#N/A,#N/A,TRUE,"Inside";#N/A,#N/A,TRUE,"Contents";#N/A,#N/A,TRUE,"Basis";#N/A,#N/A,TRUE,"Inclusions";#N/A,#N/A,TRUE,"Exclusions";#N/A,#N/A,TRUE,"Areas";#N/A,#N/A,TRUE,"Summary";#N/A,#N/A,TRUE,"Detail"}</definedName>
    <definedName name="_12P">#REF!</definedName>
    <definedName name="_13">#REF!</definedName>
    <definedName name="_13__________IDC2_1">#NAME?&amp;" "&amp;#NAME?</definedName>
    <definedName name="_13wrn.²Ä1­Ó¤ë1_Ü20¤H." hidden="1">{#N/A,#N/A,FALSE,"²Ä1­Ó¤ë"}</definedName>
    <definedName name="_14">#REF!</definedName>
    <definedName name="_14__________loc1_1">#NAME?&amp;" "&amp;#NAME?</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5">#REF!</definedName>
    <definedName name="_15_________IDC2_1">#NAME?&amp;" "&amp;#NAME?</definedName>
    <definedName name="_16">#REF!</definedName>
    <definedName name="_16_________loc1_1">#NAME?&amp;" "&amp;#NAME?</definedName>
    <definedName name="_16_0">#REF!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wrn.²Ä1­Ó¤ë1_Ü20¤H." hidden="1">{#N/A,#N/A,FALSE,"²Ä1­Ó¤ë"}</definedName>
    <definedName name="_17">#REF!</definedName>
    <definedName name="_17_______IDC2_1">#NAME?&amp;" "&amp;#NAME?</definedName>
    <definedName name="_18">#REF!</definedName>
    <definedName name="_18_______loc1_1">#NAME?&amp;" "&amp;#NAME?</definedName>
    <definedName name="_19______IDC2_1">#NAME?&amp;" "&amp;#NAME?</definedName>
    <definedName name="_19_0bal">#REF!</definedName>
    <definedName name="_1987">#REF!</definedName>
    <definedName name="_1989">#REF!</definedName>
    <definedName name="_1App">#REF!</definedName>
    <definedName name="_1P">#REF!</definedName>
    <definedName name="_1wrn.²Ä1­Ó¤ë1_Ü20¤H." hidden="1">{#N/A,#N/A,FALSE,"²Ä1­Ó¤ë"}</definedName>
    <definedName name="_2">#REF!</definedName>
    <definedName name="_2_______________________________________________PRINT_DC">#REF!</definedName>
    <definedName name="_2____________________loc1_1">#NAME?&amp;" "&amp;#NAME?</definedName>
    <definedName name="_2__123Graph_AChart_1AJ" hidden="1">#REF!</definedName>
    <definedName name="_2_wrn.²Ä1­Ó¤ë1_Ü20¤H." hidden="1">{#N/A,#N/A,FALSE,"²Ä1­Ó¤ë"}</definedName>
    <definedName name="_20______loc1_1">#NAME?&amp;" "&amp;#NAME?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1">#REF!</definedName>
    <definedName name="_21_____IDC2_1">#NAME?&amp;" "&amp;#NAME?</definedName>
    <definedName name="_22">#REF!</definedName>
    <definedName name="_22_____loc1_1">#NAME?&amp;" "&amp;#NAME?</definedName>
    <definedName name="_23">#REF!</definedName>
    <definedName name="_23____IDC2_1">#NAME?&amp;" "&amp;#NAME?</definedName>
    <definedName name="_23MOREV">#N/A</definedName>
    <definedName name="_24">#REF!</definedName>
    <definedName name="_24____loc1_1">#NAME?&amp;" "&amp;#NAME?</definedName>
    <definedName name="_25">#REF!</definedName>
    <definedName name="_25___IDC2_1">#NAME?&amp;" "&amp;#NAME?</definedName>
    <definedName name="_26___loc1_1">#NAME?&amp;" "&amp;#NAME?</definedName>
    <definedName name="_27">#REF!</definedName>
    <definedName name="_27__IDC2_1">#NAME?&amp;" "&amp;#NAME?</definedName>
    <definedName name="_27_0">#REF!</definedName>
    <definedName name="_28">#REF!</definedName>
    <definedName name="_28__loc1_1">#NAME?&amp;" "&amp;#NAME?</definedName>
    <definedName name="_29">#REF!</definedName>
    <definedName name="_29__MD4_1">#NAME?&amp;" "&amp;#NAME?</definedName>
    <definedName name="_2P">#REF!</definedName>
    <definedName name="_2wrn.²Ä1­Ó¤ë1_Ü20¤H." hidden="1">{#N/A,#N/A,FALSE,"²Ä1­Ó¤ë"}</definedName>
    <definedName name="_3">#REF!</definedName>
    <definedName name="_3_____________________________________________IN_LINE">#REF!</definedName>
    <definedName name="_3__________________IDC2_1">#NAME?&amp;" "&amp;#NAME?</definedName>
    <definedName name="_3__123Graph_AChart_1Q" hidden="1">#REF!</definedName>
    <definedName name="_30">#REF!</definedName>
    <definedName name="_30__trc1_1">#NAME?&amp;" "&amp;#NAME?</definedName>
    <definedName name="_30360" hidden="1">2</definedName>
    <definedName name="_31">#REF!</definedName>
    <definedName name="_31_IDC2_1">#NAME?&amp;" "&amp;#NAME?</definedName>
    <definedName name="_32">#REF!</definedName>
    <definedName name="_32_loc1_1">#NAME?&amp;" "&amp;#NAME?</definedName>
    <definedName name="_33">#REF!</definedName>
    <definedName name="_33_MD4_1">#NAME?&amp;" "&amp;#NAME?</definedName>
    <definedName name="_34">#REF!</definedName>
    <definedName name="_34_trc1_1">#NAME?&amp;" "&amp;#NAME?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add_BOQ_1">{#N/A,#N/A,TRUE,"Front";#N/A,#N/A,TRUE,"Simple Letter";#N/A,#N/A,TRUE,"Inside";#N/A,#N/A,TRUE,"Contents";#N/A,#N/A,TRUE,"Basis";#N/A,#N/A,TRUE,"Inclusions";#N/A,#N/A,TRUE,"Exclusions";#N/A,#N/A,TRUE,"Areas";#N/A,#N/A,TRUE,"Summary";#N/A,#N/A,TRUE,"Detail"}</definedName>
    <definedName name="_360" hidden="1">2</definedName>
    <definedName name="_36b2b_1">#NAME?&amp;" "&amp;#NAME?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cadcd_1">{#N/A,#N/A,TRUE,"Front";#N/A,#N/A,TRUE,"Simple Letter";#N/A,#N/A,TRUE,"Inside";#N/A,#N/A,TRUE,"Contents";#N/A,#N/A,TRUE,"Basis";#N/A,#N/A,TRUE,"Inclusions";#N/A,#N/A,TRUE,"Exclusions";#N/A,#N/A,TRUE,"Areas";#N/A,#N/A,TRUE,"Summary";#N/A,#N/A,TRUE,"Detail"}</definedName>
    <definedName name="_38ccc_1">#NAME?&amp;" "&amp;#NAME?</definedName>
    <definedName name="_39_0bal">#REF!</definedName>
    <definedName name="_39cf_1">{#N/A,#N/A,TRUE,"Front";#N/A,#N/A,TRUE,"Simple Letter";#N/A,#N/A,TRUE,"Inside";#N/A,#N/A,TRUE,"Contents";#N/A,#N/A,TRUE,"Basis";#N/A,#N/A,TRUE,"Inclusions";#N/A,#N/A,TRUE,"Exclusions";#N/A,#N/A,TRUE,"Areas";#N/A,#N/A,TRUE,"Summary";#N/A,#N/A,TRUE,"Detail"}</definedName>
    <definedName name="_3P">#REF!</definedName>
    <definedName name="_3wrn.²Ä1­Ó¤ë1_Ü20¤H." hidden="1">{#N/A,#N/A,FALSE,"²Ä1­Ó¤ë"}</definedName>
    <definedName name="_4">#REF!</definedName>
    <definedName name="_4__________________loc1_1">#NAME?&amp;" "&amp;#NAME?</definedName>
    <definedName name="_4__123Graph_BChart_1Q" hidden="1">#REF!</definedName>
    <definedName name="_40cff_1">{#N/A,#N/A,TRUE,"Front";#N/A,#N/A,TRUE,"Simple Letter";#N/A,#N/A,TRUE,"Inside";#N/A,#N/A,TRUE,"Contents";#N/A,#N/A,TRUE,"Basis";#N/A,#N/A,TRUE,"Inclusions";#N/A,#N/A,TRUE,"Exclusions";#N/A,#N/A,TRUE,"Areas";#N/A,#N/A,TRUE,"Summary";#N/A,#N/A,TRUE,"Detail"}</definedName>
    <definedName name="_41check_1">#NAME?&amp;" "&amp;#NAME?</definedName>
    <definedName name="_42con_1">{#N/A,#N/A,TRUE,"Front";#N/A,#N/A,TRUE,"Simple Letter";#N/A,#N/A,TRUE,"Inside";#N/A,#N/A,TRUE,"Contents";#N/A,#N/A,TRUE,"Basis";#N/A,#N/A,TRUE,"Inclusions";#N/A,#N/A,TRUE,"Exclusions";#N/A,#N/A,TRUE,"Areas";#N/A,#N/A,TRUE,"Summary";#N/A,#N/A,TRUE,"Detail"}</definedName>
    <definedName name="_42wrn.²Ä1­Ó¤ë1_Ü20¤H." hidden="1">{#N/A,#N/A,FALSE,"²Ä1­Ó¤ë"}</definedName>
    <definedName name="_43cvv_1">City&amp;" "&amp;#NAME?</definedName>
    <definedName name="_44czxz_1">City&amp;" "&amp;#NAME?</definedName>
    <definedName name="_456">#REF!</definedName>
    <definedName name="_45dcf_1">City&amp;" "&amp;#NAME?</definedName>
    <definedName name="_45wrn.²Ä1­Ó¤ë1_Ü20¤H." hidden="1">{#N/A,#N/A,FALSE,"²Ä1­Ó¤ë"}</definedName>
    <definedName name="_46DCI_1">{#N/A,#N/A,TRUE,"Front";#N/A,#N/A,TRUE,"Simple Letter";#N/A,#N/A,TRUE,"Inside";#N/A,#N/A,TRUE,"Contents";#N/A,#N/A,TRUE,"Basis";#N/A,#N/A,TRUE,"Inclusions";#N/A,#N/A,TRUE,"Exclusions";#N/A,#N/A,TRUE,"Areas";#N/A,#N/A,TRUE,"Summary";#N/A,#N/A,TRUE,"Detail"}</definedName>
    <definedName name="_47dear_1">{#N/A,#N/A,TRUE,"Front";#N/A,#N/A,TRUE,"Simple Letter";#N/A,#N/A,TRUE,"Inside";#N/A,#N/A,TRUE,"Contents";#N/A,#N/A,TRUE,"Basis";#N/A,#N/A,TRUE,"Inclusions";#N/A,#N/A,TRUE,"Exclusions";#N/A,#N/A,TRUE,"Areas";#N/A,#N/A,TRUE,"Summary";#N/A,#N/A,TRUE,"Detail"}</definedName>
    <definedName name="_48dsdsadasdas_1">City&amp;" "&amp;#NAME?</definedName>
    <definedName name="_49dty_1">{#N/A,#N/A,TRUE,"Front";#N/A,#N/A,TRUE,"Simple Letter";#N/A,#N/A,TRUE,"Inside";#N/A,#N/A,TRUE,"Contents";#N/A,#N/A,TRUE,"Basis";#N/A,#N/A,TRUE,"Inclusions";#N/A,#N/A,TRUE,"Exclusions";#N/A,#N/A,TRUE,"Areas";#N/A,#N/A,TRUE,"Summary";#N/A,#N/A,TRUE,"Detail"}</definedName>
    <definedName name="_49wrn.²Ä1­Ó¤ë1_Ü20¤H." hidden="1">{#N/A,#N/A,FALSE,"²Ä1­Ó¤ë"}</definedName>
    <definedName name="_4P">#REF!</definedName>
    <definedName name="_4wrn.²Ä1­Ó¤ë1_Ü20¤H." hidden="1">{#N/A,#N/A,FALSE,"²Ä1­Ó¤ë"}</definedName>
    <definedName name="_5">#REF!</definedName>
    <definedName name="_5________________IDC2_1">#NAME?&amp;" "&amp;#NAME?</definedName>
    <definedName name="_50ere_1">City&amp;" "&amp;#NAME?</definedName>
    <definedName name="_50wrn.²Ä1­Ó¤ë1_Ü20¤H." hidden="1">{#N/A,#N/A,FALSE,"²Ä1­Ó¤ë"}</definedName>
    <definedName name="_51ereew_1">City&amp;" "&amp;#NAME?</definedName>
    <definedName name="_52erre_1">City&amp;" "&amp;#NAME?</definedName>
    <definedName name="_56face_1">City&amp;" "&amp;#NAME?</definedName>
    <definedName name="_57fdfd_1">City&amp;" "&amp;#NAME?</definedName>
    <definedName name="_58fedfed_1">City&amp;" "&amp;#NAME?</definedName>
    <definedName name="_59fere_1">{#N/A,#N/A,TRUE,"Front";#N/A,#N/A,TRUE,"Simple Letter";#N/A,#N/A,TRUE,"Inside";#N/A,#N/A,TRUE,"Contents";#N/A,#N/A,TRUE,"Basis";#N/A,#N/A,TRUE,"Inclusions";#N/A,#N/A,TRUE,"Exclusions";#N/A,#N/A,TRUE,"Areas";#N/A,#N/A,TRUE,"Summary";#N/A,#N/A,TRUE,"Detail"}</definedName>
    <definedName name="_5P">#REF!</definedName>
    <definedName name="_5wrn.²Ä1­Ó¤ë1_Ü20¤H." hidden="1">{#N/A,#N/A,FALSE,"²Ä1­Ó¤ë"}</definedName>
    <definedName name="_6">#REF!</definedName>
    <definedName name="_6________________loc1_1">#NAME?&amp;" "&amp;#NAME?</definedName>
    <definedName name="_60">#REF!</definedName>
    <definedName name="_60FOXC_1">{#N/A,#N/A,TRUE,"Front";#N/A,#N/A,TRUE,"Simple Letter";#N/A,#N/A,TRUE,"Inside";#N/A,#N/A,TRUE,"Contents";#N/A,#N/A,TRUE,"Basis";#N/A,#N/A,TRUE,"Inclusions";#N/A,#N/A,TRUE,"Exclusions";#N/A,#N/A,TRUE,"Areas";#N/A,#N/A,TRUE,"Summary";#N/A,#N/A,TRUE,"Detail"}</definedName>
    <definedName name="_60wrn.²Ä1­Ó¤ë1_Ü20¤H." hidden="1">{#N/A,#N/A,FALSE,"²Ä1­Ó¤ë"}</definedName>
    <definedName name="_61">#REF!</definedName>
    <definedName name="_61full_1">{#N/A,#N/A,TRUE,"Front";#N/A,#N/A,TRUE,"Simple Letter";#N/A,#N/A,TRUE,"Inside";#N/A,#N/A,TRUE,"Contents";#N/A,#N/A,TRUE,"Basis";#N/A,#N/A,TRUE,"Inclusions";#N/A,#N/A,TRUE,"Exclusions";#N/A,#N/A,TRUE,"Areas";#N/A,#N/A,TRUE,"Summary";#N/A,#N/A,TRUE,"Detail"}</definedName>
    <definedName name="_62grtr_1">{#N/A,#N/A,TRUE,"Front";#N/A,#N/A,TRUE,"Simple Letter";#N/A,#N/A,TRUE,"Inside";#N/A,#N/A,TRUE,"Contents";#N/A,#N/A,TRUE,"Basis";#N/A,#N/A,TRUE,"Inclusions";#N/A,#N/A,TRUE,"Exclusions";#N/A,#N/A,TRUE,"Areas";#N/A,#N/A,TRUE,"Summary";#N/A,#N/A,TRUE,"Detail"}</definedName>
    <definedName name="_63HFG_1">#N/A</definedName>
    <definedName name="_64Excel_BuiltIn_Print_Area_4_1">"$#REF!.$B$1:$I$22"</definedName>
    <definedName name="_64hi_1">{#N/A,#N/A,TRUE,"Front";#N/A,#N/A,TRUE,"Simple Letter";#N/A,#N/A,TRUE,"Inside";#N/A,#N/A,TRUE,"Contents";#N/A,#N/A,TRUE,"Basis";#N/A,#N/A,TRUE,"Inclusions";#N/A,#N/A,TRUE,"Exclusions";#N/A,#N/A,TRUE,"Areas";#N/A,#N/A,TRUE,"Summary";#N/A,#N/A,TRUE,"Detail"}</definedName>
    <definedName name="_65Excel_BuiltIn_Print_Area_4_1_1">"$#REF!.$B$2:$J$18"</definedName>
    <definedName name="_65HTML_Control_1">{"'Sheet1'!$A$4386:$N$4591"}</definedName>
    <definedName name="_66Excel_BuiltIn_Print_Area_6_1">"$#REF!.$A$1:$J$5"</definedName>
    <definedName name="_66hyy_1">City&amp;" "&amp;#NAME?</definedName>
    <definedName name="_67IDC2_1">City&amp;" "&amp;#NAME?</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IDCGK_1">City&amp;" "&amp;#NAME?</definedName>
    <definedName name="_69ju_1">{#N/A,#N/A,TRUE,"Front";#N/A,#N/A,TRUE,"Simple Letter";#N/A,#N/A,TRUE,"Inside";#N/A,#N/A,TRUE,"Contents";#N/A,#N/A,TRUE,"Basis";#N/A,#N/A,TRUE,"Inclusions";#N/A,#N/A,TRUE,"Exclusions";#N/A,#N/A,TRUE,"Areas";#N/A,#N/A,TRUE,"Summary";#N/A,#N/A,TRUE,"Detail"}</definedName>
    <definedName name="_6P">#REF!</definedName>
    <definedName name="_7">#REF!</definedName>
    <definedName name="_7______________IDC2_1">#NAME?&amp;" "&amp;#NAME?</definedName>
    <definedName name="_7__123Graph_ACHART_3" hidden="1">#N/A</definedName>
    <definedName name="_70Excel_BuiltIn_Print_Area_3_1_1_1">#N/A</definedName>
    <definedName name="_70KHJ_1">City&amp;" "&amp;#NAME?</definedName>
    <definedName name="_71Excel_BuiltIn_Print_Area_4_1_1">"$#REF!.$B$2:$J$18"</definedName>
    <definedName name="_71kil_1">{#N/A,#N/A,TRUE,"Front";#N/A,#N/A,TRUE,"Simple Letter";#N/A,#N/A,TRUE,"Inside";#N/A,#N/A,TRUE,"Contents";#N/A,#N/A,TRUE,"Basis";#N/A,#N/A,TRUE,"Inclusions";#N/A,#N/A,TRUE,"Exclusions";#N/A,#N/A,TRUE,"Areas";#N/A,#N/A,TRUE,"Summary";#N/A,#N/A,TRUE,"Detail"}</definedName>
    <definedName name="_72kju_1">{#N/A,#N/A,TRUE,"Front";#N/A,#N/A,TRUE,"Simple Letter";#N/A,#N/A,TRUE,"Inside";#N/A,#N/A,TRUE,"Contents";#N/A,#N/A,TRUE,"Basis";#N/A,#N/A,TRUE,"Inclusions";#N/A,#N/A,TRUE,"Exclusions";#N/A,#N/A,TRUE,"Areas";#N/A,#N/A,TRUE,"Summary";#N/A,#N/A,TRUE,"Detail"}</definedName>
    <definedName name="_73lkl_1">{#N/A,#N/A,TRUE,"Front";#N/A,#N/A,TRUE,"Simple Letter";#N/A,#N/A,TRUE,"Inside";#N/A,#N/A,TRUE,"Contents";#N/A,#N/A,TRUE,"Basis";#N/A,#N/A,TRUE,"Inclusions";#N/A,#N/A,TRUE,"Exclusions";#N/A,#N/A,TRUE,"Areas";#N/A,#N/A,TRUE,"Summary";#N/A,#N/A,TRUE,"Detail"}</definedName>
    <definedName name="_74LL_1">City&amp;" "&amp;#NAME?</definedName>
    <definedName name="_75lll_1">City&amp;" "&amp;#NAME?</definedName>
    <definedName name="_76loc1_1">City&amp;" "&amp;#NAME?</definedName>
    <definedName name="_77Location_1">City&amp;" "&amp;#NAME?</definedName>
    <definedName name="_78locations_1">City&amp;" "&amp;#NAME?</definedName>
    <definedName name="_79MAJOR_1">City&amp;" "&amp;#NAME?</definedName>
    <definedName name="_7LOAN_INT">#REF!</definedName>
    <definedName name="_7P">#REF!</definedName>
    <definedName name="_8">#REF!</definedName>
    <definedName name="_8______________loc1_1">#NAME?&amp;" "&amp;#NAME?</definedName>
    <definedName name="_8__123Graph_ACHART_4" hidden="1">#N/A</definedName>
    <definedName name="_80mas_1">City&amp;" "&amp;#NAME?</definedName>
    <definedName name="_81mm_1">City&amp;" "&amp;#NAME?</definedName>
    <definedName name="_82Mullions_1">{#N/A,#N/A,TRUE,"Front";#N/A,#N/A,TRUE,"Simple Letter";#N/A,#N/A,TRUE,"Inside";#N/A,#N/A,TRUE,"Contents";#N/A,#N/A,TRUE,"Basis";#N/A,#N/A,TRUE,"Inclusions";#N/A,#N/A,TRUE,"Exclusions";#N/A,#N/A,TRUE,"Areas";#N/A,#N/A,TRUE,"Summary";#N/A,#N/A,TRUE,"Detail"}</definedName>
    <definedName name="_83nngg_1">City&amp;" "&amp;#NAME?</definedName>
    <definedName name="_84Org_1">{#N/A,#N/A,TRUE,"Front";#N/A,#N/A,TRUE,"Simple Letter";#N/A,#N/A,TRUE,"Inside";#N/A,#N/A,TRUE,"Contents";#N/A,#N/A,TRUE,"Basis";#N/A,#N/A,TRUE,"Inclusions";#N/A,#N/A,TRUE,"Exclusions";#N/A,#N/A,TRUE,"Areas";#N/A,#N/A,TRUE,"Summary";#N/A,#N/A,TRUE,"Detail"}</definedName>
    <definedName name="_85orrr_1">{#N/A,#N/A,TRUE,"Front";#N/A,#N/A,TRUE,"Simple Letter";#N/A,#N/A,TRUE,"Inside";#N/A,#N/A,TRUE,"Contents";#N/A,#N/A,TRUE,"Basis";#N/A,#N/A,TRUE,"Inclusions";#N/A,#N/A,TRUE,"Exclusions";#N/A,#N/A,TRUE,"Areas";#N/A,#N/A,TRUE,"Summary";#N/A,#N/A,TRUE,"Detail"}</definedName>
    <definedName name="_86per_1">City&amp;" "&amp;#NAME?</definedName>
    <definedName name="_87plan1_1">City&amp;" "&amp;#NAME?</definedName>
    <definedName name="_88pp_1">City&amp;" "&amp;#NAME?</definedName>
    <definedName name="_89QC_1">{"'Sheet1'!$A$4386:$N$4591"}</definedName>
    <definedName name="_8LOAN_REPAY">#REF!</definedName>
    <definedName name="_8P">#REF!</definedName>
    <definedName name="_8wrn.²Ä1­Ó¤ë1_Ü20¤H." hidden="1">{#N/A,#N/A,FALSE,"²Ä1­Ó¤ë"}</definedName>
    <definedName name="_9">#REF!</definedName>
    <definedName name="_9_____________IDC2_1">#NAME?&amp;" "&amp;#NAME?</definedName>
    <definedName name="_9__123Graph_ACHART_5" hidden="1">#N/A</definedName>
    <definedName name="_90QS_1">{#N/A,#N/A,TRUE,"Front";#N/A,#N/A,TRUE,"Simple Letter";#N/A,#N/A,TRUE,"Inside";#N/A,#N/A,TRUE,"Contents";#N/A,#N/A,TRUE,"Basis";#N/A,#N/A,TRUE,"Inclusions";#N/A,#N/A,TRUE,"Exclusions";#N/A,#N/A,TRUE,"Areas";#N/A,#N/A,TRUE,"Summary";#N/A,#N/A,TRUE,"Detail"}</definedName>
    <definedName name="_916销售成本">#REF!</definedName>
    <definedName name="_91qttty_1">{#N/A,#N/A,TRUE,"Front";#N/A,#N/A,TRUE,"Simple Letter";#N/A,#N/A,TRUE,"Inside";#N/A,#N/A,TRUE,"Contents";#N/A,#N/A,TRUE,"Basis";#N/A,#N/A,TRUE,"Inclusions";#N/A,#N/A,TRUE,"Exclusions";#N/A,#N/A,TRUE,"Areas";#N/A,#N/A,TRUE,"Summary";#N/A,#N/A,TRUE,"Detail"}</definedName>
    <definedName name="_92ravi_1">{#N/A,#N/A,TRUE,"Front";#N/A,#N/A,TRUE,"Simple Letter";#N/A,#N/A,TRUE,"Inside";#N/A,#N/A,TRUE,"Contents";#N/A,#N/A,TRUE,"Basis";#N/A,#N/A,TRUE,"Inclusions";#N/A,#N/A,TRUE,"Exclusions";#N/A,#N/A,TRUE,"Areas";#N/A,#N/A,TRUE,"Summary";#N/A,#N/A,TRUE,"Detail"}</definedName>
    <definedName name="_93re_1">{#N/A,#N/A,TRUE,"Front";#N/A,#N/A,TRUE,"Simple Letter";#N/A,#N/A,TRUE,"Inside";#N/A,#N/A,TRUE,"Contents";#N/A,#N/A,TRUE,"Basis";#N/A,#N/A,TRUE,"Inclusions";#N/A,#N/A,TRUE,"Exclusions";#N/A,#N/A,TRUE,"Areas";#N/A,#N/A,TRUE,"Summary";#N/A,#N/A,TRUE,"Detail"}</definedName>
    <definedName name="_94rev.plan_1">City&amp;" "&amp;#NAME?</definedName>
    <definedName name="_95revised_1">#N/A</definedName>
    <definedName name="_96.12.30_1">NA()</definedName>
    <definedName name="_96.12.30_2">NA()</definedName>
    <definedName name="_96rrr_1">City&amp;" "&amp;#NAME?</definedName>
    <definedName name="_9712">#REF!</definedName>
    <definedName name="_9712销售成本">#REF!</definedName>
    <definedName name="_97rsdec_1">{#N/A,#N/A,TRUE,"Front";#N/A,#N/A,TRUE,"Simple Letter";#N/A,#N/A,TRUE,"Inside";#N/A,#N/A,TRUE,"Contents";#N/A,#N/A,TRUE,"Basis";#N/A,#N/A,TRUE,"Inclusions";#N/A,#N/A,TRUE,"Exclusions";#N/A,#N/A,TRUE,"Areas";#N/A,#N/A,TRUE,"Summary";#N/A,#N/A,TRUE,"Detail"}</definedName>
    <definedName name="_98Excel_BuiltIn_Print_Area_4_1">"$#REF!.$B$1:$I$22"</definedName>
    <definedName name="_98salem_1">{#N/A,#N/A,TRUE,"Front";#N/A,#N/A,TRUE,"Simple Letter";#N/A,#N/A,TRUE,"Inside";#N/A,#N/A,TRUE,"Contents";#N/A,#N/A,TRUE,"Basis";#N/A,#N/A,TRUE,"Inclusions";#N/A,#N/A,TRUE,"Exclusions";#N/A,#N/A,TRUE,"Areas";#N/A,#N/A,TRUE,"Summary";#N/A,#N/A,TRUE,"Detail"}</definedName>
    <definedName name="_99Excel_BuiltIn_Print_Area_4_1_1">"$#REF!.$B$2:$J$18"</definedName>
    <definedName name="_99sas_1">City&amp;" "&amp;#NAME?</definedName>
    <definedName name="_9P">#REF!</definedName>
    <definedName name="_9PRE_SELL">#REF!</definedName>
    <definedName name="_a">"$#REF!.#REF!#REF!"</definedName>
    <definedName name="_a_2">NA()</definedName>
    <definedName name="_a_3">NA()</definedName>
    <definedName name="_a_4">NA()</definedName>
    <definedName name="_a_5">NA()</definedName>
    <definedName name="_a1" hidden="1">{#N/A,#N/A,FALSE,"Pharm";#N/A,#N/A,FALSE,"WWCM"}</definedName>
    <definedName name="_A11" hidden="1">{#N/A,#N/A,FALSE,"Umsatz 99";#N/A,#N/A,FALSE,"ER 99 "}</definedName>
    <definedName name="_A12" hidden="1">{#N/A,#N/A,FALSE,"Umsatz 99";#N/A,#N/A,FALSE,"ER 99 "}</definedName>
    <definedName name="_a2">#N/A</definedName>
    <definedName name="_a3" hidden="1">{"Geo - Detail Detail",#N/A,FALSE,"Geo View";"Geo - Detail",#N/A,FALSE,"Geo View";"Dept - Detail Detail",#N/A,FALSE,"Dept View";"Dept - Detail",#N/A,FALSE,"Dept View"}</definedName>
    <definedName name="_a5">#N/A</definedName>
    <definedName name="_A71242">#REF!</definedName>
    <definedName name="_a99999999">#N/A</definedName>
    <definedName name="_aa1" hidden="1">{#N/A,"PURADD",FALSE,"Business Analysis";#N/A,"PURSPP",FALSE,"Business Analysis";#N/A,"CTGIND",FALSE,"Business Analysis";#N/A,"PURCHM",FALSE,"Business Analysis";#N/A,"SPADD",FALSE,"Business Analysis";#N/A,"EPOXY",FALSE,"Business Analysis";#N/A,"PURPER",FALSE,"Business Analysis"}</definedName>
    <definedName name="_aaa1" hidden="1">{#N/A,#N/A,FALSE,"Model";#N/A,#N/A,FALSE,"Division"}</definedName>
    <definedName name="_AAA1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L1">#REF!</definedName>
    <definedName name="_AAL2">#REF!</definedName>
    <definedName name="_aas1" hidden="1">{#N/A,#N/A,FALSE,"REPORT"}</definedName>
    <definedName name="_ab098" hidden="1">{#N/A,"PURCHM",FALSE,"Business Analysis";#N/A,"SPADD",FALSE,"Business Analysis"}</definedName>
    <definedName name="_abc098" hidden="1">{#N/A,"PURCHM",FALSE,"Business Analysis";#N/A,"SPADD",FALSE,"Business Analysis"}</definedName>
    <definedName name="_abc1" hidden="1">{"detail",#N/A,FALSE,"mfg";"summary",#N/A,FALSE,"mfg"}</definedName>
    <definedName name="_abc10" hidden="1">{"detail",#N/A,FALSE,"mfg";"summary",#N/A,FALSE,"mfg"}</definedName>
    <definedName name="_abc101" hidden="1">{"detail",#N/A,FALSE,"mfg";"summary",#N/A,FALSE,"mfg"}</definedName>
    <definedName name="_abc102" hidden="1">{"detail",#N/A,FALSE,"mfg";"summary",#N/A,FALSE,"mfg"}</definedName>
    <definedName name="_abc105" hidden="1">{"detail",#N/A,FALSE,"mfg";"summary",#N/A,FALSE,"mfg"}</definedName>
    <definedName name="_abc1082" hidden="1">{"detail",#N/A,FALSE,"mfg";"summary",#N/A,FALSE,"mfg"}</definedName>
    <definedName name="_abc11" hidden="1">{"detail",#N/A,FALSE,"mfg";"summary",#N/A,FALSE,"mfg"}</definedName>
    <definedName name="_abc115" hidden="1">{"detail",#N/A,FALSE,"mfg";"summary",#N/A,FALSE,"mfg"}</definedName>
    <definedName name="_abc12" hidden="1">{"detail",#N/A,FALSE,"mfg";"summary",#N/A,FALSE,"mfg"}</definedName>
    <definedName name="_abc1234" hidden="1">{#N/A,"PURCHM",FALSE,"Business Analysis";#N/A,"SPADD",FALSE,"Business Analysis"}</definedName>
    <definedName name="_abc125" hidden="1">{"detail",#N/A,FALSE,"mfg";"summary",#N/A,FALSE,"mfg"}</definedName>
    <definedName name="_abc13" hidden="1">{"detail",#N/A,FALSE,"mfg";"summary",#N/A,FALSE,"mfg"}</definedName>
    <definedName name="_abc1325" hidden="1">{"detail",#N/A,FALSE,"mfg";"summary",#N/A,FALSE,"mfg"}</definedName>
    <definedName name="_abc14" hidden="1">{"detail",#N/A,FALSE,"mfg";"summary",#N/A,FALSE,"mfg"}</definedName>
    <definedName name="_abc1425" hidden="1">{"detail",#N/A,FALSE,"mfg";"summary",#N/A,FALSE,"mfg"}</definedName>
    <definedName name="_abc2" hidden="1">{"detail",#N/A,FALSE,"mfg";"summary",#N/A,FALSE,"mfg"}</definedName>
    <definedName name="_abc200" hidden="1">{"detail",#N/A,FALSE,"mfg";"summary",#N/A,FALSE,"mfg"}</definedName>
    <definedName name="_abc2005" hidden="1">{#N/A,"PURCHM",FALSE,"Business Analysis";#N/A,"SPADD",FALSE,"Business Analysis"}</definedName>
    <definedName name="_abc201" hidden="1">{"detail",#N/A,FALSE,"mfg";"summary",#N/A,FALSE,"mfg"}</definedName>
    <definedName name="_abc202" hidden="1">{"detail",#N/A,FALSE,"mfg";"summary",#N/A,FALSE,"mfg"}</definedName>
    <definedName name="_abc2054" hidden="1">{"detail",#N/A,FALSE,"mfg";"summary",#N/A,FALSE,"mfg"}</definedName>
    <definedName name="_abc212" hidden="1">{"detail",#N/A,FALSE,"mfg";"summary",#N/A,FALSE,"mfg"}</definedName>
    <definedName name="_abc212450" hidden="1">{"detail",#N/A,FALSE,"mfg";"summary",#N/A,FALSE,"mfg"}</definedName>
    <definedName name="_abc23" hidden="1">{"detail",#N/A,FALSE,"mfg";"summary",#N/A,FALSE,"mfg"}</definedName>
    <definedName name="_abc24" hidden="1">{"detail",#N/A,FALSE,"mfg";"summary",#N/A,FALSE,"mfg"}</definedName>
    <definedName name="_abc25" hidden="1">{"detail",#N/A,FALSE,"mfg";"summary",#N/A,FALSE,"mfg"}</definedName>
    <definedName name="_abc26" hidden="1">{"detail",#N/A,FALSE,"mfg";"summary",#N/A,FALSE,"mfg"}</definedName>
    <definedName name="_abc289" hidden="1">{"detail",#N/A,FALSE,"mfg";"summary",#N/A,FALSE,"mfg"}</definedName>
    <definedName name="_abc3" hidden="1">{"detail",#N/A,FALSE,"mfg";"summary",#N/A,FALSE,"mfg"}</definedName>
    <definedName name="_abc31" hidden="1">{"detail",#N/A,FALSE,"mfg";"summary",#N/A,FALSE,"mfg"}</definedName>
    <definedName name="_abc312" hidden="1">{"detail",#N/A,FALSE,"mfg";"summary",#N/A,FALSE,"mfg"}</definedName>
    <definedName name="_abc315" hidden="1">{"detail",#N/A,FALSE,"mfg";"summary",#N/A,FALSE,"mfg"}</definedName>
    <definedName name="_abc316" hidden="1">{"detail",#N/A,FALSE,"mfg";"summary",#N/A,FALSE,"mfg"}</definedName>
    <definedName name="_abc32" hidden="1">{"detail",#N/A,FALSE,"mfg";"summary",#N/A,FALSE,"mfg"}</definedName>
    <definedName name="_abc3216" hidden="1">{"detail",#N/A,FALSE,"mfg";"summary",#N/A,FALSE,"mfg"}</definedName>
    <definedName name="_abc35" hidden="1">{"detail",#N/A,FALSE,"mfg";"summary",#N/A,FALSE,"mfg"}</definedName>
    <definedName name="_abc36" hidden="1">{"detail",#N/A,FALSE,"mfg";"summary",#N/A,FALSE,"mfg"}</definedName>
    <definedName name="_abc37" hidden="1">{"detail",#N/A,FALSE,"mfg";"summary",#N/A,FALSE,"mfg"}</definedName>
    <definedName name="_abc38" hidden="1">{"detail",#N/A,FALSE,"mfg";"summary",#N/A,FALSE,"mfg"}</definedName>
    <definedName name="_ABC41" hidden="1">{"detail",#N/A,FALSE,"mfg";"summary",#N/A,FALSE,"mfg"}</definedName>
    <definedName name="_abc42" hidden="1">{"detail",#N/A,FALSE,"mfg";"summary",#N/A,FALSE,"mfg"}</definedName>
    <definedName name="_abc51" hidden="1">{"detail",#N/A,FALSE,"mfg";"summary",#N/A,FALSE,"mfg"}</definedName>
    <definedName name="_abc61" hidden="1">{"detail",#N/A,FALSE,"mfg";"summary",#N/A,FALSE,"mfg"}</definedName>
    <definedName name="_abc71" hidden="1">{"detail",#N/A,FALSE,"mfg";"summary",#N/A,FALSE,"mfg"}</definedName>
    <definedName name="_abc7884" hidden="1">{"detail",#N/A,FALSE,"mfg";"summary",#N/A,FALSE,"mfg"}</definedName>
    <definedName name="_ACC1">#REF!</definedName>
    <definedName name="_ACK1">#REF!</definedName>
    <definedName name="_ACK2">#REF!,#REF!,#REF!,#REF!,#REF!,#REF!,#REF!</definedName>
    <definedName name="_ACK3">#REF!</definedName>
    <definedName name="_acq1">#REF!</definedName>
    <definedName name="_Acq2">#REF!</definedName>
    <definedName name="_Acq3">#REF!</definedName>
    <definedName name="_Acq4">#REF!</definedName>
    <definedName name="_ACS2000" hidden="1">{#N/A,#N/A,FALSE,"REPORT"}</definedName>
    <definedName name="_act" hidden="1">1</definedName>
    <definedName name="_act.act" hidden="1">1</definedName>
    <definedName name="_actual" hidden="1">1</definedName>
    <definedName name="_ADD1">#REF!</definedName>
    <definedName name="_ADD2">#REF!</definedName>
    <definedName name="_ADD3">#REF!</definedName>
    <definedName name="_adjust" hidden="1">1</definedName>
    <definedName name="_AFD" hidden="1">{#N/A,#N/A,FALSE,"Fmoh-Vmoh 2002";#N/A,#N/A,FALSE,"Fmoh-Vmoh 2002"}</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ll01">#REF!</definedName>
    <definedName name="_all02">#REF!</definedName>
    <definedName name="_all03">#REF!</definedName>
    <definedName name="_all04">#REF!</definedName>
    <definedName name="_all05">#REF!</definedName>
    <definedName name="_all06">#REF!</definedName>
    <definedName name="_all07">#REF!</definedName>
    <definedName name="_all08">#REF!</definedName>
    <definedName name="_all98">#REF!</definedName>
    <definedName name="_all99">#REF!</definedName>
    <definedName name="_AMT13300">#N/A</definedName>
    <definedName name="_AMT13502">#N/A</definedName>
    <definedName name="_AMT41301">#N/A</definedName>
    <definedName name="_AMT85116">#N/A</definedName>
    <definedName name="_AMT85125">#N/A</definedName>
    <definedName name="_AMT86106">#N/A</definedName>
    <definedName name="_ann" hidden="1">1</definedName>
    <definedName name="_annual" hidden="1">1</definedName>
    <definedName name="_Anx5"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ap2" hidden="1">{"detail",#N/A,FALSE,"mfg";"summary",#N/A,FALSE,"mfg"}</definedName>
    <definedName name="_aro30" hidden="1">{#N/A,#N/A,FALSE,"Staffnos &amp; cost"}</definedName>
    <definedName name="_ASC1">#REF!</definedName>
    <definedName name="_ASC2">#REF!</definedName>
    <definedName name="_asd1">#REF!</definedName>
    <definedName name="_ASDFF" hidden="1">{#N/A,#N/A,FALSE,"Annex-I";#N/A,#N/A,FALSE,"Annex-III";#N/A,#N/A,FALSE,"Annex-IV";#N/A,#N/A,FALSE,"Annex-V";#N/A,#N/A,FALSE,"annex V (i)";#N/A,#N/A,FALSE,"Annex-VI";#N/A,#N/A,FALSE,"Annex-VIII";#N/A,#N/A,FALSE,"Annex-VII";#N/A,#N/A,FALSE,"Annex-IX ";#N/A,#N/A,FALSE,"Annexu X (i)";#N/A,#N/A,FALSE,"Annex-X (ii)";#N/A,#N/A,FALSE,"Annex-X (iii)";#N/A,#N/A,FALSE,"Annex-XI (i)";#N/A,#N/A,FALSE,"Annex-XI (ii)";#N/A,#N/A,FALSE,"Annex-XII";#N/A,#N/A,FALSE,"Annex-XIII"}</definedName>
    <definedName name="_ass2">#REF!</definedName>
    <definedName name="_atmat" hidden="1">2</definedName>
    <definedName name="_atmaturity" hidden="1">2</definedName>
    <definedName name="_AtRisk_SimSetting_AutomaticallyGenerateReports" hidden="1">TRUE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vg10">OFFSET(#REF!,,2)</definedName>
    <definedName name="_avg30">OFFSET(#REF!,,3)</definedName>
    <definedName name="_b111" hidden="1">{#N/A,#N/A,FALSE,"Pharm";#N/A,#N/A,FALSE,"WWCM"}</definedName>
    <definedName name="_b2" hidden="1">{"PVGraph2",#N/A,FALSE,"PV Data"}</definedName>
    <definedName name="_BG1">#N/A</definedName>
    <definedName name="_bg2" hidden="1">{#N/A,#N/A,TRUE,"Summary - 1";#N/A,#N/A,TRUE,"Summary - 2";#N/A,#N/A,TRUE,"Group Analysis";#N/A,#N/A,TRUE,"FM Analysis";#N/A,#N/A,TRUE,"T&amp;M-Onsite";#N/A,#N/A,TRUE,"FP-Onsite";#N/A,#N/A,TRUE,"NB-Onsite";#N/A,#N/A,TRUE,"T&amp;M-Offshore";#N/A,#N/A,TRUE,"FP-Offshore";#N/A,#N/A,TRUE,"Appendix-A";#N/A,#N/A,TRUE,"Appendix-B"}</definedName>
    <definedName name="_bg3" hidden="1">{#N/A,#N/A,TRUE,"Summary - 1";#N/A,#N/A,TRUE,"Summary - 2";#N/A,#N/A,TRUE,"Group Analysis";#N/A,#N/A,TRUE,"FM Analysis";#N/A,#N/A,TRUE,"T&amp;M-Onsite";#N/A,#N/A,TRUE,"FP-Onsite";#N/A,#N/A,TRUE,"NB-Onsite";#N/A,#N/A,TRUE,"T&amp;M-Offshore";#N/A,#N/A,TRUE,"FP-Offshore";#N/A,#N/A,TRUE,"Appendix-A";#N/A,#N/A,TRUE,"Appendix-B"}</definedName>
    <definedName name="_bji23" hidden="1">{#N/A,"PURCHM",FALSE,"Business Analysis";#N/A,"SPADD",FALSE,"Business Analysis"}</definedName>
    <definedName name="_bkd87" hidden="1">{#N/A,"PURCHM",FALSE,"Business Analysis";#N/A,"SPADD",FALSE,"Business Analysis"}</definedName>
    <definedName name="_bol1_1">"#REF!"</definedName>
    <definedName name="_bol1_2">"#REF!"</definedName>
    <definedName name="_bol1_3">"#REF!"</definedName>
    <definedName name="_bol1_4">"#REF!"</definedName>
    <definedName name="_bol1_5">"#REF!"</definedName>
    <definedName name="_bol1_6">"#REF!"</definedName>
    <definedName name="_bond" hidden="1">3</definedName>
    <definedName name="_book">#REF!</definedName>
    <definedName name="_book2">#REF!</definedName>
    <definedName name="_BTM150">#REF!</definedName>
    <definedName name="_BTM200">#REF!</definedName>
    <definedName name="_BTM50">#REF!</definedName>
    <definedName name="_BU4" hidden="1">{"Page 1",#N/A,TRUE,"Sheet1";"Page 2",#N/A,TRUE,"Sheet1"}</definedName>
    <definedName name="_BU5" hidden="1">{"Page 1",#N/A,TRUE,"Sheet1";"Page 2",#N/A,TRUE,"Sheet1"}</definedName>
    <definedName name="_c" hidden="1">{"Fiesta Facer Page",#N/A,FALSE,"Q_C_S";"Fiesta Main Page",#N/A,FALSE,"V_L";"Fiesta 95BP Struct",#N/A,FALSE,"StructBP";"Fiesta Post 95BP Struct",#N/A,FALSE,"AdjStructBP"}</definedName>
    <definedName name="_c_base">{0.1;0;0.382758620689655;0;0;0;0.258620689655172;0;0.258620689655172}</definedName>
    <definedName name="_C93">#REF!</definedName>
    <definedName name="_C93CAP">#REF!</definedName>
    <definedName name="_C94">#REF!</definedName>
    <definedName name="_C94CAP">#REF!</definedName>
    <definedName name="_can430">40.73</definedName>
    <definedName name="_can435">43.3</definedName>
    <definedName name="_CMS310">#REF!</definedName>
    <definedName name="_CON1">#REF!</definedName>
    <definedName name="_CON2">#REF!</definedName>
    <definedName name="_crt2">#REF!</definedName>
    <definedName name="_crt3">#REF!</definedName>
    <definedName name="_dc1">#REF!</definedName>
    <definedName name="_dc2">#REF!</definedName>
    <definedName name="_DEC31">#REF!</definedName>
    <definedName name="_default" hidden="1">-1</definedName>
    <definedName name="_df1" hidden="1">{#N/A,#N/A,FALSE,"Calc";#N/A,#N/A,FALSE,"Sensitivity";#N/A,#N/A,FALSE,"LT Earn.Dil.";#N/A,#N/A,FALSE,"Dil. AVP"}</definedName>
    <definedName name="_df2" hidden="1">{#N/A,#N/A,FALSE,"Calc";#N/A,#N/A,FALSE,"Sensitivity";#N/A,#N/A,FALSE,"LT Earn.Dil.";#N/A,#N/A,FALSE,"Dil. AVP"}</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flt" hidden="1">-1</definedName>
    <definedName name="_disc" hidden="1">1</definedName>
    <definedName name="_discount" hidden="1">1</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ontadjust" hidden="1">0</definedName>
    <definedName name="_dwa1" hidden="1">{#N/A,"PURCHM",FALSE,"Business Analysis";#N/A,"SPADD",FALSE,"Business Analysis"}</definedName>
    <definedName name="_e360" hidden="1">3</definedName>
    <definedName name="_ee" hidden="1">{"consolidated",#N/A,FALSE,"Sheet1";"cms",#N/A,FALSE,"Sheet1";"fse",#N/A,FALSE,"Sheet1"}</definedName>
    <definedName name="_eom" hidden="1">1</definedName>
    <definedName name="_ER1" hidden="1">{#N/A,#N/A,FALSE,"COMP"}</definedName>
    <definedName name="_EST1299">#N/A</definedName>
    <definedName name="_eu93" hidden="1">{"Comp_of_Price_Effect",#N/A,FALSE,"QTRDPVAR"}</definedName>
    <definedName name="_EXC1">#REF!</definedName>
    <definedName name="_EXC2">#REF!</definedName>
    <definedName name="_exp3006">#N/A</definedName>
    <definedName name="_f" hidden="1">{"QTR_ACT",#N/A,FALSE,"PROP_PBIT_DEV_Q3";"QTR_BUD",#N/A,FALSE,"PROP_PBIT_DEV_Q3";"YTD_BUD",#N/A,FALSE,"PROP_PBIT_DEV_Q3";"YTD_ACT",#N/A,FALSE,"PROP_PBIT_DEV_Q3";"FY95 SNAP3",#N/A,FALSE,"PROP_PBIT_DEV_Q3";"FY95_BUD",#N/A,FALSE,"PROP_PBIT_DEV_Q3";"FY96_BUD",#N/A,FALSE,"PROP_PBIT_DEV_Q3"}</definedName>
    <definedName name="_fc1">#REF!</definedName>
    <definedName name="_fc2">#REF!</definedName>
    <definedName name="_fco2" hidden="1">{#N/A,#N/A,FALSE,"gc (2)"}</definedName>
    <definedName name="_FEB1">#N/A</definedName>
    <definedName name="_FEB2">#N/A</definedName>
    <definedName name="_Fill" hidden="1">#REF!</definedName>
    <definedName name="_full" hidden="1">1</definedName>
    <definedName name="_fullprecision" hidden="1">1</definedName>
    <definedName name="_fy97" hidden="1">{#N/A,#N/A,FALSE,"FY97";#N/A,#N/A,FALSE,"FY98";#N/A,#N/A,FALSE,"FY99";#N/A,#N/A,FALSE,"FY00";#N/A,#N/A,FALSE,"FY01"}</definedName>
    <definedName name="_fy977" hidden="1">{#N/A,#N/A,FALSE,"FY97";#N/A,#N/A,FALSE,"FY98";#N/A,#N/A,FALSE,"FY99";#N/A,#N/A,FALSE,"FY00";#N/A,#N/A,FALSE,"FY01"}</definedName>
    <definedName name="_gbp99">71.13</definedName>
    <definedName name="_gc">#REF!</definedName>
    <definedName name="_Grp16" hidden="1">{#N/A,#N/A,FALSE,"PMTABB";#N/A,#N/A,FALSE,"PMTABB"}</definedName>
    <definedName name="_GSRATES_1" hidden="1">"CT30000120021231        "</definedName>
    <definedName name="_GSRATES_10" hidden="1">"CF3000012002123120020331"</definedName>
    <definedName name="_GSRATES_2" hidden="1">"CT30000120031231        "</definedName>
    <definedName name="_GSRATES_3" hidden="1">"CT30000120040331        "</definedName>
    <definedName name="_GSRATES_4" hidden="1">"CF3000012004033120030331"</definedName>
    <definedName name="_GSRATES_5" hidden="1">"CF3000012002093020020331"</definedName>
    <definedName name="_GSRATES_6" hidden="1">"CF3000012003123120030331"</definedName>
    <definedName name="_GSRATES_7" hidden="1">"CT300001Latest          "</definedName>
    <definedName name="_GSRATES_8" hidden="1">"CT300001Latest          "</definedName>
    <definedName name="_GSRATES_9" hidden="1">"CF3000012002123120020331"</definedName>
    <definedName name="_GSRATES_COUNT" hidden="1">10</definedName>
    <definedName name="_hd1" hidden="1">{#N/A,#N/A,FALSE,"Calc";#N/A,#N/A,FALSE,"Sensitivity";#N/A,#N/A,FALSE,"LT Earn.Dil.";#N/A,#N/A,FALSE,"Dil. AVP"}</definedName>
    <definedName name="_hd2" hidden="1">{#N/A,#N/A,FALSE,"Calc";#N/A,#N/A,FALSE,"Sensitivity";#N/A,#N/A,FALSE,"LT Earn.Dil.";#N/A,#N/A,FALSE,"Dil. AVP"}</definedName>
    <definedName name="_hom2">#REF!</definedName>
    <definedName name="_I2" hidden="1">{"PVGraph2",#N/A,FALSE,"PV Data"}</definedName>
    <definedName name="_i21" hidden="1">{"PVGraph2",#N/A,FALSE,"PV Data"}</definedName>
    <definedName name="_I22" hidden="1">{"PVGraph2",#N/A,FALSE,"PV Data"}</definedName>
    <definedName name="_i2211" hidden="1">{"PVGraph2",#N/A,FALSE,"PV Data"}</definedName>
    <definedName name="_i223" hidden="1">{"PVGraph2",#N/A,FALSE,"PV Data"}</definedName>
    <definedName name="_i23" hidden="1">{"PVGraph2",#N/A,FALSE,"PV Data"}</definedName>
    <definedName name="_i2323" hidden="1">{"PVGraph2",#N/A,FALSE,"PV Data"}</definedName>
    <definedName name="_i24" hidden="1">{"PVGraph2",#N/A,FALSE,"PV Data"}</definedName>
    <definedName name="_I3" hidden="1">{"PVGraph2",#N/A,FALSE,"PV Data"}</definedName>
    <definedName name="_IDC2">City&amp;" "&amp;State</definedName>
    <definedName name="_IDC2_1">"city"&amp;" "&amp;"state"</definedName>
    <definedName name="_IDC2_2">"city"&amp;" "&amp;"state"</definedName>
    <definedName name="_IDC2_3">"city"&amp;" "&amp;"state"</definedName>
    <definedName name="_IDC2_4">"city"&amp;" "&amp;"state"</definedName>
    <definedName name="_IDC2_5">"city"&amp;" "&amp;"state"</definedName>
    <definedName name="_IDC2_6">"city"&amp;" "&amp;"state"</definedName>
    <definedName name="_IDT3">#REF!</definedName>
    <definedName name="_II2" hidden="1">{"PVGraph2",#N/A,FALSE,"PV Data"}</definedName>
    <definedName name="_indstd" hidden="1">-1</definedName>
    <definedName name="_infl" hidden="1">7</definedName>
    <definedName name="_inflation" hidden="1">7</definedName>
    <definedName name="_inv6">#REF!</definedName>
    <definedName name="_IRR1">#REF!</definedName>
    <definedName name="_IRR2">#REF!</definedName>
    <definedName name="_IRR3">#REF!</definedName>
    <definedName name="_IRR4">#REF!</definedName>
    <definedName name="_IRR5">#REF!</definedName>
    <definedName name="_IRR6">#REF!</definedName>
    <definedName name="_IS1">OFFSET(#REF!,1,0,COUNTA(OFFSET(#REF!,1,0,100,1)))</definedName>
    <definedName name="_IS2">OFFSET(#REF!,0,1)</definedName>
    <definedName name="_isma30360" hidden="1">3</definedName>
    <definedName name="_isma360" hidden="1">3</definedName>
    <definedName name="_JAN1">#REF!</definedName>
    <definedName name="_jj300_1">"#REF!"</definedName>
    <definedName name="_jj300_2">"#REF!"</definedName>
    <definedName name="_jj300_3">"#REF!"</definedName>
    <definedName name="_jj300_4">"#REF!"</definedName>
    <definedName name="_jj300_5">"#REF!"</definedName>
    <definedName name="_jj300_6">"#REF!"</definedName>
    <definedName name="_jUL2005" hidden="1">{#N/A,#N/A,FALSE,"Aging Summary";#N/A,#N/A,FALSE,"Ratio Analysis";#N/A,#N/A,FALSE,"Test 120 Day Accts";#N/A,#N/A,FALSE,"Tickmarks"}</definedName>
    <definedName name="_JUN30">#REF!</definedName>
    <definedName name="_Key1" hidden="1">#REF!</definedName>
    <definedName name="_Key2" hidden="1">#REF!</definedName>
    <definedName name="_l_2">"#REF!"</definedName>
    <definedName name="_l_3">"#REF!"</definedName>
    <definedName name="_l_4">"#REF!"</definedName>
    <definedName name="_l_5">"#REF!"</definedName>
    <definedName name="_l_6">"#REF!"</definedName>
    <definedName name="_l_7">"#REF!"</definedName>
    <definedName name="_lb1_1">"#REF!"</definedName>
    <definedName name="_lb1_2">"#REF!"</definedName>
    <definedName name="_lb1_3">"#REF!"</definedName>
    <definedName name="_lb1_4">"#REF!"</definedName>
    <definedName name="_lb1_5">"#REF!"</definedName>
    <definedName name="_lb2_1">"#REF!"</definedName>
    <definedName name="_lb2_2">"#REF!"</definedName>
    <definedName name="_lb2_3">"#REF!"</definedName>
    <definedName name="_lb2_4">"#REF!"</definedName>
    <definedName name="_lb2_5">"#REF!"</definedName>
    <definedName name="_loc1">City&amp;" "&amp;State</definedName>
    <definedName name="_loc1_1">"city"&amp;" "&amp;"state"</definedName>
    <definedName name="_loc1_2">"city"&amp;" "&amp;"state"</definedName>
    <definedName name="_loc1_3">"city"&amp;" "&amp;"state"</definedName>
    <definedName name="_loc1_4">"city"&amp;" "&amp;"state"</definedName>
    <definedName name="_loc1_5">"city"&amp;" "&amp;"state"</definedName>
    <definedName name="_loc1_6">"city"&amp;" "&amp;"state"</definedName>
    <definedName name="_m21">#N/A</definedName>
    <definedName name="_MAR3">#N/A</definedName>
    <definedName name="_MAR31">#REF!</definedName>
    <definedName name="_MAR99">#REF!</definedName>
    <definedName name="_MBY1299">#N/A</definedName>
    <definedName name="_md1">#REF!</definedName>
    <definedName name="_md10">#REF!</definedName>
    <definedName name="_md11">#REF!</definedName>
    <definedName name="_md12">#REF!</definedName>
    <definedName name="_md13">#REF!</definedName>
    <definedName name="_md14">#REF!</definedName>
    <definedName name="_md15">#REF!</definedName>
    <definedName name="_md2">#REF!</definedName>
    <definedName name="_md3">#REF!</definedName>
    <definedName name="_md4">#REF!</definedName>
    <definedName name="_md5">#REF!</definedName>
    <definedName name="_md6">#REF!</definedName>
    <definedName name="_md7">#REF!</definedName>
    <definedName name="_md8">#REF!</definedName>
    <definedName name="_md9">#REF!</definedName>
    <definedName name="_Mei97">#REF!</definedName>
    <definedName name="_met1_1">NA()</definedName>
    <definedName name="_met1_2">NA()</definedName>
    <definedName name="_met10_2">"#REF!"</definedName>
    <definedName name="_met10_3">"#REF!"</definedName>
    <definedName name="_met10_4">"#REF!"</definedName>
    <definedName name="_met10_5">"#REF!"</definedName>
    <definedName name="_met10_6">"#REF!"</definedName>
    <definedName name="_met10_7">"#REF!"</definedName>
    <definedName name="_met2_1">NA()</definedName>
    <definedName name="_met2_2">NA()</definedName>
    <definedName name="_met20_2">"#REF!"</definedName>
    <definedName name="_met20_3">"#REF!"</definedName>
    <definedName name="_met20_4">"#REF!"</definedName>
    <definedName name="_met20_5">"#REF!"</definedName>
    <definedName name="_met20_6">"#REF!"</definedName>
    <definedName name="_met20_7">"#REF!"</definedName>
    <definedName name="_met30_2">"#REF!"</definedName>
    <definedName name="_met30_3">"#REF!"</definedName>
    <definedName name="_met30_4">"#REF!"</definedName>
    <definedName name="_met30_5">"#REF!"</definedName>
    <definedName name="_met30_6">"#REF!"</definedName>
    <definedName name="_met30_7">"#REF!"</definedName>
    <definedName name="_mm1_1">"#REF!"</definedName>
    <definedName name="_mm1_2">"#REF!"</definedName>
    <definedName name="_mm1_3">"#REF!"</definedName>
    <definedName name="_mm1_4">"#REF!"</definedName>
    <definedName name="_mm1_5">"#REF!"</definedName>
    <definedName name="_mm2_1">"#REF!"</definedName>
    <definedName name="_mm2_2">"#REF!"</definedName>
    <definedName name="_mm2_3">"#REF!"</definedName>
    <definedName name="_mm2_4">"#REF!"</definedName>
    <definedName name="_mm2_5">"#REF!"</definedName>
    <definedName name="_mm3_1">"#REF!"</definedName>
    <definedName name="_mm3_2">"#REF!"</definedName>
    <definedName name="_mm3_3">"#REF!"</definedName>
    <definedName name="_mm3_4">"#REF!"</definedName>
    <definedName name="_mm3_5">"#REF!"</definedName>
    <definedName name="_mno9" hidden="1">{"detail",#N/A,FALSE,"mfg";"summary",#N/A,FALSE,"mfg"}</definedName>
    <definedName name="_monthly" hidden="1">12</definedName>
    <definedName name="_msl100">#REF!</definedName>
    <definedName name="_msl200">#REF!</definedName>
    <definedName name="_msl250">#REF!</definedName>
    <definedName name="_msl300">#REF!</definedName>
    <definedName name="_msl400">#REF!</definedName>
    <definedName name="_msl800">#REF!</definedName>
    <definedName name="_mth" hidden="1">12</definedName>
    <definedName name="_MTU1299">#N/A</definedName>
    <definedName name="_mui100">#REF!</definedName>
    <definedName name="_mui105">#REF!</definedName>
    <definedName name="_mui108">#REF!</definedName>
    <definedName name="_mui130">#REF!</definedName>
    <definedName name="_mui140">#REF!</definedName>
    <definedName name="_mui160">#REF!</definedName>
    <definedName name="_mui180">#REF!</definedName>
    <definedName name="_mui250">#REF!</definedName>
    <definedName name="_mui271">#REF!</definedName>
    <definedName name="_mui320">#REF!</definedName>
    <definedName name="_mui45">#REF!</definedName>
    <definedName name="_mui50">#REF!</definedName>
    <definedName name="_mui54">#REF!</definedName>
    <definedName name="_mui65">#REF!</definedName>
    <definedName name="_mui75">#REF!</definedName>
    <definedName name="_mui80">#REF!</definedName>
    <definedName name="_multi" hidden="1">5</definedName>
    <definedName name="_multistep" hidden="1">5</definedName>
    <definedName name="_N">NA()</definedName>
    <definedName name="_n360" hidden="1">4</definedName>
    <definedName name="_nam305" hidden="1">{"detail",#N/A,FALSE,"mfg";"summary",#N/A,FALSE,"mfg"}</definedName>
    <definedName name="_nasd30360" hidden="1">4</definedName>
    <definedName name="_nasd360" hidden="1">4</definedName>
    <definedName name="_NET2">#REF!</definedName>
    <definedName name="_new" hidden="1">#REF!</definedName>
    <definedName name="_new1" hidden="1">{#N/A,#N/A,FALSE,"Pharm";#N/A,#N/A,FALSE,"WWCM"}</definedName>
    <definedName name="_NN10">#REF!</definedName>
    <definedName name="_NN9">#REF!</definedName>
    <definedName name="_NNcc">#REF!</definedName>
    <definedName name="_no1">#REF!</definedName>
    <definedName name="_no2">#REF!</definedName>
    <definedName name="_no3">#REF!</definedName>
    <definedName name="_no4">#REF!</definedName>
    <definedName name="_no5">#REF!</definedName>
    <definedName name="_NO6">#REF!</definedName>
    <definedName name="_NO7">#REF!</definedName>
    <definedName name="_noneom" hidden="1">0</definedName>
    <definedName name="_NOR1299">#N/A</definedName>
    <definedName name="_OIL310106" hidden="1">{#N/A,#N/A,FALSE,"PMTABB";#N/A,#N/A,FALSE,"PMTABB"}</definedName>
    <definedName name="_OIL310701" hidden="1">{#N/A,#N/A,FALSE,"PMTABB";#N/A,#N/A,FALSE,"PMTABB"}</definedName>
    <definedName name="_Order1" hidden="1">255</definedName>
    <definedName name="_Order2" hidden="1">0</definedName>
    <definedName name="_OUT13300">#N/A</definedName>
    <definedName name="_OUT13502">#N/A</definedName>
    <definedName name="_out2">#REF!</definedName>
    <definedName name="_OUT41301">#N/A</definedName>
    <definedName name="_OUT85116">#N/A</definedName>
    <definedName name="_OUT85125">#N/A</definedName>
    <definedName name="_OUT86106">#N/A</definedName>
    <definedName name="_p_2">"#REF!"</definedName>
    <definedName name="_p_3">"#REF!"</definedName>
    <definedName name="_p_4">"#REF!"</definedName>
    <definedName name="_p_5">"#REF!"</definedName>
    <definedName name="_p_6">"#REF!"</definedName>
    <definedName name="_p_7">"#REF!"</definedName>
    <definedName name="_PA1">#REF!</definedName>
    <definedName name="_PA112">#REF!</definedName>
    <definedName name="_PAM1">#REF!</definedName>
    <definedName name="_Parse_In" hidden="1">#REF!</definedName>
    <definedName name="_Parse_Out" hidden="1">#REF!</definedName>
    <definedName name="_PG1">#REF!</definedName>
    <definedName name="_pg10">#REF!</definedName>
    <definedName name="_PG2">#REF!</definedName>
    <definedName name="_PG3">#REF!</definedName>
    <definedName name="_PG4">#REF!</definedName>
    <definedName name="_PG5">#REF!</definedName>
    <definedName name="_PG6">#REF!</definedName>
    <definedName name="_PG7">#REF!</definedName>
    <definedName name="_pg8">#REF!</definedName>
    <definedName name="_pg9">#REF!</definedName>
    <definedName name="_pik" hidden="1">6</definedName>
    <definedName name="_PL1">#REF!</definedName>
    <definedName name="_PL2">#REF!</definedName>
    <definedName name="_PL3">#REF!</definedName>
    <definedName name="_PL65" hidden="1">{"PAGE 1",#N/A,FALSE,"ES-01-XX";"PAGE 2",#N/A,FALSE,"ES-01-XX"}</definedName>
    <definedName name="_pp1" hidden="1">{#N/A,#N/A,FALSE,"Trends";#N/A,#N/A,FALSE,"As Reported";#N/A,#N/A,FALSE,"(un) Commited"}</definedName>
    <definedName name="_puc101" hidden="1">{#N/A,"PURCHM",FALSE,"Business Analysis";#N/A,"SPADD",FALSE,"Business Analysis"}</definedName>
    <definedName name="_puc102" hidden="1">{#N/A,"PURCHM",FALSE,"Business Analysis";#N/A,"SPADD",FALSE,"Business Analysis"}</definedName>
    <definedName name="_Q1" hidden="1">{#N/A,#N/A,FALSE,"CDA Plan"}</definedName>
    <definedName name="_QRA86106">#N/A</definedName>
    <definedName name="_qrt" hidden="1">4</definedName>
    <definedName name="_qry2002">#REF!</definedName>
    <definedName name="_qry2003">#REF!</definedName>
    <definedName name="_qry2004">#REF!</definedName>
    <definedName name="_quarterly" hidden="1">4</definedName>
    <definedName name="_r" hidden="1">{#N/A,#N/A,FALSE,"Pharm";#N/A,#N/A,FALSE,"WWCM"}</definedName>
    <definedName name="_RA1" hidden="1">{"'Jan-02'!$F$46:$F$47","'Jan-02'!$F$46:$F$47"}</definedName>
    <definedName name="_raj1">#REF!</definedName>
    <definedName name="_ram1" hidden="1">{#N/A,#N/A,FALSE,"gc (2)"}</definedName>
    <definedName name="_RAN1">#N/A</definedName>
    <definedName name="_RAN2">#REF!</definedName>
    <definedName name="_RAN3">#REF!</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gression_Int" hidden="1">1</definedName>
    <definedName name="_REP1">#REF!</definedName>
    <definedName name="_REP2">#REF!</definedName>
    <definedName name="_REP3">#REF!</definedName>
    <definedName name="_REP4">#REF!</definedName>
    <definedName name="_Report">"model"</definedName>
    <definedName name="_RMA1">#REF!</definedName>
    <definedName name="_RO1299">#N/A</definedName>
    <definedName name="_roe2">#REF!</definedName>
    <definedName name="_ROrder1">0</definedName>
    <definedName name="_round" hidden="1">0</definedName>
    <definedName name="_roundtrunc" hidden="1">0</definedName>
    <definedName name="_RT25" hidden="1">{#N/A,#N/A,FALSE,"Umsatz 99";#N/A,#N/A,FALSE,"ER 99 "}</definedName>
    <definedName name="_S_Base">{0.1;0;0.382758620689655;0;0;0;0.258620689655172;0;0.258620689655172}</definedName>
    <definedName name="_S_new_case">{0.1;0;0.45;0;0;0;0;0;0.45}</definedName>
    <definedName name="_s1">#REF!</definedName>
    <definedName name="_s34" hidden="1">{"QTD_GENERALH2",#N/A,FALSE,"QTD"}</definedName>
    <definedName name="_san4" hidden="1">{0,#N/A,TRUE,0;0,#N/A,TRUE,0}</definedName>
    <definedName name="_sat10">#REF!</definedName>
    <definedName name="_sat12">#REF!</definedName>
    <definedName name="_sat14">#REF!</definedName>
    <definedName name="_sat16">#REF!</definedName>
    <definedName name="_sat20">#REF!</definedName>
    <definedName name="_sat8">#REF!</definedName>
    <definedName name="_sd34" hidden="1">{"QTD",#N/A,FALSE,"SUM"}</definedName>
    <definedName name="_sdb2_2">"#REF!"</definedName>
    <definedName name="_sdb2_3">"#REF!"</definedName>
    <definedName name="_sdb2_4">"#REF!"</definedName>
    <definedName name="_sdb2_5">"#REF!"</definedName>
    <definedName name="_sdb2_6">"#REF!"</definedName>
    <definedName name="_sdb2_7">"#REF!"</definedName>
    <definedName name="_semi" hidden="1">2</definedName>
    <definedName name="_semiannual" hidden="1">2</definedName>
    <definedName name="_SEP30">#REF!</definedName>
    <definedName name="_SG7">#REF!</definedName>
    <definedName name="_SG8">#REF!,#REF!</definedName>
    <definedName name="_SGA2" hidden="1">{"Page 1",#N/A,TRUE,"Sheet1";"Page 2",#N/A,TRUE,"Sheet1"}</definedName>
    <definedName name="_SH3">#N/A</definedName>
    <definedName name="_singlestep" hidden="1">4</definedName>
    <definedName name="_Sort" hidden="1">#REF!</definedName>
    <definedName name="_SOU1299">#N/A</definedName>
    <definedName name="_ss1" hidden="1">{"detail",#N/A,FALSE,"mfg";"summary",#N/A,FALSE,"mfg"}</definedName>
    <definedName name="_SSK1" hidden="1">{#N/A,#N/A,FALSE,"COMP"}</definedName>
    <definedName name="_step" hidden="1">4</definedName>
    <definedName name="_sti02" hidden="1">{#N/A,#N/A,FALSE,"gc (2)"}</definedName>
    <definedName name="_sua20">#REF!</definedName>
    <definedName name="_sua30">#REF!</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hidden="1">{#N/A,#N/A,TRUE,"Financials";#N/A,#N/A,TRUE,"Operating Statistics";#N/A,#N/A,TRUE,"Capex &amp; Depreciation";#N/A,#N/A,TRUE,"Debt"}</definedName>
    <definedName name="_tab1">#REF!</definedName>
    <definedName name="_TAB2">#REF!</definedName>
    <definedName name="_tab3">#REF!</definedName>
    <definedName name="_Table1_In1" hidden="1">#REF!</definedName>
    <definedName name="_Table2_In1" hidden="1">#REF!</definedName>
    <definedName name="_Table2_In2" hidden="1">#REF!</definedName>
    <definedName name="_Table2_Out" hidden="1">#REF!</definedName>
    <definedName name="_tax3">#REF!</definedName>
    <definedName name="_tb1" hidden="1">{#N/A,#N/A,FALSE,"One Pager";#N/A,#N/A,FALSE,"Technical"}</definedName>
    <definedName name="_tb2">#REF!</definedName>
    <definedName name="_tm1" hidden="1">{#N/A,#N/A,FALSE,"Pharm";#N/A,#N/A,FALSE,"WWCM"}</definedName>
    <definedName name="_TOT1">#REF!</definedName>
    <definedName name="_trc1">City&amp;" "&amp;State</definedName>
    <definedName name="_us30360" hidden="1">2</definedName>
    <definedName name="_USA" hidden="1">2</definedName>
    <definedName name="_usagency" hidden="1">2</definedName>
    <definedName name="_USC" hidden="1">4</definedName>
    <definedName name="_uscorp" hidden="1">4</definedName>
    <definedName name="_uscorporate" hidden="1">4</definedName>
    <definedName name="_USM" hidden="1">3</definedName>
    <definedName name="_usmuni" hidden="1">3</definedName>
    <definedName name="_usmunicipal" hidden="1">3</definedName>
    <definedName name="_UST" hidden="1">1</definedName>
    <definedName name="_ustreasury" hidden="1">1</definedName>
    <definedName name="_V" hidden="1">{"Page 1",#N/A,TRUE,"Sheet1";"Page 2",#N/A,TRUE,"Sheet1"}</definedName>
    <definedName name="_V2" hidden="1">{#N/A,#N/A,FALSE,"Tabl. A1";#N/A,#N/A,FALSE,"Tabl. A1 b";#N/A,#N/A,FALSE,"Tabl. A2";#N/A,#N/A,FALSE,"Tabl. A2-1";#N/A,#N/A,FALSE,"Tabl. A2-2"}</definedName>
    <definedName name="_VAR13300">#N/A</definedName>
    <definedName name="_VAR13502">#N/A</definedName>
    <definedName name="_vbt150">#REF!</definedName>
    <definedName name="_vbt200">#REF!</definedName>
    <definedName name="_vbt210">#REF!</definedName>
    <definedName name="_vbt300">#REF!</definedName>
    <definedName name="_vbt400">#REF!</definedName>
    <definedName name="_vxm100">#REF!</definedName>
    <definedName name="_vxm300">#REF!</definedName>
    <definedName name="_vxm500">#REF!</definedName>
    <definedName name="_vxm75">#REF!</definedName>
    <definedName name="_W" hidden="1">{#N/A,#N/A,FALSE,"Fmoh-Vmoh 2002";#N/A,#N/A,FALSE,"Fmoh-Vmoh 2002"}</definedName>
    <definedName name="_w1" hidden="1">{"PVGraph2",#N/A,FALSE,"PV Data"}</definedName>
    <definedName name="_w11" hidden="1">{"PVGraph2",#N/A,FALSE,"PV Data"}</definedName>
    <definedName name="_w112" hidden="1">{"PVGraph2",#N/A,FALSE,"PV Data"}</definedName>
    <definedName name="_w1121" hidden="1">{"PVGraph2",#N/A,FALSE,"PV Data"}</definedName>
    <definedName name="_w12" hidden="1">{"PVGraph2",#N/A,FALSE,"PV Data"}</definedName>
    <definedName name="_w121" hidden="1">{"PVGraph2",#N/A,FALSE,"PV Data"}</definedName>
    <definedName name="_w12345" hidden="1">{"PVGraph2",#N/A,FALSE,"PV Data"}</definedName>
    <definedName name="_w13" hidden="1">{"PVGraph2",#N/A,FALSE,"PV Data"}</definedName>
    <definedName name="_w2" hidden="1">{"PVGraph2",#N/A,FALSE,"PV Data"}</definedName>
    <definedName name="_w3" hidden="1">{"PVGraph2",#N/A,FALSE,"PV Data"}</definedName>
    <definedName name="_w9" hidden="1">{"PVGraph2",#N/A,FALSE,"PV Data"}</definedName>
    <definedName name="_wrn071" hidden="1">{#N/A,"PURCHM",FALSE,"Business Analysis";#N/A,"SPADD",FALSE,"Business Analysis"}</definedName>
    <definedName name="_wrn1" hidden="1">{#N/A,#N/A,FALSE,"DCF";#N/A,#N/A,FALSE,"WACC";#N/A,#N/A,FALSE,"Sales_EBIT";#N/A,#N/A,FALSE,"Capex_Depreciation";#N/A,#N/A,FALSE,"WC";#N/A,#N/A,FALSE,"Interest";#N/A,#N/A,FALSE,"Assumptions"}</definedName>
    <definedName name="_wrn213" hidden="1">{"detail",#N/A,FALSE,"mfg";"summary",#N/A,FALSE,"mfg"}</definedName>
    <definedName name="_WRN41" hidden="1">{"detail",#N/A,FALSE,"mfg";"summary",#N/A,FALSE,"mfg"}</definedName>
    <definedName name="_wrn413" hidden="1">{"detail",#N/A,FALSE,"mfg";"summary",#N/A,FALSE,"mfg"}</definedName>
    <definedName name="_wrn51" hidden="1">{#N/A,"PURCHM",FALSE,"Business Analysis";#N/A,"SPADD",FALSE,"Business Analysis"}</definedName>
    <definedName name="_wrn61" hidden="1">{"detail",#N/A,FALSE,"mfg";"summary",#N/A,FALSE,"mfg"}</definedName>
    <definedName name="_wrn651" hidden="1">{"detail",#N/A,FALSE,"mfg";"summary",#N/A,FALSE,"mfg"}</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www" hidden="1">{#N/A,#N/A,FALSE,"DCF";#N/A,#N/A,FALSE,"WACC";#N/A,#N/A,FALSE,"Sales_EBIT";#N/A,#N/A,FALSE,"Capex_Depreciation";#N/A,#N/A,FALSE,"WC";#N/A,#N/A,FALSE,"Interest";#N/A,#N/A,FALSE,"Assumptions"}</definedName>
    <definedName name="_x1" hidden="1">{"detail",#N/A,FALSE,"mfg";"summary",#N/A,FALSE,"mfg"}</definedName>
    <definedName name="_X2" hidden="1">{#N/A,#N/A,FALSE,"Other";#N/A,#N/A,FALSE,"Ace";#N/A,#N/A,FALSE,"Derm"}</definedName>
    <definedName name="_x3" hidden="1">{"detail",#N/A,FALSE,"mfg";"summary",#N/A,FALSE,"mfg"}</definedName>
    <definedName name="_x4" hidden="1">{#N/A,"PURCHM",FALSE,"Business Analysis";#N/A,"SPADD",FALSE,"Business Analysis"}</definedName>
    <definedName name="_x5" hidden="1">{#N/A,"PURADD",FALSE,"Business Analysis";#N/A,"PURSPP",FALSE,"Business Analysis";#N/A,"CTGIND",FALSE,"Business Analysis";#N/A,"PURCHM",FALSE,"Business Analysis";#N/A,"SPADD",FALSE,"Business Analysis";#N/A,"EPOXY",FALSE,"Business Analysis";#N/A,"PURPER",FALSE,"Business Analysis"}</definedName>
    <definedName name="_xkd" hidden="1">{"Page 1",#N/A,TRUE,"Sheet1";"Page 2",#N/A,TRUE,"Sheet1"}</definedName>
    <definedName name="_xx1" hidden="1">{#N/A,#N/A,FALSE,"CMN_FE"}</definedName>
    <definedName name="_xx10" hidden="1">{#N/A,"PURCHM",FALSE,"Business Analysis";#N/A,"SPADD",FALSE,"Business Analysis"}</definedName>
    <definedName name="_xx3" hidden="1">{"detail",#N/A,FALSE,"mfg";"summary",#N/A,FALSE,"mfg"}</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hidden="1">{"oct_res_comm",#N/A,FALSE,"VarToBud"}</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hidden="1">{"AS REP",#N/A,FALSE,"EEFSNAP2";"PROP",#N/A,FALSE,"EEFSNAP2";"RISKS",#N/A,FALSE,"EEFSNAP2";"VIEW ALL",#N/A,FALSE,"EEFSNAP2"}</definedName>
    <definedName name="_xxx">#REF!</definedName>
    <definedName name="_y2" hidden="1">{"PVGraph2",#N/A,FALSE,"PV Data"}</definedName>
    <definedName name="_y22" hidden="1">{"PVGraph2",#N/A,FALSE,"PV Data"}</definedName>
    <definedName name="_YP34">#REF!</definedName>
    <definedName name="_yyy">#REF!</definedName>
    <definedName name="_z_2">NA()</definedName>
    <definedName name="_z_3">NA()</definedName>
    <definedName name="_Z04" hidden="1">{#N/A,#N/A,FALSE,"Australia";#N/A,#N/A,FALSE,"Austria";#N/A,#N/A,FALSE,"Belgium";#N/A,#N/A,FALSE,"Canada";#N/A,#N/A,FALSE,"France";#N/A,#N/A,FALSE,"Germany";#N/A,#N/A,FALSE,"Hong Kong";#N/A,#N/A,FALSE,"Italy";#N/A,#N/A,FALSE,"Japan";#N/A,#N/A,FALSE,"Korea";#N/A,#N/A,FALSE,"Mexico";#N/A,#N/A,FALSE,"Poland";#N/A,#N/A,FALSE,"Spain";#N/A,#N/A,FALSE,"Switzerland";#N/A,#N/A,FALSE,"UK"}</definedName>
    <definedName name="_Z05" hidden="1">{#N/A,#N/A,FALSE,"Australia";#N/A,#N/A,FALSE,"Austria";#N/A,#N/A,FALSE,"Belgium";#N/A,#N/A,FALSE,"Canada";#N/A,#N/A,FALSE,"France";#N/A,#N/A,FALSE,"Germany";#N/A,#N/A,FALSE,"Hong Kong";#N/A,#N/A,FALSE,"Italy";#N/A,#N/A,FALSE,"Japan";#N/A,#N/A,FALSE,"Korea";#N/A,#N/A,FALSE,"Mexico";#N/A,#N/A,FALSE,"Poland";#N/A,#N/A,FALSE,"Spain";#N/A,#N/A,FALSE,"Switzerland";#N/A,#N/A,FALSE,"UK"}</definedName>
    <definedName name="_z12" hidden="1">{"pro_view",#N/A,FALSE,"EEFSNAP2";"rep_view",#N/A,FALSE,"EEFSNAP2"}</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hidden="1">{"detail",#N/A,FALSE,"mfg";"summary",#N/A,FALSE,"mfg"}</definedName>
    <definedName name="_Zaaleswork">{0;0;0;0;1;#N/A;0.25;0.25;0.5;0.25;2;FALSE;FALSE;FALSE;FALSE;FALSE;#N/A;1;72;#N/A;#N/A;"&amp;L&amp;7 RAMIBD04\GROUPS\M&amp;A\GORMAN\SPONSORS\MODEL\NEWMOD_1.XLS -- &amp;D, &amp;T -- Page &amp;P of &amp;N
&amp;7";"&amp;R&amp;""Times New Roman,Italic""&amp;7&amp;F; &amp;D; &amp;T; page &amp;P of &amp;N"}</definedName>
    <definedName name="_Zbaladj">{0;0;0;0;1;1;0;0;0;0;2;FALSE;FALSE;FALSE;FALSE;FALSE;#N/A;1;#N/A;1;1;"";""}</definedName>
    <definedName name="_ZEV">{0;0;0;0;1;#N/A;0.75;0.75;1;1;1;FALSE;FALSE;FALSE;FALSE;FALSE;#N/A;1;100;#N/A;#N/A;"&amp;A";"Page &amp;P"}</definedName>
    <definedName name="_Zmodel">{0;0;0;0;1;1;0.25;0.25;0.75;0.25;2;FALSE;FALSE;FALSE;FALSE;FALSE;#N/A;1;75;#N/A;#N/A;"";""}</definedName>
    <definedName name="_Znotes">{0;0;0;0;1;1;0;0;0.35;0.3;2;FALSE;FALSE;FALSE;FALSE;FALSE;#N/A;1;100;#N/A;#N/A;"";""}</definedName>
    <definedName name="_ZPage_6">{0;0;0;0;1;#N/A;0.5;0.5;0.5;0.5;2;TRUE;FALSE;FALSE;FALSE;FALSE;#N/A;1;#N/A;1;1;"&amp;R&amp;""Times New Roman,Italic""&amp;8 18b/groups/tele/quigley/teletrac/basemdl.xls&amp;""Arial,Regular""&amp;10
&amp;""Times New Roman,Bold""&amp;D  &amp;T";""}</definedName>
    <definedName name="_ZPage_7">{0;0;0;0;1;#N/A;0.5;0.5;0.5;0.5;2;TRUE;FALSE;FALSE;FALSE;FALSE;#N/A;1;#N/A;1;1;"&amp;R&amp;""Times New Roman,Italic""&amp;8 18b/groups/tele/quigley/teletrac/basemdl.xls&amp;""Arial,Regular""&amp;10
&amp;""Times New Roman,Bold""&amp;D  &amp;T";""}</definedName>
    <definedName name="_Zpage4">{0;0;0;0;1;1;0;0;0.6;0.3;2;FALSE;FALSE;FALSE;FALSE;FALSE;#N/A;1;100;#N/A;#N/A;"";""}</definedName>
    <definedName name="_Zsummary">{0;0;0;0;1;1;0.85;0.87;0.5;0.5;1;FALSE;FALSE;FALSE;FALSE;FALSE;#N/A;1;100;#N/A;#N/A;"";""}</definedName>
    <definedName name="_Zwhole_model">{0;0;0;0;1;1;0.25;0;0.75;0.5;2;FALSE;FALSE;FALSE;FALSE;FALSE;#N/A;1;77;#N/A;#N/A;"";""}</definedName>
    <definedName name="_Zwholemodel">{0;0;0;0;1;1;0.25;0;0.75;0.5;2;FALSE;FALSE;FALSE;FALSE;FALSE;#N/A;1;77;#N/A;#N/A;"";""}</definedName>
    <definedName name="_zz1" hidden="1">{"pro_view",#N/A,FALSE,"EEFSNAP2";"rep_view",#N/A,FALSE,"EEFSNAP2"}</definedName>
    <definedName name="_zz2" hidden="1">{#N/A,"PURADD",FALSE,"Business Analysis";#N/A,"PURSPP",FALSE,"Business Analysis";#N/A,"CTGIND",FALSE,"Business Analysis";#N/A,"PURCHM",FALSE,"Business Analysis";#N/A,"SPADD",FALSE,"Business Analysis";#N/A,"EPOXY",FALSE,"Business Analysis";#N/A,"PURPER",FALSE,"Business Analysis"}</definedName>
    <definedName name="_zzzz">#REF!</definedName>
    <definedName name="a" hidden="1">{#N/A,#N/A,FALSE,"Umsatz 99";#N/A,#N/A,FALSE,"ER 99 "}</definedName>
    <definedName name="a_1" hidden="1">{#N/A,#N/A,FALSE,"PMTABB";#N/A,#N/A,FALSE,"PMTABB"}</definedName>
    <definedName name="A_2">#REF!</definedName>
    <definedName name="A_2A">#REF!</definedName>
    <definedName name="A_2B">#REF!</definedName>
    <definedName name="A_2C">#REF!</definedName>
    <definedName name="A_2D30G">#REF!</definedName>
    <definedName name="A_2D514">#REF!</definedName>
    <definedName name="A_2D536">#REF!</definedName>
    <definedName name="A_2E">#REF!</definedName>
    <definedName name="A_2F03">#REF!</definedName>
    <definedName name="A_2F13">#REF!</definedName>
    <definedName name="A_2F14">#REF!</definedName>
    <definedName name="A_2F15">#REF!</definedName>
    <definedName name="A_2F20">#REF!</definedName>
    <definedName name="A_2F31">#REF!</definedName>
    <definedName name="A_2F41">#REF!</definedName>
    <definedName name="A_2F51">#REF!</definedName>
    <definedName name="A_2F53">#REF!</definedName>
    <definedName name="A_2YA21">#REF!</definedName>
    <definedName name="A_2YA22">#REF!</definedName>
    <definedName name="A_2YA24">#REF!</definedName>
    <definedName name="A_2YA31">#REF!</definedName>
    <definedName name="A_2YA32">#REF!</definedName>
    <definedName name="A_2YA33">#REF!</definedName>
    <definedName name="A_2YA34">#REF!</definedName>
    <definedName name="A_2YA4">#REF!</definedName>
    <definedName name="A_2YP1">#REF!</definedName>
    <definedName name="A_2YP2">#REF!</definedName>
    <definedName name="A_2YP31">#REF!</definedName>
    <definedName name="A_2YP32">#REF!</definedName>
    <definedName name="A_2YP33">#REF!</definedName>
    <definedName name="A_2YP34">#REF!</definedName>
    <definedName name="A_2YP4">#REF!</definedName>
    <definedName name="a_3">"#REF!"</definedName>
    <definedName name="a_4">"#REF!"</definedName>
    <definedName name="a_5">"#REF!"</definedName>
    <definedName name="a_6">"#REF!"</definedName>
    <definedName name="a_7">"#REF!"</definedName>
    <definedName name="a0_2">"#REF!"</definedName>
    <definedName name="a0_3">"#REF!"</definedName>
    <definedName name="a0_4">"#REF!"</definedName>
    <definedName name="a0_5">"#REF!"</definedName>
    <definedName name="a0_6">"#REF!"</definedName>
    <definedName name="a0_7">"#REF!"</definedName>
    <definedName name="A1__2">"#REF!"</definedName>
    <definedName name="A1__3">"#REF!"</definedName>
    <definedName name="A1__4">"#REF!"</definedName>
    <definedName name="A1__5">"#REF!"</definedName>
    <definedName name="A1__6">"#REF!"</definedName>
    <definedName name="A1__7">"#REF!"</definedName>
    <definedName name="A10__2">"#REF!"</definedName>
    <definedName name="A10__3">"#REF!"</definedName>
    <definedName name="A10__4">"#REF!"</definedName>
    <definedName name="A10__5">"#REF!"</definedName>
    <definedName name="A10__6">"#REF!"</definedName>
    <definedName name="A10__7">"#REF!"</definedName>
    <definedName name="A11A" hidden="1">{#N/A,#N/A,FALSE,"Umsatz 99";#N/A,#N/A,FALSE,"ER 99 "}</definedName>
    <definedName name="A13__2">"#REF!"</definedName>
    <definedName name="A13__3">"#REF!"</definedName>
    <definedName name="A13__4">"#REF!"</definedName>
    <definedName name="A13__5">"#REF!"</definedName>
    <definedName name="A13__6">"#REF!"</definedName>
    <definedName name="A13__7">"#REF!"</definedName>
    <definedName name="a1a" hidden="1">{#N/A,"PURCHM",FALSE,"Business Analysis";#N/A,"SPADD",FALSE,"Business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2__2">"#REF!"</definedName>
    <definedName name="A2__3">"#REF!"</definedName>
    <definedName name="A2__4">"#REF!"</definedName>
    <definedName name="A2__5">"#REF!"</definedName>
    <definedName name="A2__6">"#REF!"</definedName>
    <definedName name="A2__7">"#REF!"</definedName>
    <definedName name="a277Print_Titles">#REF!</definedName>
    <definedName name="a2a" hidden="1">{"detail",#N/A,FALSE,"mfg";"summary",#N/A,FALSE,"mfg"}</definedName>
    <definedName name="A3__2">"#REF!"</definedName>
    <definedName name="A3__3">"#REF!"</definedName>
    <definedName name="A3__4">"#REF!"</definedName>
    <definedName name="A3__5">"#REF!"</definedName>
    <definedName name="A3__6">"#REF!"</definedName>
    <definedName name="A3__7">"#REF!"</definedName>
    <definedName name="A4__2">"#REF!"</definedName>
    <definedName name="A4__3">"#REF!"</definedName>
    <definedName name="A4__4">"#REF!"</definedName>
    <definedName name="A4__5">"#REF!"</definedName>
    <definedName name="A4__6">"#REF!"</definedName>
    <definedName name="A4__7">"#REF!"</definedName>
    <definedName name="A5__2">"#REF!"</definedName>
    <definedName name="A5__3">"#REF!"</definedName>
    <definedName name="A5__4">"#REF!"</definedName>
    <definedName name="A5__5">"#REF!"</definedName>
    <definedName name="A5__6">"#REF!"</definedName>
    <definedName name="A5__7">"#REF!"</definedName>
    <definedName name="A6__2">"#REF!"</definedName>
    <definedName name="A6__3">"#REF!"</definedName>
    <definedName name="A6__4">"#REF!"</definedName>
    <definedName name="A6__5">"#REF!"</definedName>
    <definedName name="A6__6">"#REF!"</definedName>
    <definedName name="A6__7">"#REF!"</definedName>
    <definedName name="A7__2">"#REF!"</definedName>
    <definedName name="A7__3">"#REF!"</definedName>
    <definedName name="A7__4">"#REF!"</definedName>
    <definedName name="A7__5">"#REF!"</definedName>
    <definedName name="A7__6">"#REF!"</definedName>
    <definedName name="A7__7">"#REF!"</definedName>
    <definedName name="A8__2">"#REF!"</definedName>
    <definedName name="A8__3">"#REF!"</definedName>
    <definedName name="A8__4">"#REF!"</definedName>
    <definedName name="A8__5">"#REF!"</definedName>
    <definedName name="A8__6">"#REF!"</definedName>
    <definedName name="A8__7">"#REF!"</definedName>
    <definedName name="A9__2">"#REF!"</definedName>
    <definedName name="A9__3">"#REF!"</definedName>
    <definedName name="A9__4">"#REF!"</definedName>
    <definedName name="A9__5">"#REF!"</definedName>
    <definedName name="A9__6">"#REF!"</definedName>
    <definedName name="A9__7">"#REF!"</definedName>
    <definedName name="aa" hidden="1">{#N/A,"PURADD",FALSE,"Business Analysis";#N/A,"PURSPP",FALSE,"Business Analysis";#N/A,"CTGIND",FALSE,"Business Analysis";#N/A,"PURCHM",FALSE,"Business Analysis";#N/A,"SPADD",FALSE,"Business Analysis";#N/A,"EPOXY",FALSE,"Business Analysis";#N/A,"PURPER",FALSE,"Business Analysis"}</definedName>
    <definedName name="aa_1">NA()</definedName>
    <definedName name="aa_2">NA()</definedName>
    <definedName name="aa_3">NA()</definedName>
    <definedName name="aa_4">NA()</definedName>
    <definedName name="aa_5">NA()</definedName>
    <definedName name="aaa"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äää" hidden="1">{#N/A,#N/A,FALSE,"Umsatz 99";#N/A,#N/A,FALSE,"ER 99 "}</definedName>
    <definedName name="aaa_1">"#REF!"</definedName>
    <definedName name="aaa_2">"#REF!"</definedName>
    <definedName name="aaa_3">"#REF!"</definedName>
    <definedName name="aaa_4">"#REF!"</definedName>
    <definedName name="aaa_5">"#REF!"</definedName>
    <definedName name="AAA_DOCTOPS" hidden="1">"AAA_SET"</definedName>
    <definedName name="AAA_duser" hidden="1">"OFF"</definedName>
    <definedName name="aaaa" hidden="1">{#N/A,#N/A,FALSE,"REPORT"}</definedName>
    <definedName name="AAAA222" hidden="1">{"Page 1",#N/A,TRUE,"Sheet1";"Page 2",#N/A,TRUE,"Sheet1"}</definedName>
    <definedName name="aaaaa" hidden="1">{#N/A,#N/A,FALSE,"REPORT"}</definedName>
    <definedName name="aaaaaa" hidden="1">{#N/A,#N/A,FALSE,"REPORT"}</definedName>
    <definedName name="aaaaaaa" hidden="1">{#N/A,#N/A,FALSE,"REPORT"}</definedName>
    <definedName name="aaaaaaaaa" hidden="1">{#N/A,"PURCHM",FALSE,"Business Analysis";#N/A,"SPADD",FALSE,"Business Analysis"}</definedName>
    <definedName name="aaaaaaaaaa" hidden="1">{#N/A,#N/A,FALSE,"Umsatz 99";#N/A,#N/A,FALSE,"ER 99 "}</definedName>
    <definedName name="aaaaaaaaaaa" hidden="1">{#N/A,#N/A,FALSE,"REPORT"}</definedName>
    <definedName name="AAAAAAAAAAAA" hidden="1">{#N/A,#N/A,FALSE,"Tabl. A1";#N/A,#N/A,FALSE,"Tabl. A1 b";#N/A,#N/A,FALSE,"Tabl. A2";#N/A,#N/A,FALSE,"Tabl. A2-1";#N/A,#N/A,FALSE,"Tabl. A2-2"}</definedName>
    <definedName name="aaaaaaaaaaaaaaa" hidden="1">{#N/A,#N/A,FALSE,"Pharm";#N/A,#N/A,FALSE,"WWCM"}</definedName>
    <definedName name="aaaaaaaaaaaaaaaaa" hidden="1">{#N/A,"PURCHM",FALSE,"Business Analysis";#N/A,"SPADD",FALSE,"Business Analysis"}</definedName>
    <definedName name="aaaaaaaaaaaaaaaaaaaaaaaaaa" hidden="1">{"detail",#N/A,FALSE,"mfg";"summary",#N/A,FALSE,"mfg"}</definedName>
    <definedName name="aaaaab" hidden="1">{#N/A,#N/A,FALSE,"Model";#N/A,#N/A,FALSE,"Division"}</definedName>
    <definedName name="aaaaabb" hidden="1">{#N/A,#N/A,FALSE,"CDA Plan"}</definedName>
    <definedName name="äääööö" hidden="1">{#N/A,#N/A,FALSE,"Umsatz EO BP";#N/A,#N/A,FALSE,"Umsatz EO OP";#N/A,#N/A,FALSE,"ER EO BP";#N/A,#N/A,FALSE,"ER EO OP";#N/A,#N/A,FALSE,"EA EO (2)";#N/A,#N/A,FALSE,"EA EO";#N/A,#N/A,FALSE,"EA EO (3)";#N/A,#N/A,FALSE,"EA EO (4)";#N/A,#N/A,FALSE,"KA EO  (2)";#N/A,#N/A,FALSE,"KA EO";#N/A,#N/A,FALSE,"KA EO  (3)";#N/A,#N/A,FALSE,"KA EO (4)"}</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d" hidden="1">{#N/A,#N/A,FALSE,"REPORT"}</definedName>
    <definedName name="aas" hidden="1">{#N/A,#N/A,FALSE,"1";#N/A,#N/A,FALSE,"2";#N/A,#N/A,FALSE,"16 - 17";#N/A,#N/A,FALSE,"18 - 19";#N/A,#N/A,FALSE,"26";#N/A,#N/A,FALSE,"27";#N/A,#N/A,FALSE,"28"}</definedName>
    <definedName name="aasdfd">#N/A</definedName>
    <definedName name="aass" hidden="1">{"detail",#N/A,FALSE,"mfg";"summary",#N/A,FALSE,"mfg"}</definedName>
    <definedName name="aaww" hidden="1">{"Polymers Details",#N/A,FALSE,"Current Yr";"Polymer Details",#N/A,FALSE,"Budget";"Polymer Details",#N/A,FALSE,"Prior Year"}</definedName>
    <definedName name="aax" hidden="1">{"detail",#N/A,FALSE,"mfg";"summary",#N/A,FALSE,"mfg"}</definedName>
    <definedName name="AAZAZER" hidden="1">{#N/A,#N/A,FALSE,"Tabl. A1";#N/A,#N/A,FALSE,"Tabl. A1 b";#N/A,#N/A,FALSE,"Tabl. A2";#N/A,#N/A,FALSE,"Tabl. A2-1";#N/A,#N/A,FALSE,"Tabl. A2-2"}</definedName>
    <definedName name="ab" hidden="1">{#N/A,#N/A,FALSE,"Aging Summary";#N/A,#N/A,FALSE,"Ratio Analysis";#N/A,#N/A,FALSE,"Test 120 Day Accts";#N/A,#N/A,FALSE,"Tickmarks"}</definedName>
    <definedName name="ab_1" hidden="1">{#N/A,#N/A,FALSE,"FREE"}</definedName>
    <definedName name="ab_2" hidden="1">{#N/A,#N/A,FALSE,"FREE"}</definedName>
    <definedName name="ab_3" hidden="1">{#N/A,#N/A,FALSE,"FREE"}</definedName>
    <definedName name="ab_4" hidden="1">{#N/A,#N/A,FALSE,"FREE"}</definedName>
    <definedName name="abab" hidden="1">{"Co1statements",#N/A,FALSE,"Cmpy1";"Co2statement",#N/A,FALSE,"Cmpy2";"co1pm",#N/A,FALSE,"Co1PM";"co2PM",#N/A,FALSE,"Co2PM";"value",#N/A,FALSE,"value";"opco",#N/A,FALSE,"NewSparkle";"adjusts",#N/A,FALSE,"Adjustments"}</definedName>
    <definedName name="abase">#REF!</definedName>
    <definedName name="ABC">{"Client Name or Project Name"}</definedName>
    <definedName name="abc0mq" hidden="1">{#N/A,"PURCHM",FALSE,"Business Analysis";#N/A,"SPADD",FALSE,"Business Analysis"}</definedName>
    <definedName name="abc0nks" hidden="1">{"detail",#N/A,FALSE,"mfg";"summary",#N/A,FALSE,"mfg"}</definedName>
    <definedName name="abc101a" hidden="1">{#N/A,"PURCHM",FALSE,"Business Analysis";#N/A,"SPADD",FALSE,"Business Analysis"}</definedName>
    <definedName name="abc109a" hidden="1">{"detail",#N/A,FALSE,"mfg";"summary",#N/A,FALSE,"mfg"}</definedName>
    <definedName name="abc11a" hidden="1">{"detail",#N/A,FALSE,"mfg";"summary",#N/A,FALSE,"mfg"}</definedName>
    <definedName name="abc11ab" hidden="1">{#N/A,"PURCHM",FALSE,"Business Analysis";#N/A,"SPADD",FALSE,"Business Analysis"}</definedName>
    <definedName name="abc12a" hidden="1">{"detail",#N/A,FALSE,"mfg";"summary",#N/A,FALSE,"mfg"}</definedName>
    <definedName name="abc13a" hidden="1">{"detail",#N/A,FALSE,"mfg";"summary",#N/A,FALSE,"mfg"}</definedName>
    <definedName name="abc14a" hidden="1">{"detail",#N/A,FALSE,"mfg";"summary",#N/A,FALSE,"mfg"}</definedName>
    <definedName name="abc1b" hidden="1">{#N/A,"PURCHM",FALSE,"Business Analysis";#N/A,"SPADD",FALSE,"Business Analysis"}</definedName>
    <definedName name="abc200a" hidden="1">{"detail",#N/A,FALSE,"mfg";"summary",#N/A,FALSE,"mfg"}</definedName>
    <definedName name="abc202a" hidden="1">{"detail",#N/A,FALSE,"mfg";"summary",#N/A,FALSE,"mfg"}</definedName>
    <definedName name="abc202b" hidden="1">{#N/A,"PURCHM",FALSE,"Business Analysis";#N/A,"SPADD",FALSE,"Business Analysis"}</definedName>
    <definedName name="abc213a" hidden="1">{"detail",#N/A,FALSE,"mfg";"summary",#N/A,FALSE,"mfg"}</definedName>
    <definedName name="abc2a" hidden="1">{"detail",#N/A,FALSE,"mfg";"summary",#N/A,FALSE,"mfg"}</definedName>
    <definedName name="abc312b" hidden="1">{"detail",#N/A,FALSE,"mfg";"summary",#N/A,FALSE,"mfg"}</definedName>
    <definedName name="abc31a" hidden="1">{"detail",#N/A,FALSE,"mfg";"summary",#N/A,FALSE,"mfg"}</definedName>
    <definedName name="abc32b" hidden="1">{"detail",#N/A,FALSE,"mfg";"summary",#N/A,FALSE,"mfg"}</definedName>
    <definedName name="abc35b" hidden="1">{"detail",#N/A,FALSE,"mfg";"summary",#N/A,FALSE,"mfg"}</definedName>
    <definedName name="abc36b" hidden="1">{"detail",#N/A,FALSE,"mfg";"summary",#N/A,FALSE,"mfg"}</definedName>
    <definedName name="abc37b" hidden="1">{"detail",#N/A,FALSE,"mfg";"summary",#N/A,FALSE,"mfg"}</definedName>
    <definedName name="abc38b" hidden="1">{"detail",#N/A,FALSE,"mfg";"summary",#N/A,FALSE,"mfg"}</definedName>
    <definedName name="abc41b" hidden="1">{"detail",#N/A,FALSE,"mfg";"summary",#N/A,FALSE,"mfg"}</definedName>
    <definedName name="abc42b" hidden="1">{"detail",#N/A,FALSE,"mfg";"summary",#N/A,FALSE,"mfg"}</definedName>
    <definedName name="abc51b" hidden="1">{"detail",#N/A,FALSE,"mfg";"summary",#N/A,FALSE,"mfg"}</definedName>
    <definedName name="abc61b" hidden="1">{"detail",#N/A,FALSE,"mfg";"summary",#N/A,FALSE,"mfg"}</definedName>
    <definedName name="abc67v" hidden="1">{#N/A,"PURCHM",FALSE,"Business Analysis";#N/A,"SPADD",FALSE,"Business Analysis"}</definedName>
    <definedName name="abc71b" hidden="1">{"detail",#N/A,FALSE,"mfg";"summary",#N/A,FALSE,"mfg"}</definedName>
    <definedName name="abc9bn" hidden="1">{"detail",#N/A,FALSE,"mfg";"summary",#N/A,FALSE,"mfg"}</definedName>
    <definedName name="abc9er" hidden="1">{"detail",#N/A,FALSE,"mfg";"summary",#N/A,FALSE,"mfg"}</definedName>
    <definedName name="abc9kn" hidden="1">{"detail",#N/A,FALSE,"mfg";"summary",#N/A,FALSE,"mfg"}</definedName>
    <definedName name="abca312" hidden="1">{"detail",#N/A,FALSE,"mfg";"summary",#N/A,FALSE,"mfg"}</definedName>
    <definedName name="abca312b" hidden="1">{"detail",#N/A,FALSE,"mfg";"summary",#N/A,FALSE,"mfg"}</definedName>
    <definedName name="ABCD">{"Client Name or Project Name"}</definedName>
    <definedName name="abcd_1">"#REF!"</definedName>
    <definedName name="abcd1" hidden="1">{#N/A,"PURCHM",FALSE,"Business Analysis";#N/A,"SPADD",FALSE,"Business Analysis"}</definedName>
    <definedName name="abcd10" hidden="1">{#N/A,"PURCHM",FALSE,"Business Analysis";#N/A,"SPADD",FALSE,"Business Analysis"}</definedName>
    <definedName name="abcd101" hidden="1">{#N/A,"PURCHM",FALSE,"Business Analysis";#N/A,"SPADD",FALSE,"Business Analysis"}</definedName>
    <definedName name="abcd10a" hidden="1">{#N/A,"PURCHM",FALSE,"Business Analysis";#N/A,"SPADD",FALSE,"Business Analysis"}</definedName>
    <definedName name="abcd11" hidden="1">{#N/A,"PURCHM",FALSE,"Business Analysis";#N/A,"SPADD",FALSE,"Business Analysis"}</definedName>
    <definedName name="abcd12" hidden="1">{#N/A,"PURCHM",FALSE,"Business Analysis";#N/A,"SPADD",FALSE,"Business Analysis"}</definedName>
    <definedName name="abcd12b" hidden="1">{#N/A,"PURCHM",FALSE,"Business Analysis";#N/A,"SPADD",FALSE,"Business Analysis"}</definedName>
    <definedName name="abcd2" hidden="1">{#N/A,"PURCHM",FALSE,"Business Analysis";#N/A,"SPADD",FALSE,"Business Analysis"}</definedName>
    <definedName name="abcd200" hidden="1">{#N/A,"PURCHM",FALSE,"Business Analysis";#N/A,"SPADD",FALSE,"Business Analysis"}</definedName>
    <definedName name="abcd200b" hidden="1">{#N/A,"PURCHM",FALSE,"Business Analysis";#N/A,"SPADD",FALSE,"Business Analysis"}</definedName>
    <definedName name="abcd202" hidden="1">{#N/A,"PURCHM",FALSE,"Business Analysis";#N/A,"SPADD",FALSE,"Business Analysis"}</definedName>
    <definedName name="abcd21" hidden="1">{#N/A,"PURCHM",FALSE,"Business Analysis";#N/A,"SPADD",FALSE,"Business Analysis"}</definedName>
    <definedName name="abcd212" hidden="1">{#N/A,"PURCHM",FALSE,"Business Analysis";#N/A,"SPADD",FALSE,"Business Analysis"}</definedName>
    <definedName name="abcd21225b" hidden="1">{#N/A,"PURCHM",FALSE,"Business Analysis";#N/A,"SPADD",FALSE,"Business Analysis"}</definedName>
    <definedName name="abcd212b" hidden="1">{#N/A,"PURCHM",FALSE,"Business Analysis";#N/A,"SPADD",FALSE,"Business Analysis"}</definedName>
    <definedName name="abcd213" hidden="1">{#N/A,"PURCHM",FALSE,"Business Analysis";#N/A,"SPADD",FALSE,"Business Analysis"}</definedName>
    <definedName name="abcd213b" hidden="1">{#N/A,"PURCHM",FALSE,"Business Analysis";#N/A,"SPADD",FALSE,"Business Analysis"}</definedName>
    <definedName name="abcd21kb" hidden="1">{#N/A,"PURCHM",FALSE,"Business Analysis";#N/A,"SPADD",FALSE,"Business Analysis"}</definedName>
    <definedName name="abcd254" hidden="1">{#N/A,"PURCHM",FALSE,"Business Analysis";#N/A,"SPADD",FALSE,"Business Analysis"}</definedName>
    <definedName name="abcd2ab" hidden="1">{#N/A,"PURCHM",FALSE,"Business Analysis";#N/A,"SPADD",FALSE,"Business Analysis"}</definedName>
    <definedName name="abcd312" hidden="1">{#N/A,"PURCHM",FALSE,"Business Analysis";#N/A,"SPADD",FALSE,"Business Analysis"}</definedName>
    <definedName name="abcd312bd" hidden="1">{#N/A,"PURCHM",FALSE,"Business Analysis";#N/A,"SPADD",FALSE,"Business Analysis"}</definedName>
    <definedName name="abcd32" hidden="1">{#N/A,"PURCHM",FALSE,"Business Analysis";#N/A,"SPADD",FALSE,"Business Analysis"}</definedName>
    <definedName name="abcd32b" hidden="1">{#N/A,"PURCHM",FALSE,"Business Analysis";#N/A,"SPADD",FALSE,"Business Analysis"}</definedName>
    <definedName name="abcd33" hidden="1">{"detail",#N/A,FALSE,"mfg";"summary",#N/A,FALSE,"mfg"}</definedName>
    <definedName name="abcd33b" hidden="1">{"detail",#N/A,FALSE,"mfg";"summary",#N/A,FALSE,"mfg"}</definedName>
    <definedName name="abcd34" hidden="1">{#N/A,"PURCHM",FALSE,"Business Analysis";#N/A,"SPADD",FALSE,"Business Analysis"}</definedName>
    <definedName name="abcd34b" hidden="1">{#N/A,"PURCHM",FALSE,"Business Analysis";#N/A,"SPADD",FALSE,"Business Analysis"}</definedName>
    <definedName name="abcd35" hidden="1">{#N/A,"PURCHM",FALSE,"Business Analysis";#N/A,"SPADD",FALSE,"Business Analysis"}</definedName>
    <definedName name="abcd35b" hidden="1">{#N/A,"PURCHM",FALSE,"Business Analysis";#N/A,"SPADD",FALSE,"Business Analysis"}</definedName>
    <definedName name="abcd36" hidden="1">{"detail",#N/A,FALSE,"mfg";"summary",#N/A,FALSE,"mfg"}</definedName>
    <definedName name="abcd36b" hidden="1">{"detail",#N/A,FALSE,"mfg";"summary",#N/A,FALSE,"mfg"}</definedName>
    <definedName name="abcd39" hidden="1">{#N/A,"PURCHM",FALSE,"Business Analysis";#N/A,"SPADD",FALSE,"Business Analysis"}</definedName>
    <definedName name="abcd39bd" hidden="1">{#N/A,"PURCHM",FALSE,"Business Analysis";#N/A,"SPADD",FALSE,"Business Analysis"}</definedName>
    <definedName name="ABCD41" hidden="1">{#N/A,"PURCHM",FALSE,"Business Analysis";#N/A,"SPADD",FALSE,"Business Analysis"}</definedName>
    <definedName name="abcd412" hidden="1">{#N/A,"PURCHM",FALSE,"Business Analysis";#N/A,"SPADD",FALSE,"Business Analysis"}</definedName>
    <definedName name="abcd412bd" hidden="1">{#N/A,"PURCHM",FALSE,"Business Analysis";#N/A,"SPADD",FALSE,"Business Analysis"}</definedName>
    <definedName name="abcd41bd" hidden="1">{#N/A,"PURCHM",FALSE,"Business Analysis";#N/A,"SPADD",FALSE,"Business Analysis"}</definedName>
    <definedName name="abcd42" hidden="1">{#N/A,"PURCHM",FALSE,"Business Analysis";#N/A,"SPADD",FALSE,"Business Analysis"}</definedName>
    <definedName name="abcd42bd" hidden="1">{#N/A,"PURCHM",FALSE,"Business Analysis";#N/A,"SPADD",FALSE,"Business Analysis"}</definedName>
    <definedName name="abcd45" hidden="1">{#N/A,"PURCHM",FALSE,"Business Analysis";#N/A,"SPADD",FALSE,"Business Analysis"}</definedName>
    <definedName name="abcd45bd" hidden="1">{#N/A,"PURCHM",FALSE,"Business Analysis";#N/A,"SPADD",FALSE,"Business Analysis"}</definedName>
    <definedName name="abcd50" hidden="1">{#N/A,"PURCHM",FALSE,"Business Analysis";#N/A,"SPADD",FALSE,"Business Analysis"}</definedName>
    <definedName name="abcd51" hidden="1">{#N/A,"PURCHM",FALSE,"Business Analysis";#N/A,"SPADD",FALSE,"Business Analysis"}</definedName>
    <definedName name="abcd51bd" hidden="1">{#N/A,"PURCHM",FALSE,"Business Analysis";#N/A,"SPADD",FALSE,"Business Analysis"}</definedName>
    <definedName name="abcd61" hidden="1">{#N/A,"PURCHM",FALSE,"Business Analysis";#N/A,"SPADD",FALSE,"Business Analysis"}</definedName>
    <definedName name="abcd61bd" hidden="1">{#N/A,"PURCHM",FALSE,"Business Analysis";#N/A,"SPADD",FALSE,"Business Analysis"}</definedName>
    <definedName name="abcd71" hidden="1">{#N/A,"PURCHM",FALSE,"Business Analysis";#N/A,"SPADD",FALSE,"Business Analysis"}</definedName>
    <definedName name="abcd71bd" hidden="1">{#N/A,"PURCHM",FALSE,"Business Analysis";#N/A,"SPADD",FALSE,"Business Analysis"}</definedName>
    <definedName name="abcd90" hidden="1">{#N/A,"PURCHM",FALSE,"Business Analysis";#N/A,"SPADD",FALSE,"Business Analysis"}</definedName>
    <definedName name="abcd98b" hidden="1">{#N/A,"PURCHM",FALSE,"Business Analysis";#N/A,"SPADD",FALSE,"Business Analysis"}</definedName>
    <definedName name="abcda" hidden="1">{#N/A,"PURCHM",FALSE,"Business Analysis";#N/A,"SPADD",FALSE,"Business Analysis"}</definedName>
    <definedName name="abcda101" hidden="1">{#N/A,"PURCHM",FALSE,"Business Analysis";#N/A,"SPADD",FALSE,"Business Analysis"}</definedName>
    <definedName name="abcdefg">{"Client Name or Project Name"}</definedName>
    <definedName name="abcdmibh" hidden="1">{#N/A,"PURCHM",FALSE,"Business Analysis";#N/A,"SPADD",FALSE,"Business Analysis"}</definedName>
    <definedName name="abcdv102" hidden="1">{#N/A,"PURCHM",FALSE,"Business Analysis";#N/A,"SPADD",FALSE,"Business Analysis"}</definedName>
    <definedName name="abcdv102d" hidden="1">{#N/A,"PURCHM",FALSE,"Business Analysis";#N/A,"SPADD",FALSE,"Business Analysis"}</definedName>
    <definedName name="abce" hidden="1">{"assumptions",#N/A,FALSE,"Scenario 1";"valuation",#N/A,FALSE,"Scenario 1"}</definedName>
    <definedName name="abci9" hidden="1">{#N/A,"PURCHM",FALSE,"Business Analysis";#N/A,"SPADD",FALSE,"Business Analysis"}</definedName>
    <definedName name="abci92" hidden="1">{#N/A,"PURCHM",FALSE,"Business Analysis";#N/A,"SPADD",FALSE,"Business Analysis"}</definedName>
    <definedName name="abcj9i" hidden="1">{"detail",#N/A,FALSE,"mfg";"summary",#N/A,FALSE,"mfg"}</definedName>
    <definedName name="abckg" hidden="1">{#N/A,"PURCHM",FALSE,"Business Analysis";#N/A,"SPADD",FALSE,"Business Analysis"}</definedName>
    <definedName name="abcklg" hidden="1">{"detail",#N/A,FALSE,"mfg";"summary",#N/A,FALSE,"mfg"}</definedName>
    <definedName name="abcl96\" hidden="1">{#N/A,"PURCHM",FALSE,"Business Analysis";#N/A,"SPADD",FALSE,"Business Analysis"}</definedName>
    <definedName name="abclkj" hidden="1">{"detail",#N/A,FALSE,"mfg";"summary",#N/A,FALSE,"mfg"}</definedName>
    <definedName name="abclxs" hidden="1">{"detail",#N/A,FALSE,"mfg";"summary",#N/A,FALSE,"mfg"}</definedName>
    <definedName name="abcoi" hidden="1">{"detail",#N/A,FALSE,"mfg";"summary",#N/A,FALSE,"mfg"}</definedName>
    <definedName name="abcois" hidden="1">{"detail",#N/A,FALSE,"mfg";"summary",#N/A,FALSE,"mfg"}</definedName>
    <definedName name="abcs">{0;0;0;0;1;1;0.25;0;0.75;0.5;2;FALSE;FALSE;FALSE;FALSE;FALSE;#N/A;1;77;#N/A;#N/A;"";""}</definedName>
    <definedName name="ABETMENT">67%</definedName>
    <definedName name="abji" hidden="1">{#N/A,"PURCHM",FALSE,"Business Analysis";#N/A,"SPADD",FALSE,"Business Analysis"}</definedName>
    <definedName name="abki9" hidden="1">{#N/A,"PURCHM",FALSE,"Business Analysis";#N/A,"SPADD",FALSE,"Business Analysis"}</definedName>
    <definedName name="ablo5" hidden="1">{#N/A,"PURCHM",FALSE,"Business Analysis";#N/A,"SPADD",FALSE,"Business Analysis"}</definedName>
    <definedName name="ABN" hidden="1">{#N/A,#N/A,FALSE,"Tabl. FB300";#N/A,#N/A,FALSE,"Tabl. FB350";#N/A,#N/A,FALSE,"Tabl. FB400";#N/A,#N/A,FALSE,"Tabl. FB500";#N/A,#N/A,FALSE,"Tabl. FS090"}</definedName>
    <definedName name="ABS">"#REF!"</definedName>
    <definedName name="ABS_1">"#REF!"</definedName>
    <definedName name="ABS_2">"#REF!"</definedName>
    <definedName name="ABS_3">"#REF!"</definedName>
    <definedName name="ABS_4">"#REF!"</definedName>
    <definedName name="ABS_5">"#REF!"</definedName>
    <definedName name="AbsorptionKostenstelle">#REF!</definedName>
    <definedName name="ABSPradipRay">"#REF!"</definedName>
    <definedName name="ABSPradipRay_1">"#REF!"</definedName>
    <definedName name="ABSPradipRay_2">"#REF!"</definedName>
    <definedName name="ABSPradipRay_3">"#REF!"</definedName>
    <definedName name="ABSPradipRay_4">"#REF!"</definedName>
    <definedName name="ABSPradipRay_5">"#REF!"</definedName>
    <definedName name="Ac" hidden="1">{#N/A,#N/A,FALSE,"One Pager";#N/A,#N/A,FALSE,"Technical"}</definedName>
    <definedName name="acc" hidden="1">{#N/A,#N/A,FALSE,"Calc";#N/A,#N/A,FALSE,"Sensitivity";#N/A,#N/A,FALSE,"LT Earn.Dil.";#N/A,#N/A,FALSE,"Dil. AVP"}</definedName>
    <definedName name="Access_Button" hidden="1">"SFAS131_9803__Export_List"</definedName>
    <definedName name="Access_Button1" hidden="1">"SFAS131_9803__Export_List"</definedName>
    <definedName name="AccessDatabase" hidden="1">"D:\KVR\SACL\Sakthi_Term ABS_CFModel_Latest1.mdb"</definedName>
    <definedName name="acchr1">#REF!</definedName>
    <definedName name="AccmSort">#REF!</definedName>
    <definedName name="AccmTable">#REF!</definedName>
    <definedName name="Account">#N/A</definedName>
    <definedName name="Account_Number">#REF!</definedName>
    <definedName name="accounttest">#REF!</definedName>
    <definedName name="AccountTypeFilter">#REF!</definedName>
    <definedName name="accs" hidden="1">{"detail",#N/A,FALSE,"mfg";"summary",#N/A,FALSE,"mfg"}</definedName>
    <definedName name="ACCT_CODE">#N/A</definedName>
    <definedName name="Acct_No">#REF!</definedName>
    <definedName name="accthr">#REF!</definedName>
    <definedName name="Acdfg" hidden="1">{#N/A,#N/A,FALSE,"CMN_FE"}</definedName>
    <definedName name="Ack">#REF!</definedName>
    <definedName name="acq">#REF!</definedName>
    <definedName name="Acq_Equity">#REF!</definedName>
    <definedName name="ACT">#REF!</definedName>
    <definedName name="ACTA">#REF!</definedName>
    <definedName name="ACTB">#REF!</definedName>
    <definedName name="ACTC">#REF!</definedName>
    <definedName name="ActCode_2">"#REF!"</definedName>
    <definedName name="ActCode_3">"#REF!"</definedName>
    <definedName name="ActCode_4">"#REF!"</definedName>
    <definedName name="ActCode_5">"#REF!"</definedName>
    <definedName name="ActCode_6">"#REF!"</definedName>
    <definedName name="ActCode_7">"#REF!"</definedName>
    <definedName name="ACTD30G">#REF!</definedName>
    <definedName name="ACTD514">#REF!</definedName>
    <definedName name="ACTD536">#REF!</definedName>
    <definedName name="ACTE">#REF!</definedName>
    <definedName name="ACTEOH">#N/A</definedName>
    <definedName name="ACTF03">#REF!</definedName>
    <definedName name="ACTF13">#REF!</definedName>
    <definedName name="ACTF14">#REF!</definedName>
    <definedName name="ACTF15">#REF!</definedName>
    <definedName name="ACTF20">#REF!</definedName>
    <definedName name="ACTF31">#REF!</definedName>
    <definedName name="ACTF41">#REF!</definedName>
    <definedName name="ACTF51">#REF!</definedName>
    <definedName name="ACTF53">#REF!</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IVEROW">"$Mar05.$#REF!$19"</definedName>
    <definedName name="ACTIVITY">#N/A</definedName>
    <definedName name="ActPilot_2">"#REF!"</definedName>
    <definedName name="ActPilot_3">"#REF!"</definedName>
    <definedName name="ActPilot_4">"#REF!"</definedName>
    <definedName name="ActPilot_5">"#REF!"</definedName>
    <definedName name="ActPilot_6">"#REF!"</definedName>
    <definedName name="ActPilot_7">"#REF!"</definedName>
    <definedName name="ACTREND">#REF!</definedName>
    <definedName name="ActSignal_2">"#REF!"</definedName>
    <definedName name="ActSignal_3">"#REF!"</definedName>
    <definedName name="ActSignal_4">"#REF!"</definedName>
    <definedName name="ActSignal_5">"#REF!"</definedName>
    <definedName name="ActSignal_6">"#REF!"</definedName>
    <definedName name="ActSignal_7">"#REF!"</definedName>
    <definedName name="ActType_2">"#REF!"</definedName>
    <definedName name="ActType_3">"#REF!"</definedName>
    <definedName name="ActType_4">"#REF!"</definedName>
    <definedName name="ActType_5">"#REF!"</definedName>
    <definedName name="ActType_6">"#REF!"</definedName>
    <definedName name="ActType_7">"#REF!"</definedName>
    <definedName name="ActualCv_2">"#REF!"</definedName>
    <definedName name="ActualCv_3">"#REF!"</definedName>
    <definedName name="ActualCv_4">"#REF!"</definedName>
    <definedName name="ActualCv_5">"#REF!"</definedName>
    <definedName name="ActualCv_6">"#REF!"</definedName>
    <definedName name="ActualCv_7">"#REF!"</definedName>
    <definedName name="ActualPress_2">"#REF!"</definedName>
    <definedName name="ActualPress_3">"#REF!"</definedName>
    <definedName name="ActualPress_4">"#REF!"</definedName>
    <definedName name="ActualPress_5">"#REF!"</definedName>
    <definedName name="ActualPress_6">"#REF!"</definedName>
    <definedName name="ActualPress_7">"#REF!"</definedName>
    <definedName name="Actuals">#N/A</definedName>
    <definedName name="Actuals_SWF">#REF!</definedName>
    <definedName name="ACTYA21">#REF!</definedName>
    <definedName name="ACTYA22">#REF!</definedName>
    <definedName name="ACTYA24">#REF!</definedName>
    <definedName name="ACTYA31">#REF!</definedName>
    <definedName name="ACTYA32">#REF!</definedName>
    <definedName name="ACTYA33">#REF!</definedName>
    <definedName name="ACTYA34">#REF!</definedName>
    <definedName name="ACTYA4">#REF!</definedName>
    <definedName name="ACTYP1">#REF!</definedName>
    <definedName name="ACTYP2">#REF!</definedName>
    <definedName name="ACTYP31">#REF!</definedName>
    <definedName name="ACTYP32">#REF!</definedName>
    <definedName name="ACTYP33">#REF!</definedName>
    <definedName name="ACTYP34">#REF!</definedName>
    <definedName name="ACTYP4">#REF!</definedName>
    <definedName name="ad" hidden="1">{#N/A,#N/A,FALSE,"Umsatz 99";#N/A,#N/A,FALSE,"ER 99 "}</definedName>
    <definedName name="ad_1" hidden="1">{#N/A,#N/A,FALSE,"PMTABB";#N/A,#N/A,FALSE,"PMTABB"}</definedName>
    <definedName name="ad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sd" hidden="1">{#N/A,#N/A,FALSE,"KA CH  (2)"}</definedName>
    <definedName name="adaytum_data_1">#REF!</definedName>
    <definedName name="adc" hidden="1">{#N/A,"PURCHM",FALSE,"Business Analysis";#N/A,"SPADD",FALSE,"Business Analysis"}</definedName>
    <definedName name="ADD">#REF!</definedName>
    <definedName name="add_BOQ" hidden="1">{#N/A,#N/A,TRUE,"Front";#N/A,#N/A,TRUE,"Simple Letter";#N/A,#N/A,TRUE,"Inside";#N/A,#N/A,TRUE,"Contents";#N/A,#N/A,TRUE,"Basis";#N/A,#N/A,TRUE,"Inclusions";#N/A,#N/A,TRUE,"Exclusions";#N/A,#N/A,TRUE,"Areas";#N/A,#N/A,TRUE,"Summary";#N/A,#N/A,TRUE,"Detail"}</definedName>
    <definedName name="add_BOQ_1">{#N/A,#N/A,TRUE,"Front";#N/A,#N/A,TRUE,"Simple Letter";#N/A,#N/A,TRUE,"Inside";#N/A,#N/A,TRUE,"Contents";#N/A,#N/A,TRUE,"Basis";#N/A,#N/A,TRUE,"Inclusions";#N/A,#N/A,TRUE,"Exclusions";#N/A,#N/A,TRUE,"Areas";#N/A,#N/A,TRUE,"Summary";#N/A,#N/A,TRUE,"Detail"}</definedName>
    <definedName name="add_BOQ_2">NA()</definedName>
    <definedName name="add_BOQ_3">NA()</definedName>
    <definedName name="add_BOQ_4">NA()</definedName>
    <definedName name="add_BOQ_5">NA()</definedName>
    <definedName name="add_BOQ_6">NA()</definedName>
    <definedName name="ADDD" hidden="1">{#N/A,#N/A,FALSE,"CDA Plan"}</definedName>
    <definedName name="ADDDD" hidden="1">{#N/A,#N/A,FALSE,"CDA Plan"}</definedName>
    <definedName name="Address">"'file://Bks/D/draftfinancialsbymanojindushyd/BANDHAN-NBFC-_Fin_Statatement-2009-Ver-1-27.04.2009.xlsx'#$''.$B$2"</definedName>
    <definedName name="Address_1">"'file://Bks/D/draftfinancialsbymanojindushyd/BANDHAN-NBFC-_Fin_Statatement-2009-Ver-1-27.04.2009.xlsx'#$''.$B$2"</definedName>
    <definedName name="AddressCountry">#N/A</definedName>
    <definedName name="adfasdf" hidden="1">{#N/A,#N/A,FALSE,"INCOME STATEMENT";#N/A,#N/A,FALSE,"DETAIL BALANCE SHEET";#N/A,#N/A,FALSE,"Summary Balance Sheet";#N/A,#N/A,FALSE,"EQUITY STATEMENT";#N/A,#N/A,FALSE,"AASINTERNAL"}</definedName>
    <definedName name="adfasdg" hidden="1">{#N/A,#N/A,FALSE,"INCOME STATEMENT";#N/A,#N/A,FALSE,"DETAIL BALANCE SHEET";#N/A,#N/A,FALSE,"Summary Balance Sheet";#N/A,#N/A,FALSE,"EQUITY STATEMENT";#N/A,#N/A,FALSE,"AASINTERNAL"}</definedName>
    <definedName name="adfd" hidden="1">{"sales growth",#N/A,FALSE,"summary";"oper income",#N/A,FALSE,"summary";"oros rank",#N/A,FALSE,"summary";"net assets",#N/A,FALSE,"summary";"asset turnover",#N/A,FALSE,"summary";"orona",#N/A,FALSE,"summary"}</definedName>
    <definedName name="adfdfd">#N/A</definedName>
    <definedName name="adfgasdysty" hidden="1">{#N/A,#N/A,FALSE,"REPORT"}</definedName>
    <definedName name="adfs" hidden="1">{#N/A,#N/A,FALSE,"PMTABB";#N/A,#N/A,FALSE,"PMTABB"}</definedName>
    <definedName name="adfs_2" hidden="1">{#N/A,#N/A,FALSE,"PMTABB";#N/A,#N/A,FALSE,"PMTABB"}</definedName>
    <definedName name="adfs_3" hidden="1">{#N/A,#N/A,FALSE,"PMTABB";#N/A,#N/A,FALSE,"PMTABB"}</definedName>
    <definedName name="adfs_4" hidden="1">{#N/A,#N/A,FALSE,"PMTABB";#N/A,#N/A,FALSE,"PMTABB"}</definedName>
    <definedName name="adfsd">#N/A</definedName>
    <definedName name="adfsdf">#N/A</definedName>
    <definedName name="adfsfjfjky" hidden="1">{#N/A,#N/A,FALSE,"REPORT"}</definedName>
    <definedName name="adgfgd" hidden="1">{"detail",#N/A,FALSE,"mfg";"summary",#N/A,FALSE,"mfg"}</definedName>
    <definedName name="adgg" hidden="1">{"'7'!$B$15:$D$32"}</definedName>
    <definedName name="adI">#REF!</definedName>
    <definedName name="adII">#REF!</definedName>
    <definedName name="adIII">#REF!</definedName>
    <definedName name="Adj.Cash.Summary" hidden="1">{#N/A,#N/A,FALSE,"Master Estimates"}</definedName>
    <definedName name="adm_2">"#REF!"</definedName>
    <definedName name="adm_3">"#REF!"</definedName>
    <definedName name="adm_4">"#REF!"</definedName>
    <definedName name="adm_5">"#REF!"</definedName>
    <definedName name="adm_6">"#REF!"</definedName>
    <definedName name="adm_7">"#REF!"</definedName>
    <definedName name="admin" hidden="1">{#N/A,#N/A,FALSE,"Staffnos &amp; cost"}</definedName>
    <definedName name="Administrative">#REF!</definedName>
    <definedName name="admn_off_2">"#REF!"</definedName>
    <definedName name="admn_off_3">"#REF!"</definedName>
    <definedName name="admn_off_4">"#REF!"</definedName>
    <definedName name="admn_off_5">"#REF!"</definedName>
    <definedName name="admn_off_6">"#REF!"</definedName>
    <definedName name="admn_off_7">"#REF!"</definedName>
    <definedName name="admn_site_2">"#REF!"</definedName>
    <definedName name="admn_site_3">"#REF!"</definedName>
    <definedName name="admn_site_4">"#REF!"</definedName>
    <definedName name="admn_site_5">"#REF!"</definedName>
    <definedName name="admn_site_6">"#REF!"</definedName>
    <definedName name="admn_site_7">"#REF!"</definedName>
    <definedName name="ADPCM" hidden="1">{#N/A,#N/A,FALSE,"Staffnos &amp; cost"}</definedName>
    <definedName name="ADR_SWITCH">#REF!</definedName>
    <definedName name="adrt">#REF!</definedName>
    <definedName name="ads" hidden="1">{"detail",#N/A,FALSE,"mfg";"summary",#N/A,FALSE,"mfg"}</definedName>
    <definedName name="adsf" hidden="1">{"QTD",#N/A,FALSE,"SUM"}</definedName>
    <definedName name="adsfgds" hidden="1">{#N/A,#N/A,FALSE,"Umsatz CH";#N/A,#N/A,FALSE,"ER CH";#N/A,#N/A,FALSE,"EA CH (2) ";#N/A,#N/A,FALSE,"EA CH";#N/A,#N/A,FALSE,"EA CH (3) ";#N/A,#N/A,FALSE,"EA CH (4)";#N/A,#N/A,FALSE,"KA CH";#N/A,#N/A,FALSE,"KA CH  (2)";#N/A,#N/A,FALSE,"KA CH  (3)";#N/A,#N/A,FALSE,"KA CH (4)"}</definedName>
    <definedName name="Adsperpage_auctions">#REF!</definedName>
    <definedName name="adsz" hidden="1">{#N/A,#N/A,FALSE,"INCOME STATEMENT";#N/A,#N/A,FALSE,"DETAIL BALANCE SHEET";#N/A,#N/A,FALSE,"Summary Balance Sheet";#N/A,#N/A,FALSE,"EQUITY STATEMENT";#N/A,#N/A,FALSE,"AASINTERNAL"}</definedName>
    <definedName name="ADUC">#REF!</definedName>
    <definedName name="advances">#REF!</definedName>
    <definedName name="advancetax">#REF!</definedName>
    <definedName name="ADVFR">#REF!</definedName>
    <definedName name="ADVTO">#REF!</definedName>
    <definedName name="adxcz" hidden="1">{"'7'!$B$15:$D$32"}</definedName>
    <definedName name="ae" hidden="1">{#N/A,#N/A,FALSE,"PMTABB";#N/A,#N/A,FALSE,"PMTABB"}</definedName>
    <definedName name="aer" hidden="1">{#N/A,#N/A,FALSE,"EW"}</definedName>
    <definedName name="aer_2" hidden="1">{#N/A,#N/A,FALSE,"EW"}</definedName>
    <definedName name="aer_3" hidden="1">{#N/A,#N/A,FALSE,"EW"}</definedName>
    <definedName name="aer_4" hidden="1">{#N/A,#N/A,FALSE,"EW"}</definedName>
    <definedName name="aew" hidden="1">{#N/A,"PURCHM",FALSE,"Business Analysis";#N/A,"SPADD",FALSE,"Business Analysis"}</definedName>
    <definedName name="af" hidden="1">{#N/A,#N/A,FALSE,"CDA Plan"}</definedName>
    <definedName name="afaf">#N/A</definedName>
    <definedName name="afc" hidden="1">{"detail",#N/A,FALSE,"mfg";"summary",#N/A,FALSE,"mfg"}</definedName>
    <definedName name="AFDADSFDAS" hidden="1">{#N/A,#N/A,FALSE,"REPORT"}</definedName>
    <definedName name="afds" hidden="1">{"YTD",#N/A,FALSE,"SUM"}</definedName>
    <definedName name="afdsjkuhijh">#N/A</definedName>
    <definedName name="AFECLKZE" hidden="1">{#N/A,#N/A,FALSE,"Tabl. A1";#N/A,#N/A,FALSE,"Tabl. A1 b";#N/A,#N/A,FALSE,"Tabl. A2";#N/A,#N/A,FALSE,"Tabl. A2-1";#N/A,#N/A,FALSE,"Tabl. A2-2"}</definedName>
    <definedName name="AFFILIATE">#N/A</definedName>
    <definedName name="AFG">#REF!*#REF!</definedName>
    <definedName name="AFGGF" hidden="1">{#N/A,#N/A,FALSE,"Tabl. D1";#N/A,#N/A,FALSE,"Tabl. D1 b";#N/A,#N/A,FALSE,"Tabl. D2";#N/A,#N/A,FALSE,"Tabl. D2 b";#N/A,#N/A,FALSE,"Tabl. D3";#N/A,#N/A,FALSE,"Tabl. D4";#N/A,#N/A,FALSE,"Tabl. D5"}</definedName>
    <definedName name="africa" hidden="1">{#N/A,#N/A,FALSE,"CNS";#N/A,#N/A,FALSE,"Serz";#N/A,#N/A,FALSE,"Ace"}</definedName>
    <definedName name="AFSDF" hidden="1">{#N/A,#N/A,FALSE,"PMTABB";#N/A,#N/A,FALSE,"PMTABB"}</definedName>
    <definedName name="AFSDF_1" hidden="1">{#N/A,#N/A,FALSE,"PMTABB";#N/A,#N/A,FALSE,"PMTABB"}</definedName>
    <definedName name="AFSDF_2" hidden="1">{#N/A,#N/A,FALSE,"PMTABB";#N/A,#N/A,FALSE,"PMTABB"}</definedName>
    <definedName name="AFSDF_3" hidden="1">{#N/A,#N/A,FALSE,"PMTABB";#N/A,#N/A,FALSE,"PMTABB"}</definedName>
    <definedName name="AFSDF_4" hidden="1">{#N/A,#N/A,FALSE,"PMTABB";#N/A,#N/A,FALSE,"PMTABB"}</definedName>
    <definedName name="afsdrt" hidden="1">{#N/A,#N/A,FALSE,"Aging Summary";#N/A,#N/A,FALSE,"Ratio Analysis";#N/A,#N/A,FALSE,"Test 120 Day Accts";#N/A,#N/A,FALSE,"Tickmarks"}</definedName>
    <definedName name="afsdrt_2" hidden="1">{#N/A,#N/A,FALSE,"Aging Summary";#N/A,#N/A,FALSE,"Ratio Analysis";#N/A,#N/A,FALSE,"Test 120 Day Accts";#N/A,#N/A,FALSE,"Tickmarks"}</definedName>
    <definedName name="afsdrt_3" hidden="1">{#N/A,#N/A,FALSE,"Aging Summary";#N/A,#N/A,FALSE,"Ratio Analysis";#N/A,#N/A,FALSE,"Test 120 Day Accts";#N/A,#N/A,FALSE,"Tickmarks"}</definedName>
    <definedName name="afsdrt_4" hidden="1">{#N/A,#N/A,FALSE,"Aging Summary";#N/A,#N/A,FALSE,"Ratio Analysis";#N/A,#N/A,FALSE,"Test 120 Day Accts";#N/A,#N/A,FALSE,"Tickmarks"}</definedName>
    <definedName name="afssdrt" hidden="1">{#N/A,#N/A,FALSE,"EW"}</definedName>
    <definedName name="afssdrt_2" hidden="1">{#N/A,#N/A,FALSE,"EW"}</definedName>
    <definedName name="afssdrt_3" hidden="1">{#N/A,#N/A,FALSE,"EW"}</definedName>
    <definedName name="afssdrt_4" hidden="1">{#N/A,#N/A,FALSE,"EW"}</definedName>
    <definedName name="aft" hidden="1">{#N/A,#N/A,FALSE,"CDA Plan"}</definedName>
    <definedName name="ag" hidden="1">{TRUE,TRUE,-1.25,-15.5,456.75,279.75,FALSE,FALSE,TRUE,TRUE,0,1,8,1,4,6,3,4,TRUE,TRUE,3,TRUE,1,TRUE,100,"Swvu.turnover.","ACwvu.turnover.",1,FALSE,FALSE,0.511811023622047,0.511811023622047,0.511811023622047,0.511811023622047,1,"","",FALSE,FALSE,FALSE,FALSE,1,#N/A,1,1,#DIV/0!,FALSE,"Rwvu.turnover.",#N/A,FALSE,FALSE}</definedName>
    <definedName name="Ag_1">NA()</definedName>
    <definedName name="Ag_2">NA()</definedName>
    <definedName name="Ag_3">NA()</definedName>
    <definedName name="Ag_4">NA()</definedName>
    <definedName name="Ag_5">NA()</definedName>
    <definedName name="Ag_6">NA()</definedName>
    <definedName name="Ag_7">NA()</definedName>
    <definedName name="agafdhsdh" hidden="1">{#N/A,#N/A,FALSE,"REPORT"}</definedName>
    <definedName name="agcd22" hidden="1">{#N/A,"PURCHM",FALSE,"Business Analysis";#N/A,"SPADD",FALSE,"Business Analysis"}</definedName>
    <definedName name="agcd22bd" hidden="1">{#N/A,"PURCHM",FALSE,"Business Analysis";#N/A,"SPADD",FALSE,"Business Analysis"}</definedName>
    <definedName name="ag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fdg" hidden="1">{#N/A,#N/A,FALSE,"PMW Gruppe 99_98";#N/A,#N/A,FALSE,"PMW KG 98_99";#N/A,#N/A,FALSE,"PMW Inc. 99_98";#N/A,#N/A,FALSE,"PMW VTECH 99_98";#N/A,#N/A,FALSE,"PMW Thail. 99_98";#N/A,#N/A,FALSE,"PMW Canada 99_98";#N/A,#N/A,FALSE,"Währungsabw. 99_98"}</definedName>
    <definedName name="agfds" hidden="1">{TRUE,TRUE,-1.25,-15.5,456.75,279.75,FALSE,FALSE,TRUE,TRUE,0,1,8,1,4,6,3,4,TRUE,TRUE,3,TRUE,1,TRUE,100,"Swvu.turnover.","ACwvu.turnover.",1,FALSE,FALSE,0.511811023622047,0.511811023622047,0.511811023622047,0.511811023622047,1,"","",FALSE,FALSE,FALSE,FALSE,1,#N/A,1,1,#DIV/0!,FALSE,"Rwvu.turnover.",#N/A,FALSE,FALSE}</definedName>
    <definedName name="aging_Analysis" hidden="1">{#N/A,#N/A,FALSE,"Aging Summary";#N/A,#N/A,FALSE,"Ratio Analysis";#N/A,#N/A,FALSE,"Test 120 Day Accts";#N/A,#N/A,FALSE,"Tickmarks"}</definedName>
    <definedName name="agma">#REF!</definedName>
    <definedName name="agsgaghgfj" hidden="1">{#N/A,#N/A,FALSE,"Pharm";#N/A,#N/A,FALSE,"WWCM"}</definedName>
    <definedName name="ah" hidden="1">{"detail",#N/A,FALSE,"mfg";"summary",#N/A,FALSE,"mfg"}</definedName>
    <definedName name="AHA"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aho">#REF!</definedName>
    <definedName name="AIFVAR">#N/A</definedName>
    <definedName name="aircompressor">#REF!</definedName>
    <definedName name="AirFees">#REF!</definedName>
    <definedName name="aj" hidden="1">{#N/A,#N/A,FALSE,"PMTABB";#N/A,#N/A,FALSE,"PMTABB"}</definedName>
    <definedName name="ajd" hidden="1">{#N/A,#N/A,FALSE,"CDA Plan"}</definedName>
    <definedName name="ajit" hidden="1">{#N/A,#N/A,FALSE,"BANNERS";#N/A,#N/A,FALSE,"Market";#N/A,#N/A,FALSE,"Tel Rev";#N/A,#N/A,FALSE,"Revenues IOL";#N/A,#N/A,FALSE,"Invest";#N/A,#N/A,FALSE,"Op Cost1";#N/A,#N/A,FALSE,"Op Cost2";#N/A,#N/A,FALSE,"Oth_&amp;_Tot_Revenues";#N/A,#N/A,FALSE,"Fin Mod";#N/A,#N/A,FALSE,"FinMod_RoW";#N/A,#N/A,FALSE,"P&amp;E Burocrat";#N/A,#N/A,FALSE,"cash flow"}</definedName>
    <definedName name="al">#REF!</definedName>
    <definedName name="alex" hidden="1">{#N/A,#N/A,FALSE,"REPORT"}</definedName>
    <definedName name="alexan" hidden="1">{#N/A,#N/A,FALSE,"REPORT"}</definedName>
    <definedName name="ALL">{1}</definedName>
    <definedName name="All_Division_Names">#REF!</definedName>
    <definedName name="all00">#REF!</definedName>
    <definedName name="älll" hidden="1">{#N/A,#N/A,FALSE,"Produkte Erw.";#N/A,#N/A,FALSE,"Produkte Plan";#N/A,#N/A,FALSE,"Leistungen Erw.";#N/A,#N/A,FALSE,"Leistungen Plan";#N/A,#N/A,FALSE,"KA Allg.Kosten (2)";#N/A,#N/A,FALSE,"KA All.Kosten"}</definedName>
    <definedName name="Allo">#REF!</definedName>
    <definedName name="Allocation_Date">#REF!</definedName>
    <definedName name="allse2005">#REF!</definedName>
    <definedName name="allsec">#REF!</definedName>
    <definedName name="allsec2005">#REF!</definedName>
    <definedName name="AllTables">{6}</definedName>
    <definedName name="Alltables2">{2}</definedName>
    <definedName name="AllTables3">{17}</definedName>
    <definedName name="alokmg">#REF!</definedName>
    <definedName name="Alokmgca">#REF!</definedName>
    <definedName name="Altables">{1}</definedName>
    <definedName name="alyson" hidden="1">{#N/A,#N/A,FALSE,"Australia";#N/A,#N/A,FALSE,"Austria";#N/A,#N/A,FALSE,"Belgium";#N/A,#N/A,FALSE,"Canada";#N/A,#N/A,FALSE,"France";#N/A,#N/A,FALSE,"Germany";#N/A,#N/A,FALSE,"Hong Kong";#N/A,#N/A,FALSE,"Italy";#N/A,#N/A,FALSE,"Japan";#N/A,#N/A,FALSE,"Korea";#N/A,#N/A,FALSE,"Mexico";#N/A,#N/A,FALSE,"Poland";#N/A,#N/A,FALSE,"Spain";#N/A,#N/A,FALSE,"Switzerland";#N/A,#N/A,FALSE,"UK"}</definedName>
    <definedName name="AM" hidden="1">{#N/A,#N/A,FALSE,"Staffnos &amp; cost"}</definedName>
    <definedName name="AMIT" hidden="1">{#N/A,#N/A,FALSE,"Staffnos &amp; cost"}</definedName>
    <definedName name="Amounts">#REF!</definedName>
    <definedName name="AMUC">#REF!</definedName>
    <definedName name="añ" hidden="1">{"Performance Details",#N/A,FALSE,"Current Yr";"Performance Details",#N/A,FALSE,"Budget";"Performance Details",#N/A,FALSE,"Prior Year"}</definedName>
    <definedName name="ANA"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Andhra">#REF!</definedName>
    <definedName name="andy" hidden="1">{#N/A,#N/A,FALSE,"REPORT"}</definedName>
    <definedName name="ann"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nn_2">"#REF!"</definedName>
    <definedName name="ann_3">"#REF!"</definedName>
    <definedName name="ann_4">"#REF!"</definedName>
    <definedName name="ann_5">"#REF!"</definedName>
    <definedName name="ann_6">"#REF!"</definedName>
    <definedName name="ann_7">"#REF!"</definedName>
    <definedName name="anne_2">"#REF!"</definedName>
    <definedName name="anne_3">"#REF!"</definedName>
    <definedName name="anne_4">"#REF!"</definedName>
    <definedName name="anne_5">"#REF!"</definedName>
    <definedName name="anne_6">"#REF!"</definedName>
    <definedName name="anne_7">"#REF!"</definedName>
    <definedName name="annealing_2">"#REF!"</definedName>
    <definedName name="annealing_3">"#REF!"</definedName>
    <definedName name="annealing_4">"#REF!"</definedName>
    <definedName name="annealing_5">"#REF!"</definedName>
    <definedName name="annealing_6">"#REF!"</definedName>
    <definedName name="annealing_7">"#REF!"</definedName>
    <definedName name="annealing1_2">"#REF!"</definedName>
    <definedName name="annealing1_3">"#REF!"</definedName>
    <definedName name="annealing1_4">"#REF!"</definedName>
    <definedName name="annealing1_5">"#REF!"</definedName>
    <definedName name="annealing1_6">"#REF!"</definedName>
    <definedName name="annealing1_7">"#REF!"</definedName>
    <definedName name="ANNEXURE_1">#REF!</definedName>
    <definedName name="ANNEXURE_2">#REF!</definedName>
    <definedName name="ANNEXURE_3">#REF!</definedName>
    <definedName name="ANNEXURE_4">#REF!</definedName>
    <definedName name="annual1" hidden="1">{#N/A,#N/A,FALSE,"earnings"}</definedName>
    <definedName name="anscount" hidden="1">6</definedName>
    <definedName name="anwhhs">{"Client Name or Project Name"}</definedName>
    <definedName name="äöäö" hidden="1">{#N/A,#N/A,FALSE,"Umsatz CH";#N/A,#N/A,FALSE,"ER CH";#N/A,#N/A,FALSE,"EA CH (2) ";#N/A,#N/A,FALSE,"EA CH";#N/A,#N/A,FALSE,"EA CH (3) ";#N/A,#N/A,FALSE,"EA CH (4)";#N/A,#N/A,FALSE,"KA CH";#N/A,#N/A,FALSE,"KA CH  (2)";#N/A,#N/A,FALSE,"KA CH  (3)";#N/A,#N/A,FALSE,"KA CH (4)"}</definedName>
    <definedName name="aop" hidden="1">{#N/A,#N/A,FALSE,"CDA Plan"}</definedName>
    <definedName name="AopVsAct">#REF!,#REF!,#REF!,#REF!,#REF!,#REF!,#REF!</definedName>
    <definedName name="AP_Concs">#REF!</definedName>
    <definedName name="AP_Delinq">#REF!</definedName>
    <definedName name="AP_Spreads">#REF!</definedName>
    <definedName name="Appendix" hidden="1">{#N/A,#N/A,FALSE,"Aging Summary";#N/A,#N/A,FALSE,"Ratio Analysis";#N/A,#N/A,FALSE,"Test 120 Day Accts";#N/A,#N/A,FALSE,"Tickmarks"}</definedName>
    <definedName name="apr">#N/A</definedName>
    <definedName name="april">#REF!</definedName>
    <definedName name="APRIL_1_TO_MARCH_31__1996">#REF!</definedName>
    <definedName name="APRPLAN">#REF!</definedName>
    <definedName name="Aqueous">"Specs'!$B$739:$B$742"</definedName>
    <definedName name="aqw" hidden="1">{#N/A,"PURCHM",FALSE,"Business Analysis";#N/A,"SPADD",FALSE,"Business Analysis"}</definedName>
    <definedName name="ar" hidden="1">{#N/A,#N/A,FALSE,"Status of Projects";#N/A,#N/A,FALSE,"CEA-TEC";#N/A,#N/A,FALSE,"U-Constr.";#N/A,#N/A,FALSE,"summary";#N/A,#N/A,FALSE,"PPP-3 yrs"}</definedName>
    <definedName name="AR_Availability">#REF!</definedName>
    <definedName name="AR_Concs">#REF!</definedName>
    <definedName name="AR_Delinq">#REF!</definedName>
    <definedName name="AR_Dil_TO">#REF!</definedName>
    <definedName name="AR_Spreads">#REF!</definedName>
    <definedName name="AR_Testing">#REF!</definedName>
    <definedName name="ARCHITECTURAL_1">"#REF!"</definedName>
    <definedName name="ARCHITECTURAL_2">"#REF!"</definedName>
    <definedName name="area">#REF!</definedName>
    <definedName name="Area_2">"#REF!"</definedName>
    <definedName name="Area_3">"#REF!"</definedName>
    <definedName name="Area_4">"#REF!"</definedName>
    <definedName name="Area_5">"#REF!"</definedName>
    <definedName name="Area_6">"#REF!"</definedName>
    <definedName name="Area_7">"#REF!"</definedName>
    <definedName name="armstrongr_1">NA()</definedName>
    <definedName name="Arrange">#N/A</definedName>
    <definedName name="arwarwa">#N/A</definedName>
    <definedName name="AS" hidden="1">{#N/A,#N/A,FALSE,"Pharm";#N/A,#N/A,FALSE,"WWCM"}</definedName>
    <definedName name="as\">{"'PS-SOTM'!$A$1","'PS-SOTM'!$A$2:$M$30","'PS-SOTM'!$A$31:$A$38"}</definedName>
    <definedName name="AS_input">#REF!</definedName>
    <definedName name="AS_PER_TALLY_31_09_04_ONYX_List1_2">"#REF!"</definedName>
    <definedName name="AS_PER_TALLY_31_09_04_ONYX_List1_3">"#REF!"</definedName>
    <definedName name="AS_PER_TALLY_31_09_04_ONYX_List1_4">"#REF!"</definedName>
    <definedName name="AS_PER_TALLY_31_09_04_ONYX_List1_5">"#REF!"</definedName>
    <definedName name="AS_PER_TALLY_31_09_04_ONYX_List1_6">"#REF!"</definedName>
    <definedName name="AS_PER_TALLY_31_09_04_ONYX_List1_7">"#REF!"</definedName>
    <definedName name="AS_xp">#REF!</definedName>
    <definedName name="AS2DocOpenMode" hidden="1">"AS2DocumentBrowse"</definedName>
    <definedName name="AS2HasNoAutoHeaderFooter" hidden="1">" "</definedName>
    <definedName name="AS2LinkLS" hidden="1">#REF!</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{"Fiesta Facer Page",#N/A,FALSE,"Q_C_S";"Fiesta Main Page",#N/A,FALSE,"V_L";"Fiesta 95BP Struct",#N/A,FALSE,"StructBP";"Fiesta Post 95BP Struct",#N/A,FALSE,"AdjStructBP"}</definedName>
    <definedName name="asas" hidden="1">{#N/A,#N/A,FALSE,"Umsatz 99";#N/A,#N/A,FALSE,"ER 99 "}</definedName>
    <definedName name="asasa" hidden="1">{"Monthly6Q",#N/A,FALSE,"0614ESL"}</definedName>
    <definedName name="asasd">#REF!/#REF!</definedName>
    <definedName name="ASComms">#REF!</definedName>
    <definedName name="ASCVBN" hidden="1">{#N/A,#N/A,FALSE,"Tabl. D1";#N/A,#N/A,FALSE,"Tabl. D1 b";#N/A,#N/A,FALSE,"Tabl. D2";#N/A,#N/A,FALSE,"Tabl. D2 b";#N/A,#N/A,FALSE,"Tabl. D3";#N/A,#N/A,FALSE,"Tabl. D4";#N/A,#N/A,FALSE,"Tabl. D5"}</definedName>
    <definedName name="asd" hidden="1">{#N/A,#N/A,FALSE,"Pharm";#N/A,#N/A,FALSE,"WWCM"}</definedName>
    <definedName name="asdad" hidden="1">{"Page 1",#N/A,TRUE,"Sheet1";"Page 2",#N/A,TRUE,"Sheet1"}</definedName>
    <definedName name="asdasdada" hidden="1">{#N/A,#N/A,FALSE,"PGW"}</definedName>
    <definedName name="asdasdasdasd" hidden="1">{#N/A,#N/A,FALSE,"OSBL"}</definedName>
    <definedName name="asdd">#N/A</definedName>
    <definedName name="ASDE">#REF!</definedName>
    <definedName name="ASDepr">#REF!</definedName>
    <definedName name="asdf" hidden="1">{"Commentary",#N/A,FALSE,"May"}</definedName>
    <definedName name="asdf_2" hidden="1">{#N/A,#N/A,FALSE,"PMTABB";#N/A,#N/A,FALSE,"PMTABB"}</definedName>
    <definedName name="asdf_3" hidden="1">{#N/A,#N/A,FALSE,"PMTABB";#N/A,#N/A,FALSE,"PMTABB"}</definedName>
    <definedName name="asdf_4" hidden="1">{#N/A,#N/A,FALSE,"PMTABB";#N/A,#N/A,FALSE,"PMTABB"}</definedName>
    <definedName name="asdfasdf" hidden="1">{#N/A,#N/A,FALSE,"Aging Summary";#N/A,#N/A,FALSE,"Ratio Analysis";#N/A,#N/A,FALSE,"Test 120 Day Accts";#N/A,#N/A,FALSE,"Tickmarks"}</definedName>
    <definedName name="asdfasfsa" hidden="1">{"Page 1",#N/A,TRUE,"Sheet1";"Page 2",#N/A,TRUE,"Sheet1"}</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 hidden="1">{#N/A,#N/A,FALSE,"Pharm";#N/A,#N/A,FALSE,"WWCM"}</definedName>
    <definedName name="asdfgh" hidden="1">{#N/A,#N/A,FALSE,"Staffnos &amp; cost"}</definedName>
    <definedName name="ASDFSFD" hidden="1">{#N/A,#N/A,FALSE,"Fmoh-Vmoh 2002";#N/A,#N/A,FALSE,"Fmoh-Vmoh 2002"}</definedName>
    <definedName name="asdgahdfhth" hidden="1">{#N/A,#N/A,FALSE,"REPORT"}</definedName>
    <definedName name="asdgayery" hidden="1">{#N/A,#N/A,FALSE,"Pharm";#N/A,#N/A,FALSE,"WWCM"}</definedName>
    <definedName name="asdgfdytyet" hidden="1">{#N/A,#N/A,FALSE,"REPORT"}</definedName>
    <definedName name="asdgtryukuio" hidden="1">{#N/A,#N/A,FALSE,"REPORT"}</definedName>
    <definedName name="asdjasldkfj" hidden="1">{#N/A,#N/A,FALSE,"PMTABB";#N/A,#N/A,FALSE,"PMTABB"}</definedName>
    <definedName name="asdjasldkfj_1" hidden="1">{#N/A,#N/A,FALSE,"PMTABB";#N/A,#N/A,FALSE,"PMTABB"}</definedName>
    <definedName name="asdjasldkfj_2" hidden="1">{#N/A,#N/A,FALSE,"PMTABB";#N/A,#N/A,FALSE,"PMTABB"}</definedName>
    <definedName name="asdjasldkfj_3" hidden="1">{#N/A,#N/A,FALSE,"PMTABB";#N/A,#N/A,FALSE,"PMTABB"}</definedName>
    <definedName name="asdjasldkfj_4" hidden="1">{#N/A,#N/A,FALSE,"PMTABB";#N/A,#N/A,FALSE,"PMTABB"}</definedName>
    <definedName name="asdjgkl" hidden="1">{#N/A,#N/A,FALSE,"Pharm";#N/A,#N/A,FALSE,"WWCM"}</definedName>
    <definedName name="ASDP">#REF!</definedName>
    <definedName name="asds" hidden="1">{#N/A,#N/A,FALSE,"Umsatz CH";#N/A,#N/A,FALSE,"ER CH";#N/A,#N/A,FALSE,"EA CH (2) ";#N/A,#N/A,FALSE,"EA CH";#N/A,#N/A,FALSE,"EA CH (3) ";#N/A,#N/A,FALSE,"EA CH (4)";#N/A,#N/A,FALSE,"KA CH";#N/A,#N/A,FALSE,"KA CH  (2)";#N/A,#N/A,FALSE,"KA CH  (3)";#N/A,#N/A,FALSE,"KA CH (4)"}</definedName>
    <definedName name="asdsa">#REF!</definedName>
    <definedName name="asdsa_11">"#REF!"</definedName>
    <definedName name="asdsa_15">"#REF!"</definedName>
    <definedName name="asdsa_2">"#REF!"</definedName>
    <definedName name="asdsa_8">"#REF!"</definedName>
    <definedName name="asdsa_9">"#REF!"</definedName>
    <definedName name="asdsar" hidden="1">{#N/A,#N/A,FALSE,"ISBL"}</definedName>
    <definedName name="asdsar_2" hidden="1">{#N/A,#N/A,FALSE,"ISBL"}</definedName>
    <definedName name="asdsar_3" hidden="1">{#N/A,#N/A,FALSE,"ISBL"}</definedName>
    <definedName name="asdsar_4" hidden="1">{#N/A,#N/A,FALSE,"ISBL"}</definedName>
    <definedName name="asedfdf" hidden="1">{"apci",#N/A,FALSE,"Chem_CY";"eastman",#N/A,FALSE,"Eastman";"betz",#N/A,FALSE,"Betz";"great lakes",#N/A,FALSE,"Great_Lakes";"hercules",#N/A,FALSE,"Hercules Chem Seg Data";"rohm",#N/A,FALSE,"Rohm";"union carbide",#N/A,FALSE,"Union";"witco",#N/A,FALSE,"Witco"}</definedName>
    <definedName name="as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fghujyki" hidden="1">{#N/A,#N/A,FALSE,"Pharm";#N/A,#N/A,FALSE,"WWCM"}</definedName>
    <definedName name="asfg" hidden="1">{#N/A,#N/A,FALSE,"Balance Sheet";#N/A,#N/A,FALSE,"Income Statement";#N/A,#N/A,FALSE,"Changes in Financial Position"}</definedName>
    <definedName name="asfklasdf"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fsdf" hidden="1">{#N/A,#N/A,FALSE,"COMP"}</definedName>
    <definedName name="ASGF">#REF!/#REF!</definedName>
    <definedName name="ash">#REF!</definedName>
    <definedName name="asha" hidden="1">{#N/A,#N/A,FALSE,"COMP"}</definedName>
    <definedName name="ashnew">#REF!</definedName>
    <definedName name="ASIncent">#REF!</definedName>
    <definedName name="ASIncentives">#REF!</definedName>
    <definedName name="askn" hidden="1">{#N/A,#N/A,FALSE,"COMP"}</definedName>
    <definedName name="ASMaint">#REF!</definedName>
    <definedName name="ASP">#REF!</definedName>
    <definedName name="asqq" hidden="1">{"Performance Details",#N/A,FALSE,"Current Yr";"Performance Details",#N/A,FALSE,"Budget";"Performance Details",#N/A,FALSE,"Prior Year"}</definedName>
    <definedName name="ass">#REF!</definedName>
    <definedName name="ASSA" hidden="1">{#N/A,#N/A,FALSE,"1";#N/A,#N/A,FALSE,"2";#N/A,#N/A,FALSE,"16 - 17";#N/A,#N/A,FALSE,"18 - 19";#N/A,#N/A,FALSE,"26";#N/A,#N/A,FALSE,"27";#N/A,#N/A,FALSE,"28"}</definedName>
    <definedName name="assdf" hidden="1">{#N/A,#N/A,FALSE,"Staffnos &amp; cost"}</definedName>
    <definedName name="Asset_Register">#REF!</definedName>
    <definedName name="Asset_Size">#REF!</definedName>
    <definedName name="assss">#N/A</definedName>
    <definedName name="ASSUM1">#REF!</definedName>
    <definedName name="ASSUM2">#REF!</definedName>
    <definedName name="assumptions_print">#REF!</definedName>
    <definedName name="Aswan1" hidden="1">#REF!</definedName>
    <definedName name="aswe" hidden="1">{"TXO2N2_GP",#N/A,FALSE,"MTHLYGP";"TXH2_GP",#N/A,FALSE,"MTHLYGP";"LOUIS_GP",#N/A,FALSE,"MTHLYGP";"H2_GP",#N/A,FALSE,"MTHLYGP";"O2N2_GP",#N/A,FALSE,"MTHLYGP";"PACKAGE_GP",#N/A,FALSE,"MTHLYGP";"OTHER_GP",#N/A,FALSE,"MTHLYGP"}</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LANTA">#REF!</definedName>
    <definedName name="AUG">#REF!</definedName>
    <definedName name="AUGPLAN">#REF!</definedName>
    <definedName name="August_Options">#REF!</definedName>
    <definedName name="August_Plan_Options">#REF!</definedName>
    <definedName name="autos">#N/A</definedName>
    <definedName name="Autresachats">#REF!</definedName>
    <definedName name="AUV">#REF!</definedName>
    <definedName name="avg">#REF!</definedName>
    <definedName name="AVIR" hidden="1">{#N/A,#N/A,FALSE,"Staffnos &amp; cost"}</definedName>
    <definedName name="aw">OFFSET(#REF!,0,0,#REF!)</definedName>
    <definedName name="aw4wb" hidden="1">{#N/A,#N/A,FALSE,"ISBL"}</definedName>
    <definedName name="aw4wb_2" hidden="1">{#N/A,#N/A,FALSE,"ISBL"}</definedName>
    <definedName name="aw4wb_3" hidden="1">{#N/A,#N/A,FALSE,"ISBL"}</definedName>
    <definedName name="aw4wb_4" hidden="1">{#N/A,#N/A,FALSE,"ISBL"}</definedName>
    <definedName name="AWB">NA()</definedName>
    <definedName name="awe" hidden="1">{#N/A,#N/A,FALSE,"PGW"}</definedName>
    <definedName name="awe_2" hidden="1">{#N/A,#N/A,FALSE,"PGW"}</definedName>
    <definedName name="awe_3" hidden="1">{#N/A,#N/A,FALSE,"PGW"}</definedName>
    <definedName name="awe_4" hidden="1">{#N/A,#N/A,FALSE,"PGW"}</definedName>
    <definedName name="aweaw3" hidden="1">{#N/A,#N/A,FALSE,"OSBL"}</definedName>
    <definedName name="aweaw3_2" hidden="1">{#N/A,#N/A,FALSE,"OSBL"}</definedName>
    <definedName name="aweaw3_3" hidden="1">{#N/A,#N/A,FALSE,"OSBL"}</definedName>
    <definedName name="aweaw3_4" hidden="1">{#N/A,#N/A,FALSE,"OSBL"}</definedName>
    <definedName name="awetfa" hidden="1">{#N/A,#N/A,FALSE,"INCOME STATEMENT";#N/A,#N/A,FALSE,"DETAIL BALANCE SHEET";#N/A,#N/A,FALSE,"Summary Balance Sheet";#N/A,#N/A,FALSE,"EQUITY STATEMENT";#N/A,#N/A,FALSE,"AASINTERNAL"}</definedName>
    <definedName name="awq" hidden="1">{"YTD",#N/A,FALSE,"SUM"}</definedName>
    <definedName name="awqe" hidden="1">{"net assets",#N/A,FALSE,"summary";"asset turnover",#N/A,FALSE,"summary";"orona",#N/A,FALSE,"summary"}</definedName>
    <definedName name="awqx" hidden="1">{"Comp_of_Price_Effect",#N/A,FALSE,"QTRDPVAR"}</definedName>
    <definedName name="aws" hidden="1">{#N/A,#N/A,FALSE,"CMN_FE"}</definedName>
    <definedName name="AX" hidden="1">{#N/A,#N/A,FALSE,"Pharm";#N/A,#N/A,FALSE,"WWCM"}</definedName>
    <definedName name="AXCHUT" hidden="1">{#N/A,#N/A,FALSE,"Tabl. H1";#N/A,#N/A,FALSE,"Tabl. H2"}</definedName>
    <definedName name="Axl" hidden="1">{"'7'!$B$15:$D$32"}</definedName>
    <definedName name="axs" hidden="1">{"QTD",#N/A,FALSE,"SUM"}</definedName>
    <definedName name="AXXA" hidden="1">{#N/A,#N/A,FALSE,"CDA Plan"}</definedName>
    <definedName name="axz" hidden="1">{#N/A,"PURCHM",FALSE,"Business Analysis";#N/A,"SPADD",FALSE,"Business Analysis"}</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eazr" hidden="1">{#N/A,#N/A,FALSE,"Sales Graph";#N/A,#N/A,FALSE,"BUC Graph";#N/A,#N/A,FALSE,"P&amp;L - YTD"}</definedName>
    <definedName name="azerety" hidden="1">{#N/A,#N/A,FALSE,"Pharm";#N/A,#N/A,FALSE,"WWCM"}</definedName>
    <definedName name="AZXC" hidden="1">{#N/A,#N/A,FALSE,"Tabl. H1";#N/A,#N/A,FALSE,"Tabl. H2"}</definedName>
    <definedName name="azxkdsk"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B">{#N/A,#N/A,FALSE,"Title Page (3)";#N/A,#N/A,FALSE,"YTD - OTC";#N/A,#N/A,FALSE,"MTH - OTC"}</definedName>
    <definedName name="B_04">#REF!</definedName>
    <definedName name="B_1">#REF!</definedName>
    <definedName name="B_2">#REF!</definedName>
    <definedName name="b_3">#REF!</definedName>
    <definedName name="b_4">#REF!</definedName>
    <definedName name="B_5">"#REF!"</definedName>
    <definedName name="B_6">"#REF!"</definedName>
    <definedName name="B_7">"#REF!"</definedName>
    <definedName name="B_VND">0.05</definedName>
    <definedName name="B_YEN">0.1</definedName>
    <definedName name="b2b">City&amp;" "&amp;State</definedName>
    <definedName name="bacd1101bd" hidden="1">{#N/A,"PURCHM",FALSE,"Business Analysis";#N/A,"SPADD",FALSE,"Business Analysis"}</definedName>
    <definedName name="bacd31" hidden="1">{#N/A,"PURCHM",FALSE,"Business Analysis";#N/A,"SPADD",FALSE,"Business Analysis"}</definedName>
    <definedName name="bacd31bd" hidden="1">{#N/A,"PURCHM",FALSE,"Business Analysis";#N/A,"SPADD",FALSE,"Business Analysis"}</definedName>
    <definedName name="bal">#REF!</definedName>
    <definedName name="Balance" hidden="1">{#N/A,#N/A,FALSE,"Balance Sheets";#N/A,#N/A,FALSE,"96 Conservative";#N/A,#N/A,FALSE,"96 Possible"}</definedName>
    <definedName name="Balance_Sheet">#REF!</definedName>
    <definedName name="balance_type">1</definedName>
    <definedName name="BalanceSheet">#REF!</definedName>
    <definedName name="bandwidth">#REF!</definedName>
    <definedName name="Bang_cly">#REF!</definedName>
    <definedName name="Bang_CVC">#REF!</definedName>
    <definedName name="bang_gia">#REF!</definedName>
    <definedName name="Bang_travl">#REF!</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nk1" hidden="1">{TRUE,TRUE,-1.25,-15.5,456.75,279.75,FALSE,FALSE,TRUE,TRUE,0,1,21,1,127,6,3,4,TRUE,TRUE,3,TRUE,1,TRUE,100,"Swvu.profits.","ACwvu.profits.",1,FALSE,FALSE,0.511811023622047,0.511811023622047,0.511811023622047,0.511811023622047,1,"","",FALSE,FALSE,FALSE,FALSE,1,#N/A,1,1,#DIV/0!,FALSE,"Rwvu.profits.",#N/A,FALSE,FALSE}</definedName>
    <definedName name="BASE">#REF!</definedName>
    <definedName name="BasicSalaries">#REF!</definedName>
    <definedName name="BB" hidden="1">{#N/A,#N/A,FALSE,"Tabl. A1";#N/A,#N/A,FALSE,"Tabl. A1 b";#N/A,#N/A,FALSE,"Tabl. A2";#N/A,#N/A,FALSE,"Tabl. A2-1";#N/A,#N/A,FALSE,"Tabl. A2-2"}</definedName>
    <definedName name="bb.gb._98" hidden="1">{#N/A,#N/A,FALSE,"Umsatz 99";#N/A,#N/A,FALSE,"ER 99 "}</definedName>
    <definedName name="bb.gb._99" hidden="1">{#N/A,#N/A,FALSE,"Umsatz 99";#N/A,#N/A,FALSE,"ER 99 "}</definedName>
    <definedName name="BBAR">#REF!</definedName>
    <definedName name="BBAR1">#REF!</definedName>
    <definedName name="bbb" hidden="1">{#N/A,#N/A,FALSE,"Pharm";#N/A,#N/A,FALSE,"WWCM"}</definedName>
    <definedName name="bbb_1">"#REF!"</definedName>
    <definedName name="bbb_2">"#REF!"</definedName>
    <definedName name="bbbb" hidden="1">{#N/A,#N/A,FALSE,"REPORT"}</definedName>
    <definedName name="BBBBA" hidden="1">{#N/A,#N/A,FALSE,"CDA Plan"}</definedName>
    <definedName name="bbbbb" hidden="1">{"consolidated",#N/A,FALSE,"Sheet1";"cms",#N/A,FALSE,"Sheet1";"fse",#N/A,FALSE,"Sheet1"}</definedName>
    <definedName name="BBBBBB" hidden="1">{#N/A,#N/A,FALSE,"REPORT"}</definedName>
    <definedName name="bbbbbbb" hidden="1">{"detail",#N/A,FALSE,"mfg";"summary",#N/A,FALSE,"mfg"}</definedName>
    <definedName name="BBBBBBBBB" hidden="1">{#N/A,#N/A,FALSE,"REPORT"}</definedName>
    <definedName name="bbbbbbbbbb" hidden="1">{"detail",#N/A,FALSE,"mfg";"summary",#N/A,FALSE,"mfg"}</definedName>
    <definedName name="bbbbbbbbbbbbb" hidden="1">{#N/A,#N/A,FALSE,"Pharm";#N/A,#N/A,FALSE,"WWCM"}</definedName>
    <definedName name="bbbbbbbbbbbbbbbbbbbb" hidden="1">{"detail",#N/A,FALSE,"mfg";"summary",#N/A,FALSE,"mfg"}</definedName>
    <definedName name="BBINV">#REF!</definedName>
    <definedName name="BBINV1">#REF!</definedName>
    <definedName name="bbvcx" hidden="1">{#N/A,#N/A,FALSE,"Umsatz HM";#N/A,#N/A,FALSE,"ER HM";#N/A,#N/A,FALSE,"EA HM  (2)";#N/A,#N/A,FALSE,"EA HM ";#N/A,#N/A,FALSE,"EA HM  (4)";#N/A,#N/A,FALSE,"EA HM  (3)";#N/A,#N/A,FALSE,"KA HM  (2)";#N/A,#N/A,FALSE,"KA HM";#N/A,#N/A,FALSE,"KA HM  (3)";#N/A,#N/A,FALSE,"KA HM (4)"}</definedName>
    <definedName name="bc" hidden="1">{#N/A,#N/A,FALSE,"One Pager";#N/A,#N/A,FALSE,"Technical"}</definedName>
    <definedName name="bcd" hidden="1">{"detail",#N/A,FALSE,"mfg";"summary",#N/A,FALSE,"mfg"}</definedName>
    <definedName name="BD_PLCodeView">#REF!</definedName>
    <definedName name="Beg_Bal">#REF!</definedName>
    <definedName name="BeginBorder_1">"#REF!"</definedName>
    <definedName name="BeginBorder_2">"#REF!"</definedName>
    <definedName name="BENEFIT">#REF!</definedName>
    <definedName name="bentonite">#REF!</definedName>
    <definedName name="berry" hidden="1">{#N/A,#N/A,FALSE,"Taxblinc";#N/A,#N/A,FALSE,"Rsvsacls"}</definedName>
    <definedName name="BF1_">#REF!</definedName>
    <definedName name="BF2_">#REF!</definedName>
    <definedName name="BF3_">#REF!</definedName>
    <definedName name="BFBS">#REF!</definedName>
    <definedName name="BFES">#REF!</definedName>
    <definedName name="bfg" hidden="1">{#N/A,#N/A,FALSE,"COMP"}</definedName>
    <definedName name="BFPivot_Changeover">#REF!</definedName>
    <definedName name="BFPivot_Current">#REF!</definedName>
    <definedName name="BFPivot_Prior">#REF!</definedName>
    <definedName name="BFS">#REF!</definedName>
    <definedName name="BG">#N/A</definedName>
    <definedName name="BG_Del" hidden="1">15</definedName>
    <definedName name="BG_Ins" hidden="1">4</definedName>
    <definedName name="BG_Mod" hidden="1">6</definedName>
    <definedName name="bg3sheet" hidden="1">{#N/A,#N/A,TRUE,"Summary - 1";#N/A,#N/A,TRUE,"Summary - 2";#N/A,#N/A,TRUE,"Group Analysis";#N/A,#N/A,TRUE,"FM Analysis";#N/A,#N/A,TRUE,"T&amp;M-Onsite";#N/A,#N/A,TRUE,"FP-Onsite";#N/A,#N/A,TRUE,"NB-Onsite";#N/A,#N/A,TRUE,"T&amp;M-Offshore";#N/A,#N/A,TRUE,"FP-Offshore";#N/A,#N/A,TRUE,"Appendix-A";#N/A,#N/A,TRUE,"Appendix-B"}</definedName>
    <definedName name="bgg">#REF!</definedName>
    <definedName name="bgh" hidden="1">{"histincome",#N/A,FALSE,"hyfins";"closing balance",#N/A,FALSE,"hyfins"}</definedName>
    <definedName name="bgisheet" hidden="1">{#N/A,#N/A,TRUE,"Summary - 1";#N/A,#N/A,TRUE,"Summary - 2";#N/A,#N/A,TRUE,"Group Analysis";#N/A,#N/A,TRUE,"FM Analysis";#N/A,#N/A,TRUE,"T&amp;M-Onsite";#N/A,#N/A,TRUE,"FP-Onsite";#N/A,#N/A,TRUE,"NB-Onsite";#N/A,#N/A,TRUE,"T&amp;M-Offshore";#N/A,#N/A,TRUE,"FP-Offshore";#N/A,#N/A,TRUE,"Appendix-A";#N/A,#N/A,TRUE,"Appendix-B"}</definedName>
    <definedName name="bgl">#REF!</definedName>
    <definedName name="BGT">#N/A</definedName>
    <definedName name="BH" hidden="1">{#N/A,#N/A,FALSE,"CDA Plan"}</definedName>
    <definedName name="bha" hidden="1">{#N/A,#N/A,FALSE,"PGW"}</definedName>
    <definedName name="BHDF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UVAN" hidden="1">{"'subnets'!$A$1:$F$20"}</definedName>
    <definedName name="bil" hidden="1">{#N/A,#N/A,FALSE,"Tabl. D1";#N/A,#N/A,FALSE,"Tabl. D1 b";#N/A,#N/A,FALSE,"Tabl. D2";#N/A,#N/A,FALSE,"Tabl. D2 b";#N/A,#N/A,FALSE,"Tabl. D3";#N/A,#N/A,FALSE,"Tabl. D4";#N/A,#N/A,FALSE,"Tabl. D5"}</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k_1">NA()</definedName>
    <definedName name="bkls" hidden="1">{#N/A,"PURCHM",FALSE,"Business Analysis";#N/A,"SPADD",FALSE,"Business Analysis"}</definedName>
    <definedName name="blabla" hidden="1">{#N/A,#N/A,FALSE,"Tabl. H1";#N/A,#N/A,FALSE,"Tabl. H2"}</definedName>
    <definedName name="BLAM">#REF!</definedName>
    <definedName name="blnHideRow">#N/A</definedName>
    <definedName name="BLR80IA">#N/A</definedName>
    <definedName name="BlueSkyPrice">51</definedName>
    <definedName name="BM" hidden="1">{#N/A,#N/A,TRUE,"CIN-11";#N/A,#N/A,TRUE,"CIN-13";#N/A,#N/A,TRUE,"CIN-14";#N/A,#N/A,TRUE,"CIN-16";#N/A,#N/A,TRUE,"CIN-17";#N/A,#N/A,TRUE,"CIN-18";#N/A,#N/A,TRUE,"CIN Earnings To Fixed Charges";#N/A,#N/A,TRUE,"CIN Financial Ratios";#N/A,#N/A,TRUE,"CIN-IS";#N/A,#N/A,TRUE,"CIN-BS";#N/A,#N/A,TRUE,"CIN-CS";#N/A,#N/A,TRUE,"Invest In Unconsol Subs"}</definedName>
    <definedName name="bmbnmn" hidden="1">{#N/A,#N/A,FALSE,"KA CH  (2)"}</definedName>
    <definedName name="b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bn" hidden="1">{"oct_res_comm",#N/A,FALSE,"VarToBud"}</definedName>
    <definedName name="bnm" hidden="1">{#N/A,#N/A,FALSE,"REPORT"}</definedName>
    <definedName name="bnmk" hidden="1">{#N/A,#N/A,FALSE,"Produkte Erw.";#N/A,#N/A,FALSE,"Produkte Plan";#N/A,#N/A,FALSE,"Leistungen Erw.";#N/A,#N/A,FALSE,"Leistungen Plan";#N/A,#N/A,FALSE,"KA Allg.Kosten (2)";#N/A,#N/A,FALSE,"KA All.Kosten"}</definedName>
    <definedName name="bnmm" hidden="1">{"detail",#N/A,FALSE,"mfg";"summary",#N/A,FALSE,"mfg"}</definedName>
    <definedName name="bnnn" hidden="1">{"consolidated",#N/A,FALSE,"Sheet1";"cms",#N/A,FALSE,"Sheet1";"fse",#N/A,FALSE,"Sheet1"}</definedName>
    <definedName name="bnuyy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H_TOTAL">#N/A</definedName>
    <definedName name="BOH_UC">#N/A</definedName>
    <definedName name="BOHAMT">#N/A</definedName>
    <definedName name="BOHQTY">#N/A</definedName>
    <definedName name="bol_2">"#REF!"</definedName>
    <definedName name="bol_3">"#REF!"</definedName>
    <definedName name="bol_4">"#REF!"</definedName>
    <definedName name="bol_5">"#REF!"</definedName>
    <definedName name="bol_6">"#REF!"</definedName>
    <definedName name="bol_7">"#REF!"</definedName>
    <definedName name="boml_2">"#REF!"</definedName>
    <definedName name="boml_3">"#REF!"</definedName>
    <definedName name="boml_4">"#REF!"</definedName>
    <definedName name="boml_5">"#REF!"</definedName>
    <definedName name="boml_6">"#REF!"</definedName>
    <definedName name="boml_7">"#REF!"</definedName>
    <definedName name="boml1_2">"#REF!"</definedName>
    <definedName name="boml1_3">"#REF!"</definedName>
    <definedName name="boml1_4">"#REF!"</definedName>
    <definedName name="boml1_5">"#REF!"</definedName>
    <definedName name="boml1_6">"#REF!"</definedName>
    <definedName name="boml1_7">"#REF!"</definedName>
    <definedName name="bonus_1">#REF!</definedName>
    <definedName name="Book2">#REF!</definedName>
    <definedName name="BookingSummaries">#REF!</definedName>
    <definedName name="BOOKREP">#REF!</definedName>
    <definedName name="books">#REF!</definedName>
    <definedName name="BOOKVALUE_T">#REF!</definedName>
    <definedName name="BOQ">#REF!</definedName>
    <definedName name="BORDERKostenstelle">#REF!</definedName>
    <definedName name="BORRECO310310" hidden="1">{#N/A,#N/A,FALSE,"CDA Plan"}</definedName>
    <definedName name="BorrowingProgramee">#N/A</definedName>
    <definedName name="both203" hidden="1">{"detail",#N/A,FALSE,"mfg";"summary",#N/A,FALSE,"mfg"}</definedName>
    <definedName name="both204" hidden="1">{"detail",#N/A,FALSE,"mfg";"summary",#N/A,FALSE,"mfg"}</definedName>
    <definedName name="both89n" hidden="1">{"detail",#N/A,FALSE,"mfg";"summary",#N/A,FALSE,"mfg"}</definedName>
    <definedName name="both8mj" hidden="1">{"detail",#N/A,FALSE,"mfg";"summary",#N/A,FALSE,"mfg"}</definedName>
    <definedName name="botl_2">"#REF!"</definedName>
    <definedName name="botl_3">"#REF!"</definedName>
    <definedName name="botl_4">"#REF!"</definedName>
    <definedName name="botl_5">"#REF!"</definedName>
    <definedName name="botl_6">"#REF!"</definedName>
    <definedName name="botl_7">"#REF!"</definedName>
    <definedName name="botl1_2">"#REF!"</definedName>
    <definedName name="botl1_3">"#REF!"</definedName>
    <definedName name="botl1_4">"#REF!"</definedName>
    <definedName name="botl1_5">"#REF!"</definedName>
    <definedName name="botl1_6">"#REF!"</definedName>
    <definedName name="botl1_7">"#REF!"</definedName>
    <definedName name="botn_2">"#REF!"</definedName>
    <definedName name="botn_3">"#REF!"</definedName>
    <definedName name="botn_4">"#REF!"</definedName>
    <definedName name="botn_5">"#REF!"</definedName>
    <definedName name="botn_6">"#REF!"</definedName>
    <definedName name="botn_7">"#REF!"</definedName>
    <definedName name="br" hidden="1">{"oct_res_comm",#N/A,FALSE,"VarToBud"}</definedName>
    <definedName name="BRANCHES">#REF!</definedName>
    <definedName name="Breaks_2">"#REF!"</definedName>
    <definedName name="Breaks_3">"#REF!"</definedName>
    <definedName name="Breaks_4">"#REF!"</definedName>
    <definedName name="Breaks_5">"#REF!"</definedName>
    <definedName name="Breaks_6">"#REF!"</definedName>
    <definedName name="Breaks_7">"#REF!"</definedName>
    <definedName name="BRICE_UMBA_TSIMBA_19">"$#REF!.$#REF!$#REF!:$#REF!$#REF!"</definedName>
    <definedName name="brick4r_2">"#REF!"</definedName>
    <definedName name="brick4r_3">"#REF!"</definedName>
    <definedName name="brick4r_4">"#REF!"</definedName>
    <definedName name="brick4r_5">"#REF!"</definedName>
    <definedName name="brick4r_6">"#REF!"</definedName>
    <definedName name="brick4r_7">"#REF!"</definedName>
    <definedName name="brick6r_2">NA()</definedName>
    <definedName name="brick6r_3">NA()</definedName>
    <definedName name="brick6r_4">NA()</definedName>
    <definedName name="brick6r_5">NA()</definedName>
    <definedName name="brick6r_6">NA()</definedName>
    <definedName name="brick6r_7">NA()</definedName>
    <definedName name="brickbat_2">NA()</definedName>
    <definedName name="brickbat_3">NA()</definedName>
    <definedName name="briggs">#N/A</definedName>
    <definedName name="brofit">#REF!</definedName>
    <definedName name="BRSCompanyList">#REF!</definedName>
    <definedName name="BRSCurrencyList">#REF!</definedName>
    <definedName name="BRSMonthList">#REF!</definedName>
    <definedName name="BRSPhaseList">#REF!</definedName>
    <definedName name="BRSReportingUnitList">#REF!</definedName>
    <definedName name="BRSRoundingList">#REF!</definedName>
    <definedName name="BRSYearList">#REF!</definedName>
    <definedName name="Bryan" hidden="1">{#N/A,"PURADD",FALSE,"Business Analysis";#N/A,"PURSPP",FALSE,"Business Analysis";#N/A,"CTGIND",FALSE,"Business Analysis";#N/A,"PURCHM",FALSE,"Business Analysis";#N/A,"SPADD",FALSE,"Business Analysis";#N/A,"EPOXY",FALSE,"Business Analysis";#N/A,"PURPER",FALSE,"Business Analysis"}</definedName>
    <definedName name="bs">#REF!</definedName>
    <definedName name="BS_cdn">#REF!</definedName>
    <definedName name="BS_Locale">#REF!</definedName>
    <definedName name="BSblnHideRow">#N/A</definedName>
    <definedName name="BSCCPL">NA()</definedName>
    <definedName name="bsdfdsmfbmdsbgm" hidden="1">{#N/A,#N/A,FALSE,"Aging Summary";#N/A,#N/A,FALSE,"Ratio Analysis";#N/A,#N/A,FALSE,"Test 120 Day Accts";#N/A,#N/A,FALSE,"Tickmarks"}</definedName>
    <definedName name="BSDPL" hidden="1">{#N/A,#N/A,FALSE,"CDA Plan"}</definedName>
    <definedName name="bsoct">#REF!</definedName>
    <definedName name="Bsp">#REF!</definedName>
    <definedName name="BSSWIP">IF(Loan_Amount*Interest_Rate*Loan_Years*Loan_Start&gt;0,1,0)</definedName>
    <definedName name="BSWIP">IF(Loan_Amount*Interest_Rate*Loan_Years*Loan_Start&gt;0,1,0)</definedName>
    <definedName name="bt" hidden="1">{"QTR_ACT",#N/A,FALSE,"PROP_PBIT_DEV_Q3";"QTR_BUD",#N/A,FALSE,"PROP_PBIT_DEV_Q3";"YTD_BUD",#N/A,FALSE,"PROP_PBIT_DEV_Q3";"YTD_ACT",#N/A,FALSE,"PROP_PBIT_DEV_Q3";"FY95 SNAP3",#N/A,FALSE,"PROP_PBIT_DEV_Q3";"FY95_BUD",#N/A,FALSE,"PROP_PBIT_DEV_Q3";"FY96_BUD",#N/A,FALSE,"PROP_PBIT_DEV_Q3"}</definedName>
    <definedName name="btcocnhoi">#REF!</definedName>
    <definedName name="BTOI" hidden="1">{#N/A,#N/A,FALSE,"Tabl. FB300";#N/A,#N/A,FALSE,"Tabl. FB350";#N/A,#N/A,FALSE,"Tabl. FB400";#N/A,#N/A,FALSE,"Tabl. FB500";#N/A,#N/A,FALSE,"Tabl. FS090"}</definedName>
    <definedName name="BTSBookings">#REF!</definedName>
    <definedName name="bty" hidden="1">{#N/A,#N/A,FALSE,"PGW"}</definedName>
    <definedName name="bty_2" hidden="1">{#N/A,#N/A,FALSE,"PGW"}</definedName>
    <definedName name="bty_3" hidden="1">{#N/A,#N/A,FALSE,"PGW"}</definedName>
    <definedName name="bty_4" hidden="1">{#N/A,#N/A,FALSE,"PGW"}</definedName>
    <definedName name="bua_2">"#REF!"</definedName>
    <definedName name="bua_3">"#REF!"</definedName>
    <definedName name="bua_4">"#REF!"</definedName>
    <definedName name="bua_5">"#REF!"</definedName>
    <definedName name="bua_6">"#REF!"</definedName>
    <definedName name="bua_7">"#REF!"</definedName>
    <definedName name="BUC" hidden="1">{"Page 1",#N/A,TRUE,"Sheet1";"Page 2",#N/A,TRUE,"Sheet1"}</definedName>
    <definedName name="BUD">#REF!</definedName>
    <definedName name="Budget">#N/A</definedName>
    <definedName name="Budget_Filter">#REF!</definedName>
    <definedName name="Budget2009May" hidden="1">{#N/A,#N/A,TRUE,"BALSCH";#N/A,#N/A,TRUE,"COMICRO";#N/A,#N/A,TRUE,"CHECKS";#N/A,#N/A,TRUE,"GLASS";#N/A,#N/A,TRUE,"DEPRE";#N/A,#N/A,TRUE,"A&amp;MCUR";#N/A,#N/A,TRUE,"AGEANAlysis";#N/A,#N/A,TRUE,"CHECKS"}</definedName>
    <definedName name="BudgetCurrentMonth">#REF!</definedName>
    <definedName name="BudgetCurrentYearBeginDate">#REF!</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ld">#REF!</definedName>
    <definedName name="BUILDING">#REF!</definedName>
    <definedName name="BuiltIn_Consolidate_Area">NA()</definedName>
    <definedName name="BuiltIn_Consolidate_Area___0">NA()</definedName>
    <definedName name="BuiltIn_Consolidate_Area___0___0">NA()</definedName>
    <definedName name="BuiltIn_Consolidate_Area___1">NA()</definedName>
    <definedName name="BuiltIn_Consolidate_Area___2">NA()</definedName>
    <definedName name="BuiltIn_Print_Area">#REF!</definedName>
    <definedName name="BuiltIn_Print_Area___0">#N/A</definedName>
    <definedName name="BuiltIn_Print_Area___0___0___0___0___0">#REF!</definedName>
    <definedName name="BuiltIn_Print_Area___0_1">0</definedName>
    <definedName name="BuiltIn_Print_Area___0_10">0</definedName>
    <definedName name="BuiltIn_Print_Area___0_11">0</definedName>
    <definedName name="BuiltIn_Print_Area___0_12">0</definedName>
    <definedName name="BuiltIn_Print_Area___0_13">0</definedName>
    <definedName name="BuiltIn_Print_Area___0_14">0</definedName>
    <definedName name="BuiltIn_Print_Area___0_15">0</definedName>
    <definedName name="BuiltIn_Print_Area___0_16">0</definedName>
    <definedName name="BuiltIn_Print_Area___0_17">0</definedName>
    <definedName name="BuiltIn_Print_Area___0_18">0</definedName>
    <definedName name="BuiltIn_Print_Area___0_19">0</definedName>
    <definedName name="BuiltIn_Print_Area___0_2">"#REF!"</definedName>
    <definedName name="BuiltIn_Print_Area___0_3">"#REF!"</definedName>
    <definedName name="BuiltIn_Print_Area___0_4">"#REF!"</definedName>
    <definedName name="BuiltIn_Print_Area___0_5">"#REF!"</definedName>
    <definedName name="BuiltIn_Print_Area___0_6">"#REF!"</definedName>
    <definedName name="BuiltIn_Print_Area___0_7">"#REF!"</definedName>
    <definedName name="BuiltIn_Print_Area___0_8">0</definedName>
    <definedName name="BuiltIn_Print_Area___0_9">0</definedName>
    <definedName name="BuiltIn_Print_Area___4">#REF!</definedName>
    <definedName name="BuiltIn_Print_Area___5">#REF!</definedName>
    <definedName name="BuiltIn_Print_Area___7">#REF!</definedName>
    <definedName name="BuiltIn_Print_Titles___0_1">0</definedName>
    <definedName name="BuiltIn_Print_Titles___0_2">0</definedName>
    <definedName name="BuiltIn_Print_Titles___0_3">0</definedName>
    <definedName name="BuiltIn_Print_Titles___0_4">0</definedName>
    <definedName name="BuiltIn_Print_Titles___0_5">0</definedName>
    <definedName name="BuiltIn_Print_Titles___0_6">0</definedName>
    <definedName name="builtup_2">"#REF!"</definedName>
    <definedName name="builtup_3">"#REF!"</definedName>
    <definedName name="builtup_4">"#REF!"</definedName>
    <definedName name="builtup_5">"#REF!"</definedName>
    <definedName name="builtup_6">"#REF!"</definedName>
    <definedName name="builtup_7">"#REF!"</definedName>
    <definedName name="bull" hidden="1">{"detail",#N/A,FALSE,"mfg";"summary",#N/A,FALSE,"mfg"}</definedName>
    <definedName name="bull2" hidden="1">{#N/A,"PURCHM",FALSE,"Business Analysis";#N/A,"SPADD",FALSE,"Business Analysis"}</definedName>
    <definedName name="bull3" hidden="1">{"detail",#N/A,FALSE,"mfg";"summary",#N/A,FALSE,"mfg"}</definedName>
    <definedName name="bull4" hidden="1">{#N/A,"PURCHM",FALSE,"Business Analysis";#N/A,"SPADD",FALSE,"Business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rdenrate">#REF!</definedName>
    <definedName name="BURGLARY">#N/A</definedName>
    <definedName name="BURPAK_2">NA()</definedName>
    <definedName name="BURPAK_3">NA()</definedName>
    <definedName name="BURPAK_4">NA()</definedName>
    <definedName name="BURPAK_5">NA()</definedName>
    <definedName name="BURPAK_6">NA()</definedName>
    <definedName name="BURPAK_7">NA()</definedName>
    <definedName name="burpark_2">NA()</definedName>
    <definedName name="burpark_3">NA()</definedName>
    <definedName name="burpark_4">NA()</definedName>
    <definedName name="burpark_5">NA()</definedName>
    <definedName name="burpark_6">NA()</definedName>
    <definedName name="burpark_7">NA()</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car">"REGULATEN"</definedName>
    <definedName name="Business">#REF!</definedName>
    <definedName name="Businesses">#N/A</definedName>
    <definedName name="BusinessStreams">#N/A</definedName>
    <definedName name="Button_5">"AS_PER_TALLY_31_09_04_ONYX_List"</definedName>
    <definedName name="Button_633">"ML_WORKS_PRICE_STOCK_2004_DATABASE_List"</definedName>
    <definedName name="Button_7">"AS_PER_TALLY_31_09_04_ONYX_List1"</definedName>
    <definedName name="Button_8">"AS_PER_TALLY_31_09_04_ONYX_List1"</definedName>
    <definedName name="Buy">#REF!</definedName>
    <definedName name="Buyer">#REF!</definedName>
    <definedName name="bv" hidden="1">{"net assets",#N/A,FALSE,"summary";"asset turnover",#N/A,FALSE,"summary";"orona",#N/A,FALSE,"summary"}</definedName>
    <definedName name="BVCISUMMARY">#REF!</definedName>
    <definedName name="bvcx" hidden="1">{"apci",#N/A,FALSE,"Chem_CY";"eastman",#N/A,FALSE,"Eastman";"betz",#N/A,FALSE,"Betz";"great lakes",#N/A,FALSE,"Great_Lakes";"hercules",#N/A,FALSE,"Hercules Chem Seg Data";"rohm",#N/A,FALSE,"Rohm";"union carbide",#N/A,FALSE,"Union";"witco",#N/A,FALSE,"Witco"}</definedName>
    <definedName name="bw">#N/A</definedName>
    <definedName name="bwgh" hidden="1">{#N/A,#N/A,FALSE,"OSBL"}</definedName>
    <definedName name="bwgh_1" hidden="1">{#N/A,#N/A,FALSE,"OSBL"}</definedName>
    <definedName name="bwgh_2" hidden="1">{#N/A,#N/A,FALSE,"OSBL"}</definedName>
    <definedName name="bwgh_3" hidden="1">{#N/A,#N/A,FALSE,"OSBL"}</definedName>
    <definedName name="bwgh_4" hidden="1">{#N/A,#N/A,FALSE,"OSBL"}</definedName>
    <definedName name="bwrhrt" hidden="1">{#N/A,#N/A,FALSE,"PGW"}</definedName>
    <definedName name="bwrhrt_1" hidden="1">{#N/A,#N/A,FALSE,"PGW"}</definedName>
    <definedName name="bwrhrt_2" hidden="1">{#N/A,#N/A,FALSE,"PGW"}</definedName>
    <definedName name="bwrhrt_3" hidden="1">{#N/A,#N/A,FALSE,"PGW"}</definedName>
    <definedName name="bwrhrt_4" hidden="1">{#N/A,#N/A,FALSE,"PGW"}</definedName>
    <definedName name="bxee">#N/A</definedName>
    <definedName name="bz" hidden="1">{"sales growth",#N/A,FALSE,"summary";"oper income",#N/A,FALSE,"summary";"oros rank",#N/A,FALSE,"summary";"net assets",#N/A,FALSE,"summary";"asset turnover",#N/A,FALSE,"summary";"orona",#N/A,FALSE,"summary"}</definedName>
    <definedName name="bzd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sandR_2">NA()</definedName>
    <definedName name="C.sandR_3">NA()</definedName>
    <definedName name="C.sandR_4">NA()</definedName>
    <definedName name="C.sandR_5">NA()</definedName>
    <definedName name="C.sandR_6">NA()</definedName>
    <definedName name="c\">#REF!</definedName>
    <definedName name="C__2">"#REF!"</definedName>
    <definedName name="C__3">"#REF!"</definedName>
    <definedName name="C__4">"#REF!"</definedName>
    <definedName name="C__5">"#REF!"</definedName>
    <definedName name="C__6">"#REF!"</definedName>
    <definedName name="C__7">"#REF!"</definedName>
    <definedName name="c_date">#REF!</definedName>
    <definedName name="c_dateswitch">#REF!</definedName>
    <definedName name="c_pageswitch">#REF!</definedName>
    <definedName name="c_pathswitch">#REF!</definedName>
    <definedName name="c_prevswitch">#REF!</definedName>
    <definedName name="c_proj_switch">#REF!</definedName>
    <definedName name="c_project_name">#REF!</definedName>
    <definedName name="C_VND">0.03</definedName>
    <definedName name="c_week_of">#REF!</definedName>
    <definedName name="C_YEN">0.1</definedName>
    <definedName name="CA">#REF!</definedName>
    <definedName name="cabinet_2">"#REF!"</definedName>
    <definedName name="cabinet_3">"#REF!"</definedName>
    <definedName name="cabinet_4">"#REF!"</definedName>
    <definedName name="cabinet_5">"#REF!"</definedName>
    <definedName name="cabinet_6">"#REF!"</definedName>
    <definedName name="cabinet_7">"#REF!"</definedName>
    <definedName name="cadcd" hidden="1">{#N/A,#N/A,TRUE,"Front";#N/A,#N/A,TRUE,"Simple Letter";#N/A,#N/A,TRUE,"Inside";#N/A,#N/A,TRUE,"Contents";#N/A,#N/A,TRUE,"Basis";#N/A,#N/A,TRUE,"Inclusions";#N/A,#N/A,TRUE,"Exclusions";#N/A,#N/A,TRUE,"Areas";#N/A,#N/A,TRUE,"Summary";#N/A,#N/A,TRUE,"Detail"}</definedName>
    <definedName name="CAF_Switch" hidden="1">{#N/A,#N/A,FALSE,"Staffnos &amp; cost"}</definedName>
    <definedName name="cal97_eps">#REF!</definedName>
    <definedName name="cal98_eps">#REF!</definedName>
    <definedName name="cal99_eps">#REF!</definedName>
    <definedName name="calc">1</definedName>
    <definedName name="calc1">#N/A</definedName>
    <definedName name="calcutta" hidden="1">{#N/A,#N/A,FALSE,"CMN_FE"}</definedName>
    <definedName name="Canada" hidden="1">{#N/A,#N/A,FALSE,"PM8 table"}</definedName>
    <definedName name="cant_1">NA()</definedName>
    <definedName name="Cap" hidden="1">{TRUE,TRUE,-1.25,-15.5,456.75,279.75,FALSE,FALSE,TRUE,TRUE,0,1,18,1,199,6,3,4,TRUE,TRUE,3,TRUE,1,TRUE,100,"Swvu.cash.","ACwvu.cash.",1,FALSE,FALSE,0.511811023622047,0.511811023622047,0.511811023622047,0.511811023622047,1,"","",FALSE,FALSE,FALSE,FALSE,1,#N/A,1,1,#DIV/0!,FALSE,"Rwvu.cash.",#N/A,FALSE,FALSE}</definedName>
    <definedName name="cap\loan">#REF!</definedName>
    <definedName name="CAPBOH">#N/A</definedName>
    <definedName name="CAPEOH">#N/A</definedName>
    <definedName name="CAPEX">#REF!</definedName>
    <definedName name="CAPEX2">#REF!</definedName>
    <definedName name="capgains">#REF!</definedName>
    <definedName name="capital_2">"#REF!"</definedName>
    <definedName name="capital_3">"#REF!"</definedName>
    <definedName name="capital_4">"#REF!"</definedName>
    <definedName name="capital_5">"#REF!"</definedName>
    <definedName name="capital_6">"#REF!"</definedName>
    <definedName name="capital_7">"#REF!"</definedName>
    <definedName name="CapSpendingExcludesSanFu" hidden="1">{"detail",#N/A,FALSE,"mfg";"summary",#N/A,FALSE,"mfg"}</definedName>
    <definedName name="CapTable">#REF!</definedName>
    <definedName name="CapTable2">#REF!</definedName>
    <definedName name="CAr" hidden="1">{#N/A,#N/A,FALSE,"COMICRO";#N/A,#N/A,FALSE,"BALSCH";#N/A,#N/A,FALSE,"GLASS";#N/A,#N/A,FALSE,"DEPRE";#N/A,#N/A,FALSE,"A&amp;MCUR";#N/A,#N/A,FALSE,"AGEANAlysis";#N/A,#N/A,FALSE,"CHECKS";#N/A,#N/A,FALSE,"CHECKS"}</definedName>
    <definedName name="Car_Ownewship">#REF!</definedName>
    <definedName name="CArea">#REF!</definedName>
    <definedName name="CarFees">#REF!</definedName>
    <definedName name="CASCSAC" hidden="1">{#N/A,#N/A,FALSE,"TOWNSHIP"}</definedName>
    <definedName name="CASCSAC_1" hidden="1">{#N/A,#N/A,FALSE,"TOWNSHIP"}</definedName>
    <definedName name="CASCSAC_2" hidden="1">{#N/A,#N/A,FALSE,"TOWNSHIP"}</definedName>
    <definedName name="CASCSAC_3" hidden="1">{#N/A,#N/A,FALSE,"TOWNSHIP"}</definedName>
    <definedName name="CASCSAC_4" hidden="1">{#N/A,#N/A,FALSE,"TOWNSHIP"}</definedName>
    <definedName name="Case">#REF!</definedName>
    <definedName name="Case_Description">#REF!</definedName>
    <definedName name="Case_Description_1">#REF!</definedName>
    <definedName name="Case_Description_2">#REF!</definedName>
    <definedName name="Case_Description_3">#REF!</definedName>
    <definedName name="Case_Number">#REF!</definedName>
    <definedName name="Cases">#REF!</definedName>
    <definedName name="Cases1">#REF!</definedName>
    <definedName name="Cases2">#REF!</definedName>
    <definedName name="Cases3">#REF!</definedName>
    <definedName name="CASH">#REF!</definedName>
    <definedName name="cash_bank_2">"#REF!"</definedName>
    <definedName name="cash_bank_3">"#REF!"</definedName>
    <definedName name="cash_bank_4">"#REF!"</definedName>
    <definedName name="cash_bank_5">"#REF!"</definedName>
    <definedName name="cash_bank_6">"#REF!"</definedName>
    <definedName name="cash_bank_7">"#REF!"</definedName>
    <definedName name="Cash_Flow_Statement">#REF!</definedName>
    <definedName name="CashFlow">#REF!</definedName>
    <definedName name="cashflows_1">#REF!</definedName>
    <definedName name="cashflows_2">#REF!</definedName>
    <definedName name="cashflows_3">#REF!</definedName>
    <definedName name="cashflows_4">#REF!</definedName>
    <definedName name="cashflows_print">#REF!</definedName>
    <definedName name="cashflows1_print">#REF!</definedName>
    <definedName name="cashflows2_print">#REF!</definedName>
    <definedName name="cat" hidden="1">{#N/A,#N/A,FALSE,"Taxblinc";#N/A,#N/A,FALSE,"Rsvsacls"}</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71.">#N/A</definedName>
    <definedName name="cbncbvc">#N/A</definedName>
    <definedName name="CBWorkbookPriority" hidden="1">-2038852085</definedName>
    <definedName name="cc" hidden="1">{#N/A,"PURADD",FALSE,"Business Analysis";#N/A,"PURSPP",FALSE,"Business Analysis";#N/A,"CTGIND",FALSE,"Business Analysis";#N/A,"PURCHM",FALSE,"Business Analysis";#N/A,"SPADD",FALSE,"Business Analysis";#N/A,"EPOXY",FALSE,"Business Analysis";#N/A,"PURPER",FALSE,"Business Analysis"}</definedName>
    <definedName name="ccc">City&amp;" "&amp;State</definedName>
    <definedName name="ccc_1">NA()</definedName>
    <definedName name="ccc_16">#NAME?&amp;" "&amp;#NAME?</definedName>
    <definedName name="ccc_17">#NAME?&amp;" "&amp;#NAME?</definedName>
    <definedName name="ccc_18">#NAME?&amp;" "&amp;#NAME?</definedName>
    <definedName name="ccc_19">#NAME?&amp;" "&amp;#NAME?</definedName>
    <definedName name="ccc_2">"city"&amp;" "&amp;"state"</definedName>
    <definedName name="ccc_21">#NAME?&amp;" "&amp;#NAME?</definedName>
    <definedName name="ccc_3">"city"&amp;" "&amp;"state"</definedName>
    <definedName name="ccc_4">"city"&amp;" "&amp;"state"</definedName>
    <definedName name="ccc_5">"city"&amp;" "&amp;"state"</definedName>
    <definedName name="ccc_6">"city"&amp;" "&amp;"state"</definedName>
    <definedName name="ccc_7">"city"&amp;" "&amp;"state"</definedName>
    <definedName name="cccc" hidden="1">{#N/A,#N/A,FALSE,"Layout Cash Flow"}</definedName>
    <definedName name="ccccc" hidden="1">{#N/A,#N/A,FALSE,"Layout Cash Flow"}</definedName>
    <definedName name="CCCL">"#REF!"</definedName>
    <definedName name="CCCL_1">"#REF!"</definedName>
    <definedName name="CCCL_2">"#REF!"</definedName>
    <definedName name="CCCL_3">"#REF!"</definedName>
    <definedName name="CCCL_4">"#REF!"</definedName>
    <definedName name="CCCL_5">"#REF!"</definedName>
    <definedName name="ccf" hidden="1">{"YD PRS",#N/A,FALSE,"YTD"}</definedName>
    <definedName name="CCost">#REF!</definedName>
    <definedName name="ccvc">#N/A</definedName>
    <definedName name="CD">#REF!</definedName>
    <definedName name="cdds" hidden="1">{"detail",#N/A,FALSE,"mfg";"summary",#N/A,FALSE,"mfg"}</definedName>
    <definedName name="CDE">{"Client Name or Project Name"}</definedName>
    <definedName name="cdf" hidden="1">{"sales growth",#N/A,FALSE,"summary";"oper income",#N/A,FALSE,"summary";"oros rank",#N/A,FALSE,"summary";"net assets",#N/A,FALSE,"summary";"asset turnover",#N/A,FALSE,"summary";"orona",#N/A,FALSE,"summary"}</definedName>
    <definedName name="cdg" hidden="1">{#N/A,#N/A,FALSE,"CDA Plan"}</definedName>
    <definedName name="cds" hidden="1">{"detail",#N/A,FALSE,"mfg";"summary",#N/A,FALSE,"mfg"}</definedName>
    <definedName name="Cdscds" hidden="1">{"'7'!$B$15:$D$32"}</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line" hidden="1">{#N/A,#N/A,FALSE,"Tabl. G1";#N/A,#N/A,FALSE,"Tabl. G2"}</definedName>
    <definedName name="cem_1">NA()</definedName>
    <definedName name="cement_2">"#REF!"</definedName>
    <definedName name="cement_3">"#REF!"</definedName>
    <definedName name="cement_4">"#REF!"</definedName>
    <definedName name="cement_5">"#REF!"</definedName>
    <definedName name="cement_6">"#REF!"</definedName>
    <definedName name="cement_7">"#REF!"</definedName>
    <definedName name="CementR_2">"#REF!"</definedName>
    <definedName name="CementR_3">"#REF!"</definedName>
    <definedName name="CementR_4">"#REF!"</definedName>
    <definedName name="CementR_5">"#REF!"</definedName>
    <definedName name="CementR_6">"#REF!"</definedName>
    <definedName name="CementR_7">"#REF!"</definedName>
    <definedName name="central.margin">#REF!</definedName>
    <definedName name="ceramicr_2">"#REF!"</definedName>
    <definedName name="ceramicr_3">"#REF!"</definedName>
    <definedName name="ceramicr_4">"#REF!"</definedName>
    <definedName name="ceramicr_5">"#REF!"</definedName>
    <definedName name="ceramicr_6">"#REF!"</definedName>
    <definedName name="ceramicr_7">"#REF!"</definedName>
    <definedName name="CETS_Second_OPx_Escort">#REF!</definedName>
    <definedName name="cew" hidden="1">{"ICD Details",#N/A,FALSE,"Current Yr";"ICD Details",#N/A,FALSE,"Budget";"ICD Details",#N/A,FALSE,"Prior Year"}</definedName>
    <definedName name="CEXP">#REF!</definedName>
    <definedName name="CF" hidden="1">{"TOTAL",#N/A,FALSE,"A";"FISCAL94",#N/A,FALSE,"A";"FISCAL95",#N/A,FALSE,"A";"FISCAL96",#N/A,FALSE,"A";"misc page",#N/A,FALSE,"A"}</definedName>
    <definedName name="cf_1">{#N/A,#N/A,TRUE,"Front";#N/A,#N/A,TRUE,"Simple Letter";#N/A,#N/A,TRUE,"Inside";#N/A,#N/A,TRUE,"Contents";#N/A,#N/A,TRUE,"Basis";#N/A,#N/A,TRUE,"Inclusions";#N/A,#N/A,TRUE,"Exclusions";#N/A,#N/A,TRUE,"Areas";#N/A,#N/A,TRUE,"Summary";#N/A,#N/A,TRUE,"Detail"}</definedName>
    <definedName name="cf_2">NA()</definedName>
    <definedName name="cf_3">NA()</definedName>
    <definedName name="cf_4">NA()</definedName>
    <definedName name="cf_5">NA()</definedName>
    <definedName name="cf_6">NA()</definedName>
    <definedName name="cff" hidden="1">{#N/A,#N/A,TRUE,"Front";#N/A,#N/A,TRUE,"Simple Letter";#N/A,#N/A,TRUE,"Inside";#N/A,#N/A,TRUE,"Contents";#N/A,#N/A,TRUE,"Basis";#N/A,#N/A,TRUE,"Inclusions";#N/A,#N/A,TRUE,"Exclusions";#N/A,#N/A,TRUE,"Areas";#N/A,#N/A,TRUE,"Summary";#N/A,#N/A,TRUE,"Detail"}</definedName>
    <definedName name="cff_1">NA()</definedName>
    <definedName name="cff_2">NA()</definedName>
    <definedName name="cff_3">NA()</definedName>
    <definedName name="cfg" hidden="1">{"Act_vs_Budget",#N/A,FALSE,"QTRDPVAR";"Act_vs_Prior_Year",#N/A,FALSE,"QTRDPVAR"}</definedName>
    <definedName name="cfk">#REF!</definedName>
    <definedName name="cflo" hidden="1">{"CASH FLOW",#N/A,FALSE,"A"}</definedName>
    <definedName name="cfm">#REF!</definedName>
    <definedName name="CFM_Data">#REF!</definedName>
    <definedName name="cfs" hidden="1">{"YD LOUISIANA",#N/A,FALSE,"YTD"}</definedName>
    <definedName name="CGF" hidden="1">{#N/A,#N/A,FALSE,"TOWNSHIP"}</definedName>
    <definedName name="CGFGFGF" hidden="1">{#N/A,#N/A,FALSE,"FREE"}</definedName>
    <definedName name="cghf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vg" hidden="1">{#N/A,#N/A,FALSE,"FREE"}</definedName>
    <definedName name="cgvg_2" hidden="1">{#N/A,#N/A,FALSE,"FREE"}</definedName>
    <definedName name="cgvg_3" hidden="1">{#N/A,#N/A,FALSE,"FREE"}</definedName>
    <definedName name="cgvg_4" hidden="1">{#N/A,#N/A,FALSE,"FREE"}</definedName>
    <definedName name="Cha" hidden="1">{#N/A,#N/A,FALSE,"gc (2)"}</definedName>
    <definedName name="chandra">"#REF!"</definedName>
    <definedName name="chandra_1">"#REF!"</definedName>
    <definedName name="chandra_2">"#REF!"</definedName>
    <definedName name="chandra_3">"#REF!"</definedName>
    <definedName name="chandra_4">"#REF!"</definedName>
    <definedName name="chandra_5">"#REF!"</definedName>
    <definedName name="Channel">#REF!</definedName>
    <definedName name="Channel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argers" hidden="1">{"PAGE 1",#N/A,FALSE,"ES-01-XX";"PAGE 2",#N/A,FALSE,"ES-01-XX"}</definedName>
    <definedName name="chart">"Chart 2"</definedName>
    <definedName name="ChartCaptions">#REF!</definedName>
    <definedName name="ChartingArea">#REF!,#REF!</definedName>
    <definedName name="ChartingLabels">#REF!</definedName>
    <definedName name="CHATHAM">#N/A</definedName>
    <definedName name="check">City&amp;" "&amp;State</definedName>
    <definedName name="check_1">NA()</definedName>
    <definedName name="check_16">#NAME?&amp;" "&amp;#NAME?</definedName>
    <definedName name="check_17">#NAME?&amp;" "&amp;#NAME?</definedName>
    <definedName name="check_18">#NAME?&amp;" "&amp;#NAME?</definedName>
    <definedName name="check_19">#NAME?&amp;" "&amp;#NAME?</definedName>
    <definedName name="check_2">"city"&amp;" "&amp;"state"</definedName>
    <definedName name="check_21">#NAME?&amp;" "&amp;#NAME?</definedName>
    <definedName name="check_3">"city"&amp;" "&amp;"state"</definedName>
    <definedName name="check_4">"city"&amp;" "&amp;"state"</definedName>
    <definedName name="check_5">"city"&amp;" "&amp;"state"</definedName>
    <definedName name="check_6">"city"&amp;" "&amp;"state"</definedName>
    <definedName name="check_7">"city"&amp;" "&amp;"state"</definedName>
    <definedName name="Check_Code">"Check Code"</definedName>
    <definedName name="checked_2">"#REF!"</definedName>
    <definedName name="checked_3">"#REF!"</definedName>
    <definedName name="checked_4">"#REF!"</definedName>
    <definedName name="checked_5">"#REF!"</definedName>
    <definedName name="checked_6">"#REF!"</definedName>
    <definedName name="checked_7">"#REF!"</definedName>
    <definedName name="chequredr_2">"#REF!"</definedName>
    <definedName name="chequredr_3">"#REF!"</definedName>
    <definedName name="chequredr_4">"#REF!"</definedName>
    <definedName name="chequredr_5">"#REF!"</definedName>
    <definedName name="chequredr_6">"#REF!"</definedName>
    <definedName name="chequredr_7">"#REF!"</definedName>
    <definedName name="CHHANEL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i_faber_summ">#REF!</definedName>
    <definedName name="chik" hidden="1">{#N/A,#N/A,FALSE,"Summary";#N/A,#N/A,FALSE,"1991";#N/A,#N/A,FALSE,"91 AMT";#N/A,#N/A,FALSE,"1992";#N/A,#N/A,FALSE,"92 AMT";#N/A,#N/A,FALSE,"1993";#N/A,#N/A,FALSE,"93 AMT"}</definedName>
    <definedName name="chiyoko">#REF!</definedName>
    <definedName name="Choices_Wrapper">#REF!</definedName>
    <definedName name="chosie" hidden="1">{#N/A,#N/A,FALSE,"Pharm";#N/A,#N/A,FALSE,"WWCM"}</definedName>
    <definedName name="chung">66</definedName>
    <definedName name="CIGA">#REF!</definedName>
    <definedName name="CIQWBGuid" hidden="1">"11cf26e4-f099-48c2-bc81-018194b1545d"</definedName>
    <definedName name="CIQWBInfo" hidden="1">"{ ""CIQVersion"":""9.51.3510.3078"" }"</definedName>
    <definedName name="cit">#REF!</definedName>
    <definedName name="City">"'file://Bks/D/draftfinancialsbymanojindushyd/BANDHAN-NBFC-_Fin_Statatement-2009-Ver-1-27.04.2009.xlsx'#$''.$B$2"</definedName>
    <definedName name="City_1">"'file://Bks/D/draftfinancialsbymanojindushyd/BANDHAN-NBFC-_Fin_Statatement-2009-Ver-1-27.04.2009.xlsx'#$''.$B$2"</definedName>
    <definedName name="CIVIL_1">"#REF!"</definedName>
    <definedName name="CIVIL_2">"#REF!"</definedName>
    <definedName name="cjghjhj" hidden="1">{#N/A,#N/A,FALSE,"Umsatz CH";#N/A,#N/A,FALSE,"ER CH";#N/A,#N/A,FALSE,"EA CH (2) ";#N/A,#N/A,FALSE,"EA CH";#N/A,#N/A,FALSE,"EA CH (3) ";#N/A,#N/A,FALSE,"EA CH (4)";#N/A,#N/A,FALSE,"KA CH";#N/A,#N/A,FALSE,"KA CH  (2)";#N/A,#N/A,FALSE,"KA CH  (3)";#N/A,#N/A,FALSE,"KA CH (4)"}</definedName>
    <definedName name="CL">#REF!</definedName>
    <definedName name="clairep" hidden="1">{"Page 1",#N/A,TRUE,"Sheet1";"Page 2",#N/A,TRUE,"Sheet1"}</definedName>
    <definedName name="Class_B">68.45</definedName>
    <definedName name="CLEAR">#REF!</definedName>
    <definedName name="Clear_data_input">#N/A</definedName>
    <definedName name="Client_Group">#REF!</definedName>
    <definedName name="Client_Name">#REF!</definedName>
    <definedName name="ClosePrint">#REF!</definedName>
    <definedName name="Closing">32233</definedName>
    <definedName name="Closing_Month">#REF!</definedName>
    <definedName name="CLOSING1">32201</definedName>
    <definedName name="CLOSING2">32233</definedName>
    <definedName name="CLOSING3">32333</definedName>
    <definedName name="cma" hidden="1">{#N/A,#N/A,FALSE,"CDA Plan"}</definedName>
    <definedName name="cmdOK2_click">#REF!</definedName>
    <definedName name="Cment_2">NA()</definedName>
    <definedName name="Cment_3">NA()</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o">3</definedName>
    <definedName name="COAT">#REF!</definedName>
    <definedName name="Code">#REF!</definedName>
    <definedName name="CODE0002_2">"#REF!"</definedName>
    <definedName name="CODE0002_3">"#REF!"</definedName>
    <definedName name="CODE0002_4">"#REF!"</definedName>
    <definedName name="CODE0002_5">"#REF!"</definedName>
    <definedName name="CODE0002_6">"#REF!"</definedName>
    <definedName name="CODE0002_7">"#REF!"</definedName>
    <definedName name="CODE0012_2">"#REF!"</definedName>
    <definedName name="CODE0012_3">"#REF!"</definedName>
    <definedName name="CODE0012_4">"#REF!"</definedName>
    <definedName name="CODE0012_5">"#REF!"</definedName>
    <definedName name="CODE0012_6">"#REF!"</definedName>
    <definedName name="CODE0012_7">"#REF!"</definedName>
    <definedName name="code0101_2">"#REF!"</definedName>
    <definedName name="code0101_3">"#REF!"</definedName>
    <definedName name="code0101_4">"#REF!"</definedName>
    <definedName name="code0101_5">"#REF!"</definedName>
    <definedName name="code0101_6">"#REF!"</definedName>
    <definedName name="code0101_7">"#REF!"</definedName>
    <definedName name="code0102_2">"#REF!"</definedName>
    <definedName name="code0102_3">"#REF!"</definedName>
    <definedName name="code0102_4">"#REF!"</definedName>
    <definedName name="code0102_5">"#REF!"</definedName>
    <definedName name="code0102_6">"#REF!"</definedName>
    <definedName name="code0102_7">"#REF!"</definedName>
    <definedName name="code0114_2">"#REF!"</definedName>
    <definedName name="code0114_3">"#REF!"</definedName>
    <definedName name="code0114_4">"#REF!"</definedName>
    <definedName name="code0114_5">"#REF!"</definedName>
    <definedName name="code0114_6">"#REF!"</definedName>
    <definedName name="code0114_7">"#REF!"</definedName>
    <definedName name="code0115_2">"#REF!"</definedName>
    <definedName name="code0115_3">"#REF!"</definedName>
    <definedName name="code0115_4">"#REF!"</definedName>
    <definedName name="code0115_5">"#REF!"</definedName>
    <definedName name="code0115_6">"#REF!"</definedName>
    <definedName name="code0115_7">"#REF!"</definedName>
    <definedName name="code0123_2">"#REF!"</definedName>
    <definedName name="code0123_3">"#REF!"</definedName>
    <definedName name="code0123_4">"#REF!"</definedName>
    <definedName name="code0123_5">"#REF!"</definedName>
    <definedName name="code0123_6">"#REF!"</definedName>
    <definedName name="code0123_7">"#REF!"</definedName>
    <definedName name="code0124_2">"#REF!"</definedName>
    <definedName name="code0124_3">"#REF!"</definedName>
    <definedName name="code0124_4">"#REF!"</definedName>
    <definedName name="code0124_5">"#REF!"</definedName>
    <definedName name="code0124_6">"#REF!"</definedName>
    <definedName name="code0124_7">"#REF!"</definedName>
    <definedName name="CODE0155_2">"#REF!"</definedName>
    <definedName name="CODE0155_3">"#REF!"</definedName>
    <definedName name="CODE0155_4">"#REF!"</definedName>
    <definedName name="CODE0155_5">"#REF!"</definedName>
    <definedName name="CODE0155_6">"#REF!"</definedName>
    <definedName name="CODE0155_7">"#REF!"</definedName>
    <definedName name="CODE0293_2">"#REF!"</definedName>
    <definedName name="CODE0293_3">"#REF!"</definedName>
    <definedName name="CODE0293_4">"#REF!"</definedName>
    <definedName name="CODE0293_5">"#REF!"</definedName>
    <definedName name="CODE0293_6">"#REF!"</definedName>
    <definedName name="CODE0293_7">"#REF!"</definedName>
    <definedName name="CODE0295_2">"#REF!"</definedName>
    <definedName name="CODE0295_3">"#REF!"</definedName>
    <definedName name="CODE0295_4">"#REF!"</definedName>
    <definedName name="CODE0295_5">"#REF!"</definedName>
    <definedName name="CODE0295_6">"#REF!"</definedName>
    <definedName name="CODE0295_7">"#REF!"</definedName>
    <definedName name="CODE0297_2">"#REF!"</definedName>
    <definedName name="CODE0297_3">"#REF!"</definedName>
    <definedName name="CODE0297_4">"#REF!"</definedName>
    <definedName name="CODE0297_5">"#REF!"</definedName>
    <definedName name="CODE0297_6">"#REF!"</definedName>
    <definedName name="CODE0297_7">"#REF!"</definedName>
    <definedName name="CODE0367_2">"#REF!"</definedName>
    <definedName name="CODE0367_3">"#REF!"</definedName>
    <definedName name="CODE0367_4">"#REF!"</definedName>
    <definedName name="CODE0367_5">"#REF!"</definedName>
    <definedName name="CODE0367_6">"#REF!"</definedName>
    <definedName name="CODE0367_7">"#REF!"</definedName>
    <definedName name="CODE0589_2">NA()</definedName>
    <definedName name="CODE0589_3">NA()</definedName>
    <definedName name="CODE0589_4">NA()</definedName>
    <definedName name="CODE0589_5">NA()</definedName>
    <definedName name="CODE0589_6">NA()</definedName>
    <definedName name="code0689_2">NA()</definedName>
    <definedName name="code0689_3">NA()</definedName>
    <definedName name="code0689_4">NA()</definedName>
    <definedName name="code0689_5">NA()</definedName>
    <definedName name="code0689_6">NA()</definedName>
    <definedName name="CODE0982_2">"#REF!"</definedName>
    <definedName name="CODE0982_3">"#REF!"</definedName>
    <definedName name="CODE0982_4">"#REF!"</definedName>
    <definedName name="CODE0982_5">"#REF!"</definedName>
    <definedName name="CODE0982_6">"#REF!"</definedName>
    <definedName name="CODE0982_7">"#REF!"</definedName>
    <definedName name="code0983_2">"#REF!"</definedName>
    <definedName name="code0983_3">"#REF!"</definedName>
    <definedName name="code0983_4">"#REF!"</definedName>
    <definedName name="code0983_5">"#REF!"</definedName>
    <definedName name="code0983_6">"#REF!"</definedName>
    <definedName name="code0983_7">"#REF!"</definedName>
    <definedName name="code1005_2">"#REF!"</definedName>
    <definedName name="code1005_3">"#REF!"</definedName>
    <definedName name="code1005_4">"#REF!"</definedName>
    <definedName name="code1005_5">"#REF!"</definedName>
    <definedName name="code1005_6">"#REF!"</definedName>
    <definedName name="code1005_7">"#REF!"</definedName>
    <definedName name="code2107_2">"#REF!"</definedName>
    <definedName name="code2107_3">"#REF!"</definedName>
    <definedName name="code2107_4">"#REF!"</definedName>
    <definedName name="code2107_5">"#REF!"</definedName>
    <definedName name="code2107_6">"#REF!"</definedName>
    <definedName name="code2107_7">"#REF!"</definedName>
    <definedName name="CODE2108_2">"#REF!"</definedName>
    <definedName name="CODE2108_3">"#REF!"</definedName>
    <definedName name="CODE2108_4">"#REF!"</definedName>
    <definedName name="CODE2108_5">"#REF!"</definedName>
    <definedName name="CODE2108_6">"#REF!"</definedName>
    <definedName name="CODE2108_7">"#REF!"</definedName>
    <definedName name="code2110_2">"#REF!"</definedName>
    <definedName name="code2110_3">"#REF!"</definedName>
    <definedName name="code2110_4">"#REF!"</definedName>
    <definedName name="code2110_5">"#REF!"</definedName>
    <definedName name="code2110_6">"#REF!"</definedName>
    <definedName name="code2110_7">"#REF!"</definedName>
    <definedName name="code2113_2">"#REF!"</definedName>
    <definedName name="code2113_3">"#REF!"</definedName>
    <definedName name="code2113_4">"#REF!"</definedName>
    <definedName name="code2113_5">"#REF!"</definedName>
    <definedName name="code2113_6">"#REF!"</definedName>
    <definedName name="code2113_7">"#REF!"</definedName>
    <definedName name="code2115_2">"#REF!"</definedName>
    <definedName name="code2115_3">"#REF!"</definedName>
    <definedName name="code2115_4">"#REF!"</definedName>
    <definedName name="code2115_5">"#REF!"</definedName>
    <definedName name="code2115_6">"#REF!"</definedName>
    <definedName name="code2115_7">"#REF!"</definedName>
    <definedName name="code2201_2">"#REF!"</definedName>
    <definedName name="code2201_3">"#REF!"</definedName>
    <definedName name="code2201_4">"#REF!"</definedName>
    <definedName name="code2201_5">"#REF!"</definedName>
    <definedName name="code2201_6">"#REF!"</definedName>
    <definedName name="code2201_7">"#REF!"</definedName>
    <definedName name="code2202_2">"#REF!"</definedName>
    <definedName name="code2202_3">"#REF!"</definedName>
    <definedName name="code2202_4">"#REF!"</definedName>
    <definedName name="code2202_5">"#REF!"</definedName>
    <definedName name="code2202_6">"#REF!"</definedName>
    <definedName name="code2202_7">"#REF!"</definedName>
    <definedName name="code2203_2">"#REF!"</definedName>
    <definedName name="code2203_3">"#REF!"</definedName>
    <definedName name="code2203_4">"#REF!"</definedName>
    <definedName name="code2203_5">"#REF!"</definedName>
    <definedName name="code2203_6">"#REF!"</definedName>
    <definedName name="code2203_7">"#REF!"</definedName>
    <definedName name="code2205_2">"#REF!"</definedName>
    <definedName name="code2205_3">"#REF!"</definedName>
    <definedName name="code2205_4">"#REF!"</definedName>
    <definedName name="code2205_5">"#REF!"</definedName>
    <definedName name="code2205_6">"#REF!"</definedName>
    <definedName name="code2205_7">"#REF!"</definedName>
    <definedName name="code2206_2">"#REF!"</definedName>
    <definedName name="code2206_3">"#REF!"</definedName>
    <definedName name="code2206_4">"#REF!"</definedName>
    <definedName name="code2206_5">"#REF!"</definedName>
    <definedName name="code2206_6">"#REF!"</definedName>
    <definedName name="code2206_7">"#REF!"</definedName>
    <definedName name="code2209_2">"#REF!"</definedName>
    <definedName name="code2209_3">"#REF!"</definedName>
    <definedName name="code2209_4">"#REF!"</definedName>
    <definedName name="code2209_5">"#REF!"</definedName>
    <definedName name="code2209_6">"#REF!"</definedName>
    <definedName name="code2209_7">"#REF!"</definedName>
    <definedName name="code2261_2">"#REF!"</definedName>
    <definedName name="code2261_3">"#REF!"</definedName>
    <definedName name="code2261_4">"#REF!"</definedName>
    <definedName name="code2261_5">"#REF!"</definedName>
    <definedName name="code2261_6">"#REF!"</definedName>
    <definedName name="code2261_7">"#REF!"</definedName>
    <definedName name="code2602_2">"#REF!"</definedName>
    <definedName name="code2602_3">"#REF!"</definedName>
    <definedName name="code2602_4">"#REF!"</definedName>
    <definedName name="code2602_5">"#REF!"</definedName>
    <definedName name="code2602_6">"#REF!"</definedName>
    <definedName name="code2602_7">"#REF!"</definedName>
    <definedName name="CODE7019_2">NA()</definedName>
    <definedName name="CODE7019_3">NA()</definedName>
    <definedName name="CODE7019_4">NA()</definedName>
    <definedName name="CODE7019_5">NA()</definedName>
    <definedName name="CODE7019_6">NA()</definedName>
    <definedName name="code7306_2">NA()</definedName>
    <definedName name="code7306_3">NA()</definedName>
    <definedName name="code7306_4">NA()</definedName>
    <definedName name="code7306_5">NA()</definedName>
    <definedName name="code7306_6">NA()</definedName>
    <definedName name="code7335_2">"#REF!"</definedName>
    <definedName name="code7335_3">"#REF!"</definedName>
    <definedName name="code7335_4">"#REF!"</definedName>
    <definedName name="code7335_5">"#REF!"</definedName>
    <definedName name="code7335_6">"#REF!"</definedName>
    <definedName name="code7335_7">"#REF!"</definedName>
    <definedName name="code7389_2">NA()</definedName>
    <definedName name="code7389_3">NA()</definedName>
    <definedName name="code7389_4">NA()</definedName>
    <definedName name="code7389_5">NA()</definedName>
    <definedName name="code7389_6">NA()</definedName>
    <definedName name="code7390_2">NA()</definedName>
    <definedName name="code7390_3">NA()</definedName>
    <definedName name="code7390_4">NA()</definedName>
    <definedName name="code7390_5">NA()</definedName>
    <definedName name="code7390_6">NA()</definedName>
    <definedName name="code9999_2">"#REF!"</definedName>
    <definedName name="code9999_3">"#REF!"</definedName>
    <definedName name="code9999_4">"#REF!"</definedName>
    <definedName name="code9999_5">"#REF!"</definedName>
    <definedName name="code9999_6">"#REF!"</definedName>
    <definedName name="code9999_7">"#REF!"</definedName>
    <definedName name="COGstandard" hidden="1">{#N/A,#N/A,FALSE,"Pharm";#N/A,#N/A,FALSE,"WWCM"}</definedName>
    <definedName name="coimbatore_2">"#REF!"</definedName>
    <definedName name="coimbatore_3">"#REF!"</definedName>
    <definedName name="coimbatore_4">"#REF!"</definedName>
    <definedName name="coimbatore_5">"#REF!"</definedName>
    <definedName name="coimbatore_6">"#REF!"</definedName>
    <definedName name="coimbatore_7">"#REF!"</definedName>
    <definedName name="coll">#REF!</definedName>
    <definedName name="colton" hidden="1">{#N/A,#N/A,FALSE,"U_SUBS-97";#N/A,#N/A,FALSE,"S_BARIMP-97";#N/A,#N/A,FALSE,"S_SUBS20-97";#N/A,#N/A,FALSE,"S_VUAIMP-97";#N/A,#N/A,FALSE,"S_WTKDEV-97"}</definedName>
    <definedName name="Columns_2">"#REF!"</definedName>
    <definedName name="Columns_3">"#REF!"</definedName>
    <definedName name="Columns_4">"#REF!"</definedName>
    <definedName name="Columns_5">"#REF!"</definedName>
    <definedName name="Columns_6">"#REF!"</definedName>
    <definedName name="Columns_7">"#REF!"</definedName>
    <definedName name="com" hidden="1">{#N/A,#N/A,FALSE,"Aging Summary";#N/A,#N/A,FALSE,"Ratio Analysis";#N/A,#N/A,FALSE,"Test 120 Day Accts";#N/A,#N/A,FALSE,"Tickmarks"}</definedName>
    <definedName name="COMBINE">#N/A</definedName>
    <definedName name="COMBINED">#N/A</definedName>
    <definedName name="comm">#REF!</definedName>
    <definedName name="Comments_2">"#REF!"</definedName>
    <definedName name="Comments_3">"#REF!"</definedName>
    <definedName name="Comments_4">"#REF!"</definedName>
    <definedName name="Comments_5">"#REF!"</definedName>
    <definedName name="Comments_6">"#REF!"</definedName>
    <definedName name="Comments_7">"#REF!"</definedName>
    <definedName name="Commitment">#N/A</definedName>
    <definedName name="COMMON">#REF!</definedName>
    <definedName name="Common.On_Click">#REF!</definedName>
    <definedName name="COMMONEQ">#REF!</definedName>
    <definedName name="COMMONEQ1">#REF!</definedName>
    <definedName name="comp">#REF!</definedName>
    <definedName name="Comp_Print">#N/A</definedName>
    <definedName name="comp1">#REF!</definedName>
    <definedName name="COMPANY">#REF!</definedName>
    <definedName name="Company_1">"'file://Bks/D/draftfinancialsbymanojindushyd/BANDHAN-NBFC-_Fin_Statatement-2009-Ver-1-27.04.2009.xlsx'#$''.$B$2"</definedName>
    <definedName name="CompanyCode">#N/A</definedName>
    <definedName name="CompanyInfo1">"JCI"</definedName>
    <definedName name="CompanyInfo2">"JCI"</definedName>
    <definedName name="computation" hidden="1">{#N/A,#N/A,FALSE,"Aging Summary";#N/A,#N/A,FALSE,"Ratio Analysis";#N/A,#N/A,FALSE,"Test 120 Day Accts";#N/A,#N/A,FALSE,"Tickmarks"}</definedName>
    <definedName name="ComputerDepr">#REF!</definedName>
    <definedName name="con" hidden="1">{#N/A,#N/A,TRUE,"Front";#N/A,#N/A,TRUE,"Simple Letter";#N/A,#N/A,TRUE,"Inside";#N/A,#N/A,TRUE,"Contents";#N/A,#N/A,TRUE,"Basis";#N/A,#N/A,TRUE,"Inclusions";#N/A,#N/A,TRUE,"Exclusions";#N/A,#N/A,TRUE,"Areas";#N/A,#N/A,TRUE,"Summary";#N/A,#N/A,TRUE,"Detail"}</definedName>
    <definedName name="con_1">{#N/A,#N/A,TRUE,"Front";#N/A,#N/A,TRUE,"Simple Letter";#N/A,#N/A,TRUE,"Inside";#N/A,#N/A,TRUE,"Contents";#N/A,#N/A,TRUE,"Basis";#N/A,#N/A,TRUE,"Inclusions";#N/A,#N/A,TRUE,"Exclusions";#N/A,#N/A,TRUE,"Areas";#N/A,#N/A,TRUE,"Summary";#N/A,#N/A,TRUE,"Detail"}</definedName>
    <definedName name="con_2">NA()</definedName>
    <definedName name="con_3">NA()</definedName>
    <definedName name="con_4">NA()</definedName>
    <definedName name="con_5">NA()</definedName>
    <definedName name="con_6">NA()</definedName>
    <definedName name="CON_EQP_COS">#REF!</definedName>
    <definedName name="Con_File">"LBOC_1"</definedName>
    <definedName name="CONC25">#REF!</definedName>
    <definedName name="CONC30">#REF!</definedName>
    <definedName name="concasttot_2">"#REF!"</definedName>
    <definedName name="concasttot_3">"#REF!"</definedName>
    <definedName name="concasttot_4">"#REF!"</definedName>
    <definedName name="concasttot_5">"#REF!"</definedName>
    <definedName name="concasttot_6">"#REF!"</definedName>
    <definedName name="concasttot_7">"#REF!"</definedName>
    <definedName name="conclab_2">"#REF!"</definedName>
    <definedName name="conclab_3">"#REF!"</definedName>
    <definedName name="conclab_4">"#REF!"</definedName>
    <definedName name="conclab_5">"#REF!"</definedName>
    <definedName name="conclab_6">"#REF!"</definedName>
    <definedName name="conclab_7">"#REF!"</definedName>
    <definedName name="concost">#REF!</definedName>
    <definedName name="CONCS25">#REF!</definedName>
    <definedName name="CONCS30">#REF!</definedName>
    <definedName name="conf_balamended" hidden="1">{#N/A,#N/A,FALSE,"PMTABB";#N/A,#N/A,FALSE,"PMTABB"}</definedName>
    <definedName name="conf_balamended_1" hidden="1">{#N/A,#N/A,FALSE,"PMTABB";#N/A,#N/A,FALSE,"PMTABB"}</definedName>
    <definedName name="conf_balamended_2" hidden="1">{#N/A,#N/A,FALSE,"PMTABB";#N/A,#N/A,FALSE,"PMTABB"}</definedName>
    <definedName name="conf_balamended_3" hidden="1">{#N/A,#N/A,FALSE,"PMTABB";#N/A,#N/A,FALSE,"PMTABB"}</definedName>
    <definedName name="conf_balamended_4" hidden="1">{#N/A,#N/A,FALSE,"PMTABB";#N/A,#N/A,FALSE,"PMTABB"}</definedName>
    <definedName name="Confused" hidden="1">#REF!</definedName>
    <definedName name="Cong_HM_DTCT">#REF!</definedName>
    <definedName name="Cong_M_DTCT">#REF!</definedName>
    <definedName name="Cong_NC_DTCT">#REF!</definedName>
    <definedName name="Cong_VL_DTCT">#REF!</definedName>
    <definedName name="Connectors">#REF!</definedName>
    <definedName name="Cons_input">#REF!</definedName>
    <definedName name="Cons_xp">#REF!</definedName>
    <definedName name="ConsolBS">#REF!</definedName>
    <definedName name="ConsolCapTable">#REF!</definedName>
    <definedName name="ConsolCF">#REF!</definedName>
    <definedName name="Consolidate_Answer">#REF!</definedName>
    <definedName name="Consolidate_Division_1">#REF!</definedName>
    <definedName name="Consolidate_Division_2">#REF!</definedName>
    <definedName name="Consolidate_Division_3">#REF!</definedName>
    <definedName name="Consolidate_Division_4">#REF!</definedName>
    <definedName name="Consolidate_Division_5">#REF!</definedName>
    <definedName name="Consolidate_Division_6">#REF!</definedName>
    <definedName name="Consolidate_Division_7">#REF!</definedName>
    <definedName name="Consolidate_Division_8">#REF!</definedName>
    <definedName name="Consolidate_Division_9">#REF!</definedName>
    <definedName name="Consolidated" hidden="1">{"P1",#N/A,TRUE,"P1";"P2",#N/A,TRUE,"P2"}</definedName>
    <definedName name="ConsolidatedGBP" hidden="1">{#N/A,#N/A,TRUE,"CIN-11";#N/A,#N/A,TRUE,"CIN-13";#N/A,#N/A,TRUE,"CIN-14";#N/A,#N/A,TRUE,"CIN-16";#N/A,#N/A,TRUE,"CIN-17";#N/A,#N/A,TRUE,"CIN-18";#N/A,#N/A,TRUE,"CIN Earnings To Fixed Charges";#N/A,#N/A,TRUE,"CIN Financial Ratios";#N/A,#N/A,TRUE,"CIN-IS";#N/A,#N/A,TRUE,"CIN-BS";#N/A,#N/A,TRUE,"CIN-CS";#N/A,#N/A,TRUE,"Invest In Unconsol Subs"}</definedName>
    <definedName name="ConsolIS">#REF!</definedName>
    <definedName name="const_2">NA()</definedName>
    <definedName name="const_3">NA()</definedName>
    <definedName name="const_4">NA()</definedName>
    <definedName name="const_5">NA()</definedName>
    <definedName name="const_6">NA()</definedName>
    <definedName name="const_7">NA()</definedName>
    <definedName name="constrn_2">"#REF!"</definedName>
    <definedName name="constrn_3">"#REF!"</definedName>
    <definedName name="constrn_4">"#REF!"</definedName>
    <definedName name="constrn_5">"#REF!"</definedName>
    <definedName name="constrn_6">"#REF!"</definedName>
    <definedName name="constrn_7">"#REF!"</definedName>
    <definedName name="construction">#N/A</definedName>
    <definedName name="Consultant_classification">#REF!</definedName>
    <definedName name="cont">#REF!</definedName>
    <definedName name="ContractName">"Contract"</definedName>
    <definedName name="ContractNumber">"88888888"</definedName>
    <definedName name="control1" hidden="1">{#N/A,#N/A,TRUE,"Summary - 1";#N/A,#N/A,TRUE,"Summary - 2";#N/A,#N/A,TRUE,"Group Analysis";#N/A,#N/A,TRUE,"FM Analysis";#N/A,#N/A,TRUE,"T&amp;M-Onsite";#N/A,#N/A,TRUE,"FP-Onsite";#N/A,#N/A,TRUE,"NB-Onsite";#N/A,#N/A,TRUE,"T&amp;M-Offshore";#N/A,#N/A,TRUE,"FP-Offshore";#N/A,#N/A,TRUE,"Appendix-A";#N/A,#N/A,TRUE,"Appendix-B"}</definedName>
    <definedName name="Convert13_14">#REF!</definedName>
    <definedName name="Convert15_16">#REF!</definedName>
    <definedName name="COPAKE">#N/A</definedName>
    <definedName name="COPY" hidden="1">{#N/A,#N/A,FALSE,"Pharm";#N/A,#N/A,FALSE,"WWCM"}</definedName>
    <definedName name="copy_of_wrnaging.trednanalysis" hidden="1">{#N/A,#N/A,FALSE,"Aging Summary";#N/A,#N/A,FALSE,"Ratio Analysis";#N/A,#N/A,FALSE,"Test 120 Day Accts";#N/A,#N/A,FALSE,"Tickmarks"}</definedName>
    <definedName name="COPY_TYPE_LIST">"Specs'!$B$711:$B$716"</definedName>
    <definedName name="copy1" hidden="1">{#N/A,#N/A,FALSE,"Pharm";#N/A,#N/A,FALSE,"WWCM"}</definedName>
    <definedName name="copy1.wata" hidden="1">{#N/A,#N/A,FALSE,"Aging Summary";#N/A,#N/A,FALSE,"Ratio Analysis";#N/A,#N/A,FALSE,"Test 120 Day Accts";#N/A,#N/A,FALSE,"Tickmarks"}</definedName>
    <definedName name="copy11.wata" hidden="1">{#N/A,#N/A,FALSE,"Aging Summary";#N/A,#N/A,FALSE,"Ratio Analysis";#N/A,#N/A,FALSE,"Test 120 Day Accts";#N/A,#N/A,FALSE,"Tickmarks"}</definedName>
    <definedName name="COPY2" hidden="1">{#N/A,#N/A,FALSE,"Pharm";#N/A,#N/A,FALSE,"WWCM"}</definedName>
    <definedName name="copy2.wata" hidden="1">{#N/A,#N/A,FALSE,"Aging Summary";#N/A,#N/A,FALSE,"Ratio Analysis";#N/A,#N/A,FALSE,"Test 120 Day Accts";#N/A,#N/A,FALSE,"Tickmarks"}</definedName>
    <definedName name="copy233" hidden="1">{#N/A,#N/A,FALSE,"Pharm";#N/A,#N/A,FALSE,"WWCM"}</definedName>
    <definedName name="copy33" hidden="1">{#N/A,#N/A,FALSE,"Pharm";#N/A,#N/A,FALSE,"WWCM"}</definedName>
    <definedName name="copy38" hidden="1">{#N/A,#N/A,FALSE,"Pharm";#N/A,#N/A,FALSE,"WWCM"}</definedName>
    <definedName name="copy3wata" hidden="1">{#N/A,#N/A,FALSE,"Aging Summary";#N/A,#N/A,FALSE,"Ratio Analysis";#N/A,#N/A,FALSE,"Test 120 Day Accts";#N/A,#N/A,FALSE,"Tickmarks"}</definedName>
    <definedName name="copyeleven.wata" hidden="1">{#N/A,#N/A,FALSE,"Aging Summary";#N/A,#N/A,FALSE,"Ratio Analysis";#N/A,#N/A,FALSE,"Test 120 Day Accts";#N/A,#N/A,FALSE,"Tickmarks"}</definedName>
    <definedName name="copyone.wata" hidden="1">{#N/A,#N/A,FALSE,"Aging Summary";#N/A,#N/A,FALSE,"Ratio Analysis";#N/A,#N/A,FALSE,"Test 120 Day Accts";#N/A,#N/A,FALSE,"Tickmarks"}</definedName>
    <definedName name="copythreewata" hidden="1">{#N/A,#N/A,FALSE,"Aging Summary";#N/A,#N/A,FALSE,"Ratio Analysis";#N/A,#N/A,FALSE,"Test 120 Day Accts";#N/A,#N/A,FALSE,"Tickmarks"}</definedName>
    <definedName name="copytwo.wata" hidden="1">{#N/A,#N/A,FALSE,"Aging Summary";#N/A,#N/A,FALSE,"Ratio Analysis";#N/A,#N/A,FALSE,"Test 120 Day Accts";#N/A,#N/A,FALSE,"Tickmarks"}</definedName>
    <definedName name="copywrn.ag.ta" hidden="1">{#N/A,#N/A,FALSE,"Aging Summary";#N/A,#N/A,FALSE,"Ratio Analysis";#N/A,#N/A,FALSE,"Test 120 Day Accts";#N/A,#N/A,FALSE,"Tickmarks"}</definedName>
    <definedName name="copywrta" hidden="1">{#N/A,#N/A,FALSE,"Aging Summary";#N/A,#N/A,FALSE,"Ratio Analysis";#N/A,#N/A,FALSE,"Test 120 Day Accts";#N/A,#N/A,FALSE,"Tickmarks"}</definedName>
    <definedName name="copywrta1" hidden="1">{#N/A,#N/A,FALSE,"Aging Summary";#N/A,#N/A,FALSE,"Ratio Analysis";#N/A,#N/A,FALSE,"Test 120 Day Accts";#N/A,#N/A,FALSE,"Tickmarks"}</definedName>
    <definedName name="CORPI">#REF!</definedName>
    <definedName name="COS">#N/A</definedName>
    <definedName name="COS_UC">#N/A</definedName>
    <definedName name="cost">#REF!</definedName>
    <definedName name="Cost_2">"#REF!"</definedName>
    <definedName name="Cost_3">"#REF!"</definedName>
    <definedName name="Cost_4">"#REF!"</definedName>
    <definedName name="Cost_5">"#REF!"</definedName>
    <definedName name="Cost_6">"#REF!"</definedName>
    <definedName name="Cost_7">"#REF!"</definedName>
    <definedName name="Cost_of_sales">#REF!</definedName>
    <definedName name="cot7.5">#REF!</definedName>
    <definedName name="cot8.5">#REF!</definedName>
    <definedName name="Counter">10</definedName>
    <definedName name="Country">"'file://Bks/D/draftfinancialsbymanojindushyd/BANDHAN-NBFC-_Fin_Statatement-2009-Ver-1-27.04.2009.xlsx'#$''.$B$2"</definedName>
    <definedName name="Country_1">"'file://Bks/D/draftfinancialsbymanojindushyd/BANDHAN-NBFC-_Fin_Statatement-2009-Ver-1-27.04.2009.xlsx'#$''.$B$2"</definedName>
    <definedName name="Country_Name">"Q2merge"</definedName>
    <definedName name="cov_2">"#REF!"</definedName>
    <definedName name="cov_3">"#REF!"</definedName>
    <definedName name="cov_4">"#REF!"</definedName>
    <definedName name="cov_5">"#REF!"</definedName>
    <definedName name="cov_6">"#REF!"</definedName>
    <definedName name="cov_7">"#REF!"</definedName>
    <definedName name="COVER">#REF!</definedName>
    <definedName name="cover_1" hidden="1">{#N/A,#N/A,FALSE,"Staffnos &amp; cost"}</definedName>
    <definedName name="cover_2">NA()</definedName>
    <definedName name="cover_3">NA()</definedName>
    <definedName name="cover_4">NA()</definedName>
    <definedName name="cover_5">NA()</definedName>
    <definedName name="cover_6">NA()</definedName>
    <definedName name="coverb_2">NA()</definedName>
    <definedName name="coverb_3">NA()</definedName>
    <definedName name="coverb_4">NA()</definedName>
    <definedName name="coverb_5">NA()</definedName>
    <definedName name="coverb_6">NA()</definedName>
    <definedName name="coverb_7">NA()</definedName>
    <definedName name="coverbm_2">"#REF!"</definedName>
    <definedName name="coverbm_3">"#REF!"</definedName>
    <definedName name="coverbm_4">"#REF!"</definedName>
    <definedName name="coverbm_5">"#REF!"</definedName>
    <definedName name="coverbm_6">"#REF!"</definedName>
    <definedName name="coverbm_7">"#REF!"</definedName>
    <definedName name="COXSKE">#N/A</definedName>
    <definedName name="CP_COS_1">#REF!</definedName>
    <definedName name="CP_COS_2">#REF!</definedName>
    <definedName name="CP_COS_Item1">#REF!</definedName>
    <definedName name="CP_COS_Item10">#REF!</definedName>
    <definedName name="CP_COS_Item2">#REF!</definedName>
    <definedName name="CP_COS_Item3">#REF!</definedName>
    <definedName name="CP_COS_Item4">#REF!</definedName>
    <definedName name="CP_COS_Item5">#REF!</definedName>
    <definedName name="CP_COS_Item6">#REF!</definedName>
    <definedName name="CP_COS_Item7">#REF!</definedName>
    <definedName name="CP_COS_Item8">#REF!</definedName>
    <definedName name="CP_COS_Item9">#REF!</definedName>
    <definedName name="CP_COS_Structure">#REF!</definedName>
    <definedName name="CP_Discount_Rate_10">#REF!</definedName>
    <definedName name="CP_Discount_Rate_15">#REF!</definedName>
    <definedName name="CP_Discount_Rate_3">#REF!</definedName>
    <definedName name="CP_Discount_Rate_5">#REF!</definedName>
    <definedName name="CP_Discount_Rate_6">#REF!</definedName>
    <definedName name="CP_Discount_Rate_7">#REF!</definedName>
    <definedName name="CP_Discount_Rate_8">#REF!</definedName>
    <definedName name="CP_OpEX_Item1">#REF!</definedName>
    <definedName name="CP_OpEX_Item10">#REF!</definedName>
    <definedName name="CP_OpEX_Item2">#REF!</definedName>
    <definedName name="CP_OpEX_Item3">#REF!</definedName>
    <definedName name="CP_OpEX_Item4">#REF!</definedName>
    <definedName name="CP_OpEX_Item5">#REF!</definedName>
    <definedName name="CP_OpEX_Item6">#REF!</definedName>
    <definedName name="CP_OpEX_Item7">#REF!</definedName>
    <definedName name="CP_OpEX_Item8">#REF!</definedName>
    <definedName name="CP_OpEX_Item9">#REF!</definedName>
    <definedName name="CP_OpEx_Structure">#REF!</definedName>
    <definedName name="CP_Revenue_1">#REF!</definedName>
    <definedName name="CP_Revenue_12">#REF!</definedName>
    <definedName name="CP_Revenue_2">#REF!</definedName>
    <definedName name="CP_Revenue_3">#REF!</definedName>
    <definedName name="CP_Revenue_4">#REF!</definedName>
    <definedName name="CP_Revenue_5">#REF!</definedName>
    <definedName name="CP_Revenue_6">#REF!</definedName>
    <definedName name="CP_Revenue_8">#REF!</definedName>
    <definedName name="CP_Total_Depreciation">#REF!</definedName>
    <definedName name="cpc">#REF!</definedName>
    <definedName name="cpi">#REF!</definedName>
    <definedName name="CPNL">#REF!</definedName>
    <definedName name="Cr">"Credit"</definedName>
    <definedName name="cr_04_07_to_10_07_2004_collection">#REF!</definedName>
    <definedName name="cr_bible_south">#REF!</definedName>
    <definedName name="CR3RT">#REF!</definedName>
    <definedName name="CR3RTDK">#REF!</definedName>
    <definedName name="CR5RTDK">#REF!</definedName>
    <definedName name="_xlnm.Criteria">#REF!</definedName>
    <definedName name="Criteria_MI">#REF!</definedName>
    <definedName name="CRITINST">#REF!</definedName>
    <definedName name="CRITPURC">#REF!</definedName>
    <definedName name="crore">10000000</definedName>
    <definedName name="crsnd_2">"#REF!"</definedName>
    <definedName name="crsnd_3">"#REF!"</definedName>
    <definedName name="crsnd_4">"#REF!"</definedName>
    <definedName name="crsnd_5">"#REF!"</definedName>
    <definedName name="crsnd_6">"#REF!"</definedName>
    <definedName name="crsnd_7">"#REF!"</definedName>
    <definedName name="CRTs">#REF!</definedName>
    <definedName name="crushr_2">"#REF!"</definedName>
    <definedName name="crushr_3">"#REF!"</definedName>
    <definedName name="crushr_4">"#REF!"</definedName>
    <definedName name="crushr_5">"#REF!"</definedName>
    <definedName name="crushr_6">"#REF!"</definedName>
    <definedName name="crushr_7">"#REF!"</definedName>
    <definedName name="cs" hidden="1">{"AS REP",#N/A,FALSE,"EEFSNAP2";"PROP",#N/A,FALSE,"EEFSNAP2";"RISKS",#N/A,FALSE,"EEFSNAP2";"VIEW ALL",#N/A,FALSE,"EEFSNAP2"}</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{"TXO2N2_GP",#N/A,FALSE,"MTHLYGP";"TXH2_GP",#N/A,FALSE,"MTHLYGP";"LOUIS_GP",#N/A,FALSE,"MTHLYGP";"H2_GP",#N/A,FALSE,"MTHLYGP";"O2N2_GP",#N/A,FALSE,"MTHLYGP";"PACKAGE_GP",#N/A,FALSE,"MTHLYGP";"OTHER_GP",#N/A,FALSE,"MTHLYGP"}</definedName>
    <definedName name="csDesignMode">1</definedName>
    <definedName name="CSDWDWE">#N/A</definedName>
    <definedName name="CSH_INT">#REF!</definedName>
    <definedName name="CSPivot_Changeover">#REF!</definedName>
    <definedName name="CSPivot_Current">#REF!</definedName>
    <definedName name="CSPivot_Prior">#REF!</definedName>
    <definedName name="CSR_Notes">#REF!</definedName>
    <definedName name="css">#REF!</definedName>
    <definedName name="CSTriggers">#REF!</definedName>
    <definedName name="ctiep">#REF!</definedName>
    <definedName name="CU_LY">#REF!</definedName>
    <definedName name="Cube_Ref_Rptg">#REF!</definedName>
    <definedName name="Cube_Ref_Sales">#REF!</definedName>
    <definedName name="Cube_Ref_Stats">#REF!</definedName>
    <definedName name="Cum_Int">#REF!</definedName>
    <definedName name="CumCF_Group">#REF!</definedName>
    <definedName name="CumCF_India">#REF!</definedName>
    <definedName name="CumCF_NA">#REF!</definedName>
    <definedName name="CumCF_UK">#REF!</definedName>
    <definedName name="cuoc_vc">#REF!</definedName>
    <definedName name="curr_liab_prov_2">"#REF!"</definedName>
    <definedName name="curr_liab_prov_3">"#REF!"</definedName>
    <definedName name="curr_liab_prov_4">"#REF!"</definedName>
    <definedName name="curr_liab_prov_5">"#REF!"</definedName>
    <definedName name="curr_liab_prov_6">"#REF!"</definedName>
    <definedName name="curr_liab_prov_7">"#REF!"</definedName>
    <definedName name="Currency">#REF!</definedName>
    <definedName name="Currency2">#REF!</definedName>
    <definedName name="CurrencySymbols">#REF!</definedName>
    <definedName name="current_price">#REF!</definedName>
    <definedName name="CurrentMonth">#REF!</definedName>
    <definedName name="CurrentYearBeginDate">#REF!</definedName>
    <definedName name="CURYR">#REF!</definedName>
    <definedName name="CUSC">#REF!</definedName>
    <definedName name="Customer">" "</definedName>
    <definedName name="customer_sat">#REF!</definedName>
    <definedName name="Customers" hidden="1">{#N/A,#N/A,FALSE,"1996";#N/A,#N/A,FALSE,"1995";#N/A,#N/A,FALSE,"1994"}</definedName>
    <definedName name="CUSTS">#N/A</definedName>
    <definedName name="cv">#REF!</definedName>
    <definedName name="cv_2" hidden="1">{#N/A,#N/A,FALSE,"EW"}</definedName>
    <definedName name="cv_3" hidden="1">{#N/A,#N/A,FALSE,"EW"}</definedName>
    <definedName name="cv_4" hidden="1">{#N/A,#N/A,FALSE,"EW"}</definedName>
    <definedName name="cvb" hidden="1">{"detail",#N/A,FALSE,"mfg";"summary",#N/A,FALSE,"mfg"}</definedName>
    <definedName name="cvbhj" hidden="1">{#N/A,#N/A,FALSE,"CDA Plan"}</definedName>
    <definedName name="cvbn" hidden="1">{"vol data",#N/A,FALSE,"Datasheet";"vol graph",#N/A,FALSE,"Volume";"price data",#N/A,FALSE,"Datasheet";"price graph",#N/A,FALSE,"Price";"dp data",#N/A,FALSE,"Datasheet";"dp graph",#N/A,FALSE,"DirectProfit"}</definedName>
    <definedName name="cvc" hidden="1">{#N/A,#N/A,FALSE,"KA CH  (2)"}</definedName>
    <definedName name="cvcv" hidden="1">{"AS REP",#N/A,FALSE,"EEFSNAP2";"PROP",#N/A,FALSE,"EEFSNAP2";"RISKS",#N/A,FALSE,"EEFSNAP2";"VIEW ALL",#N/A,FALSE,"EEFSNAP2"}</definedName>
    <definedName name="cvh" hidden="1">{#N/A,#N/A,FALSE,"TOWNSHIP"}</definedName>
    <definedName name="cvh_2" hidden="1">{#N/A,#N/A,FALSE,"TOWNSHIP"}</definedName>
    <definedName name="cvh_3" hidden="1">{#N/A,#N/A,FALSE,"TOWNSHIP"}</definedName>
    <definedName name="cvh_4" hidden="1">{#N/A,#N/A,FALSE,"TOWNSHIP"}</definedName>
    <definedName name="cvn">{#N/A,#N/A,FALSE,"PMTABB";#N/A,#N/A,FALSE,"PMTABB"}</definedName>
    <definedName name="cvn_2">{#N/A,#N/A,FALSE,"PMTABB";#N/A,#N/A,FALSE,"PMTABB"}</definedName>
    <definedName name="cvn_3">{#N/A,#N/A,FALSE,"PMTABB";#N/A,#N/A,FALSE,"PMTABB"}</definedName>
    <definedName name="cvn_4">{#N/A,#N/A,FALSE,"PMTABB";#N/A,#N/A,FALSE,"PMTABB"}</definedName>
    <definedName name="cvv">City&amp;" "&amp;State</definedName>
    <definedName name="cv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 hidden="1">{#N/A,#N/A,FALSE,"COMP"}</definedName>
    <definedName name="cwece">#N/A</definedName>
    <definedName name="CX" hidden="1">{#N/A,#N/A,FALSE,"PGW"}</definedName>
    <definedName name="CX_1" hidden="1">{#N/A,#N/A,FALSE,"PGW"}</definedName>
    <definedName name="CX_2" hidden="1">{#N/A,#N/A,FALSE,"PGW"}</definedName>
    <definedName name="CX_3" hidden="1">{#N/A,#N/A,FALSE,"PGW"}</definedName>
    <definedName name="CX_4" hidden="1">{#N/A,#N/A,FALSE,"PGW"}</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Y00">#REF!</definedName>
    <definedName name="cz" hidden="1">{"pro_view",#N/A,FALSE,"EEFSNAP2";"rep_view",#N/A,FALSE,"EEFSNAP2"}</definedName>
    <definedName name="czf" hidden="1">{"AS REP",#N/A,FALSE,"EEFSNAP2";"PROP",#N/A,FALSE,"EEFSNAP2";"RISKS",#N/A,FALSE,"EEFSNAP2";"VIEW ALL",#N/A,FALSE,"EEFSNAP2"}</definedName>
    <definedName name="czxz">City&amp;" "&amp;State</definedName>
    <definedName name="D">{#N/A,#N/A,FALSE,"Pharm";#N/A,#N/A,FALSE,"WWCM"}</definedName>
    <definedName name="D_1" hidden="1">{#N/A,#N/A,FALSE,"PMTABB";#N/A,#N/A,FALSE,"PMTABB"}</definedName>
    <definedName name="D_2">NA()</definedName>
    <definedName name="D_3">NA()</definedName>
    <definedName name="d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a" hidden="1">{"Page 1",#N/A,TRUE,"Sheet1";"Page 2",#N/A,TRUE,"Sheet1"}</definedName>
    <definedName name="DA_Agt_AvgDay">52167</definedName>
    <definedName name="DA_Auto_AvgDay">3025</definedName>
    <definedName name="DAD" hidden="1">{#N/A,#N/A,FALSE,"REPORT"}</definedName>
    <definedName name="DADF" hidden="1">{#N/A,#N/A,FALSE,"REPORT"}</definedName>
    <definedName name="daf" hidden="1">{#N/A,#N/A,FALSE,"1";#N/A,#N/A,FALSE,"2";#N/A,#N/A,FALSE,"16 - 17";#N/A,#N/A,FALSE,"18 - 19";#N/A,#N/A,FALSE,"26";#N/A,#N/A,FALSE,"27";#N/A,#N/A,FALSE,"28"}</definedName>
    <definedName name="dakfkjafgkeaj" hidden="1">{#N/A,#N/A,FALSE,"Pharm";#N/A,#N/A,FALSE,"WWCM"}</definedName>
    <definedName name="dam">78000</definedName>
    <definedName name="damn" hidden="1">{#N/A,#N/A,FALSE,"Aging Summary";#N/A,#N/A,FALSE,"Ratio Analysis";#N/A,#N/A,FALSE,"Test 120 Day Accts";#N/A,#N/A,FALSE,"Tickmarks"}</definedName>
    <definedName name="dan" hidden="1">{#N/A,#N/A,FALSE,"Aging Summary";#N/A,#N/A,FALSE,"Ratio Analysis";#N/A,#N/A,FALSE,"Test 120 Day Accts";#N/A,#N/A,FALSE,"Tickmarks"}</definedName>
    <definedName name="das" hidden="1">{#N/A,#N/A,FALSE,"Produkte Erw.";#N/A,#N/A,FALSE,"Produkte Plan";#N/A,#N/A,FALSE,"Leistungen Erw.";#N/A,#N/A,FALSE,"Leistungen Plan";#N/A,#N/A,FALSE,"KA Allg.Kosten (2)";#N/A,#N/A,FALSE,"KA All.Kosten"}</definedName>
    <definedName name="DASDAS">#REF!</definedName>
    <definedName name="Dat"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#REF!</definedName>
    <definedName name="data_1">#REF!</definedName>
    <definedName name="data_10">#REF!</definedName>
    <definedName name="data_11">#REF!</definedName>
    <definedName name="data_12">#REF!</definedName>
    <definedName name="data_14">#REF!</definedName>
    <definedName name="data_15">#REF!</definedName>
    <definedName name="data_16">#REF!</definedName>
    <definedName name="data_17">#REF!</definedName>
    <definedName name="data_18">#REF!</definedName>
    <definedName name="data_2">#REF!</definedName>
    <definedName name="data_3">#REF!</definedName>
    <definedName name="data_4">#REF!</definedName>
    <definedName name="data_5">#REF!</definedName>
    <definedName name="data_6">#REF!</definedName>
    <definedName name="_xlnm.Data_Form">#N/A</definedName>
    <definedName name="Data_Input_Area">#REF!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Xfer">#REF!</definedName>
    <definedName name="Data1">#REF!</definedName>
    <definedName name="Data14">"Chart 14"</definedName>
    <definedName name="Data2" hidden="1">{"'Demand Units'!$Z$2:$AF$53"}</definedName>
    <definedName name="_xlnm.Database">#REF!</definedName>
    <definedName name="Database_MI">#REF!</definedName>
    <definedName name="DataFilter">#N/A</definedName>
    <definedName name="DataLabels">OFFSET(#REF!,1,0,COUNTA(OFFSET(#REF!,1,0,100,1)))</definedName>
    <definedName name="DataSort">#N/A</definedName>
    <definedName name="DataTable1">#REF!</definedName>
    <definedName name="DataTable2">#REF!</definedName>
    <definedName name="Date_3">NA()</definedName>
    <definedName name="DATES">#N/A</definedName>
    <definedName name="dates_11">"#REF!"</definedName>
    <definedName name="dates_15">"#REF!"</definedName>
    <definedName name="dates_8">"#REF!"</definedName>
    <definedName name="dates_9">"#REF!"</definedName>
    <definedName name="DatesMonday">#REF!</definedName>
    <definedName name="Days">#REF!</definedName>
    <definedName name="DB">#REF!</definedName>
    <definedName name="dbed" hidden="1">{"histincome",#N/A,FALSE,"hyfins";"closing balance",#N/A,FALSE,"hyfins"}</definedName>
    <definedName name="dc" hidden="1">{#N/A,#N/A,FALSE,"Status of Projects";#N/A,#N/A,FALSE,"CEA-TEC";#N/A,#N/A,FALSE,"U-Constr.";#N/A,#N/A,FALSE,"summary";#N/A,#N/A,FALSE,"PPP-3 yrs"}</definedName>
    <definedName name="dc_2">"#REF!"</definedName>
    <definedName name="dc_3">"#REF!"</definedName>
    <definedName name="dc_4">"#REF!"</definedName>
    <definedName name="dc_5">"#REF!"</definedName>
    <definedName name="dc_6">"#REF!"</definedName>
    <definedName name="dc_7">"#REF!"</definedName>
    <definedName name="DCF">#REF!</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I" hidden="1">{#N/A,#N/A,TRUE,"Front";#N/A,#N/A,TRUE,"Simple Letter";#N/A,#N/A,TRUE,"Inside";#N/A,#N/A,TRUE,"Contents";#N/A,#N/A,TRUE,"Basis";#N/A,#N/A,TRUE,"Inclusions";#N/A,#N/A,TRUE,"Exclusions";#N/A,#N/A,TRUE,"Areas";#N/A,#N/A,TRUE,"Summary";#N/A,#N/A,TRUE,"Detail"}</definedName>
    <definedName name="DCI_1">{#N/A,#N/A,TRUE,"Front";#N/A,#N/A,TRUE,"Simple Letter";#N/A,#N/A,TRUE,"Inside";#N/A,#N/A,TRUE,"Contents";#N/A,#N/A,TRUE,"Basis";#N/A,#N/A,TRUE,"Inclusions";#N/A,#N/A,TRUE,"Exclusions";#N/A,#N/A,TRUE,"Areas";#N/A,#N/A,TRUE,"Summary";#N/A,#N/A,TRUE,"Detail"}</definedName>
    <definedName name="DCI_2">NA()</definedName>
    <definedName name="DCI_3">NA()</definedName>
    <definedName name="DCI_4">NA()</definedName>
    <definedName name="DCI_5">NA()</definedName>
    <definedName name="DCI_6">NA()</definedName>
    <definedName name="dd" hidden="1">{#N/A,"Good",TRUE,"Sheet1";#N/A,"Normal",TRUE,"Sheet1";#N/A,"Bad",TRUE,"Sheet1"}</definedName>
    <definedName name="dd_2">"#REF!"</definedName>
    <definedName name="dd_3">"#REF!"</definedName>
    <definedName name="dd_4">"#REF!"</definedName>
    <definedName name="dd_5">"#REF!"</definedName>
    <definedName name="dd_6">"#REF!"</definedName>
    <definedName name="dd_7">"#REF!"</definedName>
    <definedName name="ddaadf" hidden="1">{"Fiesta Facer Page",#N/A,FALSE,"Q_C_S";"Fiesta Main Page",#N/A,FALSE,"V_L";"Fiesta 95BP Struct",#N/A,FALSE,"StructBP";"Fiesta Post 95BP Struct",#N/A,FALSE,"AdjStructBP"}</definedName>
    <definedName name="ddd" hidden="1">{#N/A,#N/A,FALSE,"Pharm";#N/A,#N/A,FALSE,"WWCM"}</definedName>
    <definedName name="DDD_1">"#REF!"</definedName>
    <definedName name="ddd_11">"#REF!"</definedName>
    <definedName name="ddd_15">"#REF!"</definedName>
    <definedName name="DDD_2">"#REF!"</definedName>
    <definedName name="DDD_3">"#REF!"</definedName>
    <definedName name="DDD_4">"#REF!"</definedName>
    <definedName name="DDD_5">"#REF!"</definedName>
    <definedName name="ddd_8">"#REF!"</definedName>
    <definedName name="ddd_9">"#REF!"</definedName>
    <definedName name="dddaz" hidden="1">{#N/A,#N/A,FALSE,"Pharm";#N/A,#N/A,FALSE,"WWCM"}</definedName>
    <definedName name="ddddd">{#N/A,#N/A,FALSE,"Pharm";#N/A,#N/A,FALSE,"WWCM"}</definedName>
    <definedName name="dddddd" hidden="1">{#N/A,#N/A,FALSE,"Pharm";#N/A,#N/A,FALSE,"WWCM"}</definedName>
    <definedName name="ddddddd" hidden="1">{"detail",#N/A,FALSE,"mfg";"summary",#N/A,FALSE,"mfg"}</definedName>
    <definedName name="DDDDDDDD" hidden="1">{#N/A,#N/A,FALSE,"CDA Plan"}</definedName>
    <definedName name="ddd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ffader">#REF!</definedName>
    <definedName name="ddee" hidden="1">{#N/A,#N/A,FALSE,"Finanzbedarsrechnung"}</definedName>
    <definedName name="ddf" hidden="1">{#N/A,#N/A,FALSE,"KA CH  (2)"}</definedName>
    <definedName name="ddfded"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DDK_2">NA()</definedName>
    <definedName name="DDK_3">NA()</definedName>
    <definedName name="dds">#N/A</definedName>
    <definedName name="ddsd">#N/A</definedName>
    <definedName name="ddsdd"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DDSDS" hidden="1">{#N/A,#N/A,FALSE,"PMTABB";#N/A,#N/A,FALSE,"PMTABB"}</definedName>
    <definedName name="ddssdaa">#N/A</definedName>
    <definedName name="ddx" hidden="1">{"YD LAPO2",#N/A,FALSE,"YTD";"YD LPH2",#N/A,FALSE,"YTD";"YD LOUISIANA",#N/A,FALSE,"YTD";"YD GENERALH2",#N/A,FALSE,"YTD";"YD PRS",#N/A,FALSE,"YTD";"YD PACKAGE",#N/A,FALSE,"YTD";"YD OTHER",#N/A,FALSE,"YTD"}</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al">#REF!</definedName>
    <definedName name="dear" hidden="1">{#N/A,#N/A,TRUE,"Front";#N/A,#N/A,TRUE,"Simple Letter";#N/A,#N/A,TRUE,"Inside";#N/A,#N/A,TRUE,"Contents";#N/A,#N/A,TRUE,"Basis";#N/A,#N/A,TRUE,"Inclusions";#N/A,#N/A,TRUE,"Exclusions";#N/A,#N/A,TRUE,"Areas";#N/A,#N/A,TRUE,"Summary";#N/A,#N/A,TRUE,"Detail"}</definedName>
    <definedName name="DEBT">#REF!</definedName>
    <definedName name="debt_1">#REF!</definedName>
    <definedName name="debt_2">#REF!</definedName>
    <definedName name="debt_3">#REF!</definedName>
    <definedName name="debt_4">#REF!</definedName>
    <definedName name="debt_5">#REF!</definedName>
    <definedName name="debt_6">#REF!</definedName>
    <definedName name="debt_costs">#REF!</definedName>
    <definedName name="Debt_Schedules">#REF!</definedName>
    <definedName name="debtors">#REF!</definedName>
    <definedName name="Debtr" hidden="1">{#N/A,#N/A,FALSE,"FREE"}</definedName>
    <definedName name="DebtSchedule">#REF!</definedName>
    <definedName name="debut">#REF!</definedName>
    <definedName name="DEC">#N/A</definedName>
    <definedName name="Dec_YTD_Options">#REF!</definedName>
    <definedName name="DECPLAN">#REF!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f" hidden="1">{#N/A,#N/A,FALSE,"Tabl. A1";#N/A,#N/A,FALSE,"Tabl. A1 b";#N/A,#N/A,FALSE,"Tabl. A2";#N/A,#N/A,FALSE,"Tabl. A2-1";#N/A,#N/A,FALSE,"Tabl. A2-2"}</definedName>
    <definedName name="deftax">#REF!</definedName>
    <definedName name="DEFTX">#REF!</definedName>
    <definedName name="Del">#N/A</definedName>
    <definedName name="DeleArea">#REF!</definedName>
    <definedName name="delete">#REF!</definedName>
    <definedName name="Delivery_risk">#REF!</definedName>
    <definedName name="DELTA">#REF!</definedName>
    <definedName name="den_bu">#REF!</definedName>
    <definedName name="denbu">#REF!</definedName>
    <definedName name="Dennis">"Dennis"</definedName>
    <definedName name="deno">#REF!</definedName>
    <definedName name="deoi" hidden="1">{"mgmt forecast",#N/A,FALSE,"Mgmt Forecast";"dcf table",#N/A,FALSE,"Mgmt Forecast";"sensitivity",#N/A,FALSE,"Mgmt Forecast";"table inputs",#N/A,FALSE,"Mgmt Forecast";"calculations",#N/A,FALSE,"Mgmt Forecast"}</definedName>
    <definedName name="DEP">#REF!</definedName>
    <definedName name="Department_Filter">#REF!</definedName>
    <definedName name="Depereciation" hidden="1">{"'Furniture&amp; O.E'!$A$4:$D$27"}</definedName>
    <definedName name="depml">#REF!</definedName>
    <definedName name="Depn_2">"#REF!"</definedName>
    <definedName name="Depn_3">"#REF!"</definedName>
    <definedName name="Depn_4">"#REF!"</definedName>
    <definedName name="Depn_5">"#REF!"</definedName>
    <definedName name="Depn_6">"#REF!"</definedName>
    <definedName name="Depn_7">"#REF!"</definedName>
    <definedName name="DEPN_ATTACHMENT">#REF!</definedName>
    <definedName name="DEPOTOPFEB">#N/A</definedName>
    <definedName name="depr">#REF!</definedName>
    <definedName name="DEPR_R3">#REF!</definedName>
    <definedName name="Depre" hidden="1">{#N/A,#N/A,FALSE,"COMP"}</definedName>
    <definedName name="DEPRECIATION">#REF!</definedName>
    <definedName name="Depreciation_Period_Ongoing_FA_Balance">#REF!</definedName>
    <definedName name="Depreciation_Period_Starting_FA_Balance">#REF!</definedName>
    <definedName name="DEPRI">#REF!</definedName>
    <definedName name="deprtax">#REF!</definedName>
    <definedName name="depshut_2">NA()</definedName>
    <definedName name="depshut_3">NA()</definedName>
    <definedName name="depshut_4">NA()</definedName>
    <definedName name="depshut_5">NA()</definedName>
    <definedName name="depshut_6">NA()</definedName>
    <definedName name="depshut_7">NA()</definedName>
    <definedName name="Dept">#REF!</definedName>
    <definedName name="DEPTH_3">"#REF!"</definedName>
    <definedName name="DEPTH_4">"#REF!"</definedName>
    <definedName name="DEPTH_5">"#REF!"</definedName>
    <definedName name="DEPTH_6">"#REF!"</definedName>
    <definedName name="DEPTH_7">"#REF!"</definedName>
    <definedName name="des" hidden="1">{"QTR_ACT",#N/A,FALSE,"PROP_PBIT_DEV_Q3";"QTR_BUD",#N/A,FALSE,"PROP_PBIT_DEV_Q3";"YTD_BUD",#N/A,FALSE,"PROP_PBIT_DEV_Q3";"YTD_ACT",#N/A,FALSE,"PROP_PBIT_DEV_Q3";"FY95 SNAP3",#N/A,FALSE,"PROP_PBIT_DEV_Q3";"FY95_BUD",#N/A,FALSE,"PROP_PBIT_DEV_Q3";"FY96_BUD",#N/A,FALSE,"PROP_PBIT_DEV_Q3"}</definedName>
    <definedName name="Desc">#REF!</definedName>
    <definedName name="Desc_Bonus">#REF!</definedName>
    <definedName name="designed_2">"#REF!"</definedName>
    <definedName name="designed_3">"#REF!"</definedName>
    <definedName name="designed_4">"#REF!"</definedName>
    <definedName name="designed_5">"#REF!"</definedName>
    <definedName name="designed_6">"#REF!"</definedName>
    <definedName name="designed_7">"#REF!"</definedName>
    <definedName name="DesignPress_2">"#REF!"</definedName>
    <definedName name="DesignPress_3">"#REF!"</definedName>
    <definedName name="DesignPress_4">"#REF!"</definedName>
    <definedName name="DesignPress_5">"#REF!"</definedName>
    <definedName name="DesignPress_6">"#REF!"</definedName>
    <definedName name="DesignPress_7">"#REF!"</definedName>
    <definedName name="DesktopUnitCost">#REF!</definedName>
    <definedName name="Detail_Accounts">#REF!</definedName>
    <definedName name="detailed_sales5">#REF!</definedName>
    <definedName name="deut">#REF!</definedName>
    <definedName name="de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_11">"#REF!"</definedName>
    <definedName name="dev_15">"#REF!"</definedName>
    <definedName name="dev_8">"#REF!"</definedName>
    <definedName name="dev_9">"#REF!"</definedName>
    <definedName name="devc" hidden="1">{"TOTTEXAS",#N/A,FALSE,"CM"}</definedName>
    <definedName name="DEVICE">#N/A</definedName>
    <definedName name="DEVISE">#REF!</definedName>
    <definedName name="DEZLFEZKLHF" hidden="1">{#N/A,#N/A,FALSE,"Pharm";#N/A,#N/A,FALSE,"WWCM"}</definedName>
    <definedName name="df">#REF!</definedName>
    <definedName name="df_2">"#REF!"</definedName>
    <definedName name="df_3">"#REF!"</definedName>
    <definedName name="df_4">"#REF!"</definedName>
    <definedName name="df_5">"#REF!"</definedName>
    <definedName name="df_6">"#REF!"</definedName>
    <definedName name="df_7">"#REF!"</definedName>
    <definedName name="dfadhf">{"Project Oasis"}</definedName>
    <definedName name="dfafdasdf_2">"#REF!"</definedName>
    <definedName name="dfafdasdf_3">"#REF!"</definedName>
    <definedName name="dfafdasdf_4">"#REF!"</definedName>
    <definedName name="dfafdasdf_5">"#REF!"</definedName>
    <definedName name="dfafdasdf_6">"#REF!"</definedName>
    <definedName name="dfafdasdf_7">"#REF!"</definedName>
    <definedName name="dfasdfasdf">#N/A</definedName>
    <definedName name="dfasdfdsfsd">#N/A</definedName>
    <definedName name="dfasfd">#N/A</definedName>
    <definedName name="dfd"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DFDAF" hidden="1">{#N/A,#N/A,FALSE,"CDA Plan"}</definedName>
    <definedName name="dfdasd">#N/A</definedName>
    <definedName name="dfdasdf" hidden="1">{#N/A,#N/A,FALSE,"Budegeted vs Actual"}</definedName>
    <definedName name="DFDD" hidden="1">{#N/A,#N/A,FALSE,"REPORT"}</definedName>
    <definedName name="dfdfd" hidden="1">{"SUMMARY",#N/A,FALSE,"Summary"}</definedName>
    <definedName name="dfdfdf">#N/A</definedName>
    <definedName name="dfdsdsfsdf">#N/A</definedName>
    <definedName name="dfdsf">#REF!</definedName>
    <definedName name="dfdsfd">#N/A</definedName>
    <definedName name="dfdsfds">#N/A</definedName>
    <definedName name="dfea">{"Client Name or Project Name"}</definedName>
    <definedName name="dff">ROW()-fffvb</definedName>
    <definedName name="dfg" hidden="1">{#N/A,#N/A,FALSE,"gc (2)"}</definedName>
    <definedName name="dfg_1">"#REF!"</definedName>
    <definedName name="dfg_2">"#REF!"</definedName>
    <definedName name="dfg_3">"#REF!"</definedName>
    <definedName name="dfg_4">"#REF!"</definedName>
    <definedName name="dfg_5">"#REF!"</definedName>
    <definedName name="dfgdfg" hidden="1">{#N/A,#N/A,FALSE,"PMTABB";#N/A,#N/A,FALSE,"PMTABB"}</definedName>
    <definedName name="dfgfd" hidden="1">{#N/A,#N/A,FALSE,"COMP"}</definedName>
    <definedName name="dfgfdg" hidden="1">{#N/A,#N/A,FALSE,"Umsatz CH";#N/A,#N/A,FALSE,"ER CH";#N/A,#N/A,FALSE,"EA CH (2) ";#N/A,#N/A,FALSE,"EA CH";#N/A,#N/A,FALSE,"EA CH (3) ";#N/A,#N/A,FALSE,"EA CH (4)";#N/A,#N/A,FALSE,"KA CH";#N/A,#N/A,FALSE,"KA CH  (2)";#N/A,#N/A,FALSE,"KA CH  (3)";#N/A,#N/A,FALSE,"KA CH (4)"}</definedName>
    <definedName name="dfgfdgf" hidden="1">{#N/A,#N/A,FALSE,"Produkte Erw.";#N/A,#N/A,FALSE,"Produkte Plan";#N/A,#N/A,FALSE,"Leistungen Erw.";#N/A,#N/A,FALSE,"Leistungen Plan";#N/A,#N/A,FALSE,"KA Allg.Kosten (2)";#N/A,#N/A,FALSE,"KA All.Kosten"}</definedName>
    <definedName name="dfgfg" hidden="1">{#N/A,#N/A,FALSE,"Umsatz HM";#N/A,#N/A,FALSE,"ER HM";#N/A,#N/A,FALSE,"EA HM  (2)";#N/A,#N/A,FALSE,"EA HM ";#N/A,#N/A,FALSE,"EA HM  (4)";#N/A,#N/A,FALSE,"EA HM  (3)";#N/A,#N/A,FALSE,"KA HM  (2)";#N/A,#N/A,FALSE,"KA HM";#N/A,#N/A,FALSE,"KA HM  (3)";#N/A,#N/A,FALSE,"KA HM (4)"}</definedName>
    <definedName name="dfgg" hidden="1">{#N/A,#N/A,FALSE,"gc (2)"}</definedName>
    <definedName name="dfggfhhj" hidden="1">{#N/A,#N/A,FALSE,"Umsatz CH";#N/A,#N/A,FALSE,"ER CH";#N/A,#N/A,FALSE,"EA CH (2) ";#N/A,#N/A,FALSE,"EA CH";#N/A,#N/A,FALSE,"EA CH (3) ";#N/A,#N/A,FALSE,"EA CH (4)";#N/A,#N/A,FALSE,"KA CH";#N/A,#N/A,FALSE,"KA CH  (2)";#N/A,#N/A,FALSE,"KA CH  (3)";#N/A,#N/A,FALSE,"KA CH (4)"}</definedName>
    <definedName name="dfgghhjj" hidden="1">{#N/A,#N/A,FALSE,"COMP"}</definedName>
    <definedName name="dfgh" hidden="1">{#N/A,"PURCHM",FALSE,"Business Analysis";#N/A,"SPADD",FALSE,"Business Analysis"}</definedName>
    <definedName name="dfghdfhdg" hidden="1">{#N/A,#N/A,FALSE,"Umsatz 99";#N/A,#N/A,FALSE,"ER 99 "}</definedName>
    <definedName name="dfghfd" hidden="1">{#N/A,#N/A,FALSE,"PMTABB";#N/A,#N/A,FALSE,"PMTABB"}</definedName>
    <definedName name="dfghfd_2" hidden="1">{#N/A,#N/A,FALSE,"PMTABB";#N/A,#N/A,FALSE,"PMTABB"}</definedName>
    <definedName name="dfghfd_3" hidden="1">{#N/A,#N/A,FALSE,"PMTABB";#N/A,#N/A,FALSE,"PMTABB"}</definedName>
    <definedName name="dfghfd_4" hidden="1">{#N/A,#N/A,FALSE,"PMTABB";#N/A,#N/A,FALSE,"PMTABB"}</definedName>
    <definedName name="DFHGH" hidden="1">{#N/A,#N/A,FALSE,"PGW"}</definedName>
    <definedName name="DFHGH_1" hidden="1">{#N/A,#N/A,FALSE,"PGW"}</definedName>
    <definedName name="DFHGH_2" hidden="1">{#N/A,#N/A,FALSE,"PGW"}</definedName>
    <definedName name="DFHGH_3" hidden="1">{#N/A,#N/A,FALSE,"PGW"}</definedName>
    <definedName name="DFHGH_4" hidden="1">{#N/A,#N/A,FALSE,"PGW"}</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LT_END_ROW">"$May04.$#REF!$4"</definedName>
    <definedName name="dflt1">#REF!</definedName>
    <definedName name="dflt4">#REF!</definedName>
    <definedName name="dfr" hidden="1">{#N/A,#N/A,FALSE,"Pharm";#N/A,#N/A,FALSE,"WWCM"}</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 hidden="1">{#N/A,#N/A,FALSE,"Standing data"}</definedName>
    <definedName name="dfsadfas">#N/A</definedName>
    <definedName name="dfsadfd">#N/A</definedName>
    <definedName name="dfsafsdfd">#N/A</definedName>
    <definedName name="dfsd">#N/A</definedName>
    <definedName name="dfsddssdsd">#N/A</definedName>
    <definedName name="dfsdfdsf" hidden="1">{#N/A,#N/A,FALSE,"Umsatz CH";#N/A,#N/A,FALSE,"ER CH";#N/A,#N/A,FALSE,"EA CH (2) ";#N/A,#N/A,FALSE,"EA CH";#N/A,#N/A,FALSE,"EA CH (3) ";#N/A,#N/A,FALSE,"EA CH (4)";#N/A,#N/A,FALSE,"KA CH";#N/A,#N/A,FALSE,"KA CH  (2)";#N/A,#N/A,FALSE,"KA CH  (3)";#N/A,#N/A,FALSE,"KA CH (4)"}</definedName>
    <definedName name="dfsdfsdfs" hidden="1">{#N/A,#N/A,FALSE,"TOWNSHIP"}</definedName>
    <definedName name="dfsdfsdfsd">#N/A</definedName>
    <definedName name="dfsdfsfsdfsf" hidden="1">{#N/A,#N/A,FALSE,"PMTABB";#N/A,#N/A,FALSE,"PMTABB"}</definedName>
    <definedName name="dfsds">#REF!</definedName>
    <definedName name="dfsfs">#REF!</definedName>
    <definedName name="dfsfsfsdfs">#REF!</definedName>
    <definedName name="dfsga" hidden="1">{#N/A,#N/A,FALSE,"INCOME STATEMENT";#N/A,#N/A,FALSE,"DETAIL BALANCE SHEET";#N/A,#N/A,FALSE,"Summary Balance Sheet";#N/A,#N/A,FALSE,"EQUITY STATEMENT";#N/A,#N/A,FALSE,"AASINTERNAL"}</definedName>
    <definedName name="dg_2">"#REF!"</definedName>
    <definedName name="dg_3">"#REF!"</definedName>
    <definedName name="dg_4">"#REF!"</definedName>
    <definedName name="dg_5">"#REF!"</definedName>
    <definedName name="dg_6">"#REF!"</definedName>
    <definedName name="dg_7">"#REF!"</definedName>
    <definedName name="DGCTI592">#REF!</definedName>
    <definedName name="dgdf">#REF!/#REF!</definedName>
    <definedName name="dgdg" hidden="1">{#N/A,#N/A,FALSE,"Calc";#N/A,#N/A,FALSE,"Sensitivity";#N/A,#N/A,FALSE,"LT Earn.Dil.";#N/A,#N/A,FALSE,"Dil. AVP"}</definedName>
    <definedName name="dgdgss" hidden="1">{"consolidated",#N/A,FALSE,"Sheet1";"cms",#N/A,FALSE,"Sheet1";"fse",#N/A,FALSE,"Sheet1"}</definedName>
    <definedName name="dghgh" hidden="1">{#N/A,#N/A,FALSE,"Produkte Erw.";#N/A,#N/A,FALSE,"Produkte Plan";#N/A,#N/A,FALSE,"Leistungen Erw.";#N/A,#N/A,FALSE,"Leistungen Plan";#N/A,#N/A,FALSE,"KA Allg.Kosten (2)";#N/A,#N/A,FALSE,"KA All.Kosten"}</definedName>
    <definedName name="DH_2">"#REF!"</definedName>
    <definedName name="DH_3">"#REF!"</definedName>
    <definedName name="DH_4">"#REF!"</definedName>
    <definedName name="DH_5">"#REF!"</definedName>
    <definedName name="DH_6">"#REF!"</definedName>
    <definedName name="DH_7">"#REF!"</definedName>
    <definedName name="DH1ST_2">"#REF!"</definedName>
    <definedName name="DH1ST_3">"#REF!"</definedName>
    <definedName name="DH1ST_4">"#REF!"</definedName>
    <definedName name="DH1ST_5">"#REF!"</definedName>
    <definedName name="DH1ST_6">"#REF!"</definedName>
    <definedName name="DH1ST_7">"#REF!"</definedName>
    <definedName name="DH2ND_2">"#REF!"</definedName>
    <definedName name="DH2ND_3">"#REF!"</definedName>
    <definedName name="DH2ND_4">"#REF!"</definedName>
    <definedName name="DH2ND_5">"#REF!"</definedName>
    <definedName name="DH2ND_6">"#REF!"</definedName>
    <definedName name="DH2ND_7">"#REF!"</definedName>
    <definedName name="DH2ST_2">"#REF!"</definedName>
    <definedName name="DH2ST_3">"#REF!"</definedName>
    <definedName name="DH2ST_4">"#REF!"</definedName>
    <definedName name="DH2ST_5">"#REF!"</definedName>
    <definedName name="DH2ST_6">"#REF!"</definedName>
    <definedName name="DH2ST_7">"#REF!"</definedName>
    <definedName name="dhadfkjadfsghdn">Scheduled_Payment+Extra_Payment</definedName>
    <definedName name="dhfh">#N/A</definedName>
    <definedName name="dhom">#REF!</definedName>
    <definedName name="DI">#REF!</definedName>
    <definedName name="DI_2">#REF!</definedName>
    <definedName name="Di_Div">#REF!</definedName>
    <definedName name="DIGITAL_STRATEGY">#REF!</definedName>
    <definedName name="DILUTION">#REF!</definedName>
    <definedName name="dimac" hidden="1">{#N/A,#N/A,FALSE,"Tabl. D1";#N/A,#N/A,FALSE,"Tabl. D1 b";#N/A,#N/A,FALSE,"Tabl. D2";#N/A,#N/A,FALSE,"Tabl. D2 b";#N/A,#N/A,FALSE,"Tabl. D3";#N/A,#N/A,FALSE,"Tabl. D4";#N/A,#N/A,FALSE,"Tabl. D5"}</definedName>
    <definedName name="dir" hidden="1">{#N/A,#N/A,FALSE,"COMP"}</definedName>
    <definedName name="Director_Mgr">"Empldbase"</definedName>
    <definedName name="DIS">#REF!</definedName>
    <definedName name="disc">#REF!</definedName>
    <definedName name="DISC1">0</definedName>
    <definedName name="Discount_Rate">#REF!</definedName>
    <definedName name="Discount_Rate_Eloigne">#REF!</definedName>
    <definedName name="Discount_Rate_NRG">#REF!</definedName>
    <definedName name="Discount_Rate_Other">#REF!</definedName>
    <definedName name="DiscountRate">#REF!</definedName>
    <definedName name="DisplaySelectedSheetsMacroButton">#REF!</definedName>
    <definedName name="Disposals">#REF!</definedName>
    <definedName name="DISTRICTS">#N/A</definedName>
    <definedName name="DIV">#REF!</definedName>
    <definedName name="DIVIN">#REF!</definedName>
    <definedName name="Division_1_Consolidate">#REF!</definedName>
    <definedName name="Division_1_Name">#REF!</definedName>
    <definedName name="Division_2_Consolidate">#REF!</definedName>
    <definedName name="Division_2_Name">#REF!</definedName>
    <definedName name="Division_3_Consolidate">#REF!</definedName>
    <definedName name="Division_3_Name">#REF!</definedName>
    <definedName name="Division_4_Consolidate">#REF!</definedName>
    <definedName name="Division_4_Name">#REF!</definedName>
    <definedName name="Division_5_Consolidate">#REF!</definedName>
    <definedName name="Division_5_Name">#REF!</definedName>
    <definedName name="Division_6_Consolidate">#REF!</definedName>
    <definedName name="Division_6_Name">#REF!</definedName>
    <definedName name="Division_7_Consolidate">#REF!</definedName>
    <definedName name="Division_7_Name">#REF!</definedName>
    <definedName name="Division_8_Consolidate">#REF!</definedName>
    <definedName name="Division_8_Name">#REF!</definedName>
    <definedName name="Division_9_Consolidate">#REF!</definedName>
    <definedName name="Division_9_Name">#REF!</definedName>
    <definedName name="Division_Files">#REF!</definedName>
    <definedName name="DIVYA">#N/A</definedName>
    <definedName name="divyadivya" hidden="1">{"Fiesta Facer Page",#N/A,FALSE,"Q_C_S";"Fiesta Main Page",#N/A,FALSE,"V_L";"Fiesta 95BP Struct",#N/A,FALSE,"StructBP";"Fiesta Post 95BP Struct",#N/A,FALSE,"AdjStructBP"}</definedName>
    <definedName name="divyamalik" hidden="1">{#N/A,#N/A,FALSE,"Umsatz 99";#N/A,#N/A,FALSE,"ER 99 "}</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sljd" hidden="1">{#N/A,#N/A,FALSE,"Other";#N/A,#N/A,FALSE,"Ace";#N/A,#N/A,FALSE,"Derm"}</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hidden="1">{#N/A,#N/A,FALSE,"Pharm";#N/A,#N/A,FALSE,"WWCM"}</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ma">#REF!</definedName>
    <definedName name="Dmalik" hidden="1">{#N/A,#N/A,FALSE,"Umsatz 99";#N/A,#N/A,FALSE,"ER 99 "}</definedName>
    <definedName name="dmc">#REF!</definedName>
    <definedName name="dneo">#REF!</definedName>
    <definedName name="DNTREND">#REF!</definedName>
    <definedName name="docu_2">"#REF!"</definedName>
    <definedName name="docu_3">"#REF!"</definedName>
    <definedName name="docu_4">"#REF!"</definedName>
    <definedName name="docu_5">"#REF!"</definedName>
    <definedName name="docu_6">"#REF!"</definedName>
    <definedName name="docu_7">"#REF!"</definedName>
    <definedName name="DocumentName">""</definedName>
    <definedName name="DocumentNumber">""</definedName>
    <definedName name="dog" hidden="1">{#N/A,#N/A,FALSE,"91NOLCB";#N/A,#N/A,FALSE,"92NOLCB";#N/A,#N/A,FALSE,"93NOLCB"}</definedName>
    <definedName name="dollar">#REF!</definedName>
    <definedName name="dollars">#REF!</definedName>
    <definedName name="dollars_11">"#REF!"</definedName>
    <definedName name="dollars_15">"#REF!"</definedName>
    <definedName name="dollars_8">"#REF!"</definedName>
    <definedName name="dollars_9">"#REF!"</definedName>
    <definedName name="DOM_COS">#N/A</definedName>
    <definedName name="DOM_SALE">#N/A</definedName>
    <definedName name="DOMSALE">#N/A</definedName>
    <definedName name="DOW_CORNING_789_SILICONE_SEALANT_2">"#REF!"</definedName>
    <definedName name="DOW_CORNING_789_SILICONE_SEALANT_3">"#REF!"</definedName>
    <definedName name="DOW_CORNING_789_SILICONE_SEALANT_4">"#REF!"</definedName>
    <definedName name="DOW_CORNING_789_SILICONE_SEALANT_5">"#REF!"</definedName>
    <definedName name="DOW_CORNING_789_SILICONE_SEALANT_6">"#REF!"</definedName>
    <definedName name="DOW_CORNING_789_SILICONE_SEALANT_7">"#REF!"</definedName>
    <definedName name="dq" hidden="1">{"Comp_of_Price_Effect",#N/A,FALSE,"QTRDPVAR"}</definedName>
    <definedName name="dq_2">"#REF!"</definedName>
    <definedName name="dq_3">"#REF!"</definedName>
    <definedName name="dq_4">"#REF!"</definedName>
    <definedName name="dq_5">"#REF!"</definedName>
    <definedName name="dq_6">"#REF!"</definedName>
    <definedName name="dq_7">"#REF!"</definedName>
    <definedName name="Dr">"Debit"</definedName>
    <definedName name="dre">"#REF!"</definedName>
    <definedName name="dre_1">"#REF!"</definedName>
    <definedName name="dre_2">"#REF!"</definedName>
    <definedName name="dre_3">"#REF!"</definedName>
    <definedName name="dre_4">"#REF!"</definedName>
    <definedName name="dre_5">"#REF!"</definedName>
    <definedName name="DRes">{"'April 24'!$J$11"}</definedName>
    <definedName name="drw" hidden="1">{"PAGE 1",#N/A,FALSE,"COS";"PAGE 2",#N/A,FALSE,"COS";"PAGE 3",#N/A,FALSE,"COS"}</definedName>
    <definedName name="ds" hidden="1">{"mgmt forecast",#N/A,FALSE,"Mgmt Forecast";"dcf table",#N/A,FALSE,"Mgmt Forecast";"sensitivity",#N/A,FALSE,"Mgmt Forecast";"table inputs",#N/A,FALSE,"Mgmt Forecast";"calculations",#N/A,FALSE,"Mgmt Forecast"}</definedName>
    <definedName name="dsd" hidden="1">{#N/A,#N/A,FALSE,"PMTABB";#N/A,#N/A,FALSE,"PMTABB"}</definedName>
    <definedName name="dsdafgsa" hidden="1">{"Performance Details",#N/A,FALSE,"Current Yr";"Performance Details",#N/A,FALSE,"Budget";"Performance Details",#N/A,FALSE,"Prior Year"}</definedName>
    <definedName name="dsdfdafd" hidden="1">{#N/A,#N/A,FALSE,"Tabl. A1";#N/A,#N/A,FALSE,"Tabl. A1 b";#N/A,#N/A,FALSE,"Tabl. A2";#N/A,#N/A,FALSE,"Tabl. A2-1";#N/A,#N/A,FALSE,"Tabl. A2-2"}</definedName>
    <definedName name="dsds" hidden="1">{#N/A,#N/A,FALSE,"CMN_FE"}</definedName>
    <definedName name="dsdsadasdas">City&amp;" "&amp;State</definedName>
    <definedName name="dsdsss">#REF!/#REF!</definedName>
    <definedName name="dse" hidden="1">{"YTDACT",#N/A,FALSE,"YTD Cum";"YTDBUD",#N/A,FALSE,"YTD Cum";"YTDPRIOR",#N/A,FALSE,"YTD Cum"}</definedName>
    <definedName name="dsf" hidden="1">{#N/A,#N/A,FALSE,"CDA Plan"}</definedName>
    <definedName name="dsfgdfklhglkdflkglkjh" hidden="1">{#N/A,#N/A,FALSE,"PMTABB";#N/A,#N/A,FALSE,"PMTABB"}</definedName>
    <definedName name="dsfghj" hidden="1">{"'7'!$B$15:$D$32"}</definedName>
    <definedName name="dsfghjk" hidden="1">{"'7'!$B$15:$D$32"}</definedName>
    <definedName name="dsfsd">{#N/A,#N/A,FALSE,"Title Page (2)";#N/A,#N/A,FALSE,"YTD - Pharm";#N/A,#N/A,FALSE,"MTH - Pharm"}</definedName>
    <definedName name="dsfsdfsdfsdfsda">#N/A</definedName>
    <definedName name="dsfsf" hidden="1">{"detail",#N/A,FALSE,"mfg";"summary",#N/A,FALSE,"mfg"}</definedName>
    <definedName name="dsfsffss" hidden="1">{#N/A,#N/A,FALSE,"Pharm";#N/A,#N/A,FALSE,"WWCM"}</definedName>
    <definedName name="dsg" hidden="1">{#N/A,#N/A,FALSE,"Calc";#N/A,#N/A,FALSE,"Sensitivity";#N/A,#N/A,FALSE,"LT Earn.Dil.";#N/A,#N/A,FALSE,"Dil. AVP"}</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s" hidden="1">{#N/A,#N/A,FALSE,"ACQ_GRAPHS";#N/A,#N/A,FALSE,"T_1 GRAPHS";#N/A,#N/A,FALSE,"T_2 GRAPHS";#N/A,#N/A,FALSE,"COMB_GRAPHS"}</definedName>
    <definedName name="DSSD">#REF!</definedName>
    <definedName name="dssdf">#N/A</definedName>
    <definedName name="dsufiuef" hidden="1">{#N/A,#N/A,FALSE,"Layout GuV"}</definedName>
    <definedName name="DSUMDATA">#REF!</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T">#N/A</definedName>
    <definedName name="DT_16">#N/A</definedName>
    <definedName name="DT_3">#N/A</definedName>
    <definedName name="DTUC">#REF!</definedName>
    <definedName name="dty" hidden="1">{#N/A,#N/A,TRUE,"Front";#N/A,#N/A,TRUE,"Simple Letter";#N/A,#N/A,TRUE,"Inside";#N/A,#N/A,TRUE,"Contents";#N/A,#N/A,TRUE,"Basis";#N/A,#N/A,TRUE,"Inclusions";#N/A,#N/A,TRUE,"Exclusions";#N/A,#N/A,TRUE,"Areas";#N/A,#N/A,TRUE,"Summary";#N/A,#N/A,TRUE,"Detail"}</definedName>
    <definedName name="DULHome">#N/A</definedName>
    <definedName name="Dummy" hidden="1">{"'Sheet1'!$A$4386:$N$4591"}</definedName>
    <definedName name="duoi">#REF!</definedName>
    <definedName name="DutoanDongmo">#REF!</definedName>
    <definedName name="dvndouv" hidden="1">{#N/A,#N/A,FALSE,"Calc";#N/A,#N/A,FALSE,"Sensitivity";#N/A,#N/A,FALSE,"LT Earn.Dil.";#N/A,#N/A,FALSE,"Dil. AVP"}</definedName>
    <definedName name="dw">#REF!</definedName>
    <definedName name="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x" hidden="1">{"Comp_of_Price_Effect",#N/A,FALSE,"QTRDPVAR"}</definedName>
    <definedName name="DX">35.5796</definedName>
    <definedName name="DXX" hidden="1">{#N/A,#N/A,FALSE,"Staffnos &amp; cost"}</definedName>
    <definedName name="dydydyddy" hidden="1">{"Page 1",#N/A,TRUE,"Sheet1";"Page 2",#N/A,TRUE,"Sheet1"}</definedName>
    <definedName name="e">#REF!</definedName>
    <definedName name="E_2">NA()</definedName>
    <definedName name="E_3">NA()</definedName>
    <definedName name="E_Sheraton">#REF!</definedName>
    <definedName name="e3232rd" hidden="1">{#N/A,#N/A,FALSE,"CMN_FE"}</definedName>
    <definedName name="east.margin">#REF!</definedName>
    <definedName name="EB">#REF!</definedName>
    <definedName name="EB_2016">#REF!</definedName>
    <definedName name="EBITDA_2007">#REF!</definedName>
    <definedName name="EBITDA_Bridge">#REF!</definedName>
    <definedName name="EBITDA_PCT">#REF!</definedName>
    <definedName name="EBITDAMULT">#REF!</definedName>
    <definedName name="EBITDAMULT1">#REF!</definedName>
    <definedName name="EBITMULT">#REF!</definedName>
    <definedName name="EBITMULT1">#REF!</definedName>
    <definedName name="EC">#N/A</definedName>
    <definedName name="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DD" hidden="1">{#N/A,#N/A,FALSE,"PMTABB";#N/A,#N/A,FALSE,"PMTABB"}</definedName>
    <definedName name="eddgf" hidden="1">{TRUE,TRUE,-1.25,-15.5,456.75,279.75,FALSE,FALSE,TRUE,TRUE,0,1,8,1,4,6,3,4,TRUE,TRUE,3,TRUE,1,TRUE,100,"Swvu.turnover.","ACwvu.turnover.",1,FALSE,FALSE,0.511811023622047,0.511811023622047,0.511811023622047,0.511811023622047,1,"","",FALSE,FALSE,FALSE,FALSE,1,#N/A,1,1,#DIV/0!,FALSE,"Rwvu.turnover.",#N/A,FALSE,FALSE}</definedName>
    <definedName name="edfd">#N/A</definedName>
    <definedName name="EDGENERAL">16%</definedName>
    <definedName name="ee" hidden="1">{#N/A,#N/A,FALSE,"KA CH  (2)"}</definedName>
    <definedName name="EEE" hidden="1">{#N/A,#N/A,FALSE,"Pharm";#N/A,#N/A,FALSE,"WWCM"}</definedName>
    <definedName name="eee.lll" hidden="1">{#N/A,#N/A,FALSE,"PMW Gruppe 99_98";#N/A,#N/A,FALSE,"PMW KG 98_99";#N/A,#N/A,FALSE,"PMW Inc. 99_98";#N/A,#N/A,FALSE,"PMW VTECH 99_98";#N/A,#N/A,FALSE,"PMW Thail. 99_98";#N/A,#N/A,FALSE,"PMW Canada 99_98";#N/A,#N/A,FALSE,"Währungsabw. 99_98"}</definedName>
    <definedName name="eeEE">#N/A</definedName>
    <definedName name="eeeee" hidden="1">{#N/A,#N/A,FALSE,"Pharm";#N/A,#N/A,FALSE,"WWCM"}</definedName>
    <definedName name="eeeeee" hidden="1">{"YD OTHER",#N/A,FALSE,"YTD"}</definedName>
    <definedName name="eeeeeee" hidden="1">{"YD LPH2",#N/A,FALSE,"YTD"}</definedName>
    <definedName name="eeeeeeee" hidden="1">{"Pg1",#N/A,FALSE,"OpExYTDvsBud";"Pg2",#N/A,FALSE,"OpExYTDvsBud"}</definedName>
    <definedName name="eeeeeeeee" hidden="1">{"Pa1",#N/A,FALSE,"OpExYTDvsPY";"Pa2",#N/A,FALSE,"OpExYTDvsPY"}</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hidden="1">{#N/A,"PURCHM",FALSE,"Business Analysis";#N/A,"SPADD",FALSE,"Business Analysis"}</definedName>
    <definedName name="eeeeeeeeeeee" hidden="1">{"pro_view",#N/A,FALSE,"EEFSNAP2";"rep_view",#N/A,FALSE,"EEFSNAP2"}</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fe">#N/A</definedName>
    <definedName name="eert" hidden="1">{#N/A,#N/A,FALSE,"Umsatz EO BP";#N/A,#N/A,FALSE,"Umsatz EO OP";#N/A,#N/A,FALSE,"ER EO BP";#N/A,#N/A,FALSE,"ER EO OP";#N/A,#N/A,FALSE,"EA EO (2)";#N/A,#N/A,FALSE,"EA EO";#N/A,#N/A,FALSE,"EA EO (3)";#N/A,#N/A,FALSE,"EA EO (4)";#N/A,#N/A,FALSE,"KA EO  (2)";#N/A,#N/A,FALSE,"KA EO";#N/A,#N/A,FALSE,"KA EO  (3)";#N/A,#N/A,FALSE,"KA EO (4)"}</definedName>
    <definedName name="EF">#REF!</definedName>
    <definedName name="efb" hidden="1">{"'7'!$B$15:$D$32"}</definedName>
    <definedName name="EFD" hidden="1">{#N/A,#N/A,FALSE,"COMP"}</definedName>
    <definedName name="efe">#N/A</definedName>
    <definedName name="efef">#N/A</definedName>
    <definedName name="efefe">#N/A</definedName>
    <definedName name="efiuef" hidden="1">{"consolidated",#N/A,FALSE,"Sheet1";"cms",#N/A,FALSE,"Sheet1";"fse",#N/A,FALSE,"Sheet1"}</definedName>
    <definedName name="efwefwefasfafqwfe" hidden="1">{#N/A,#N/A,FALSE,"PMTABB";#N/A,#N/A,FALSE,"PMTABB"}</definedName>
    <definedName name="ei"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ngs" hidden="1">{#N/A,"PURCHM",FALSE,"Business Analysis";#N/A,"SPADD",FALSE,"Business Analysis"}</definedName>
    <definedName name="EJE">#REF!</definedName>
    <definedName name="ejkfgkjze" hidden="1">{#N/A,#N/A,FALSE,"Pharm";#N/A,#N/A,FALSE,"WWCM"}</definedName>
    <definedName name="election">#REF!</definedName>
    <definedName name="ELECTRICAL_1">"#REF!"</definedName>
    <definedName name="ELECTRICAL_2">"#REF!"</definedName>
    <definedName name="Electricit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iminmation" hidden="1">{#N/A,#N/A,TRUE,"Staffnos &amp; cost"}</definedName>
    <definedName name="ElsePrice">17</definedName>
    <definedName name="Em">#REF!</definedName>
    <definedName name="Email">"'file://Bks/D/draftfinancialsbymanojindushyd/BANDHAN-NBFC-_Fin_Statatement-2009-Ver-1-27.04.2009.xlsx'#$''.$B$2"</definedName>
    <definedName name="Email_1">"'file://Bks/D/draftfinancialsbymanojindushyd/BANDHAN-NBFC-_Fin_Statatement-2009-Ver-1-27.04.2009.xlsx'#$''.$B$2"</definedName>
    <definedName name="emily" hidden="1">{#N/A,#N/A,FALSE,"Calc";#N/A,#N/A,FALSE,"Sensitivity";#N/A,#N/A,FALSE,"LT Earn.Dil.";#N/A,#N/A,FALSE,"Dil. AVP"}</definedName>
    <definedName name="EMPL">#REF!</definedName>
    <definedName name="employee_morale">#REF!</definedName>
    <definedName name="Employees_FooterType" hidden="1">"NONE"</definedName>
    <definedName name="Employer">#REF!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Bal">#REF!</definedName>
    <definedName name="EndBorder_1">"#REF!"</definedName>
    <definedName name="EndBorder_2">"#REF!"</definedName>
    <definedName name="EndDate">#REF!</definedName>
    <definedName name="eng">#REF!</definedName>
    <definedName name="Enterprise_App">#REF!</definedName>
    <definedName name="eoflsru" hidden="1">{"QTD",#N/A,FALSE,"SUM"}</definedName>
    <definedName name="EOH">#N/A</definedName>
    <definedName name="EOH_UC">#N/A</definedName>
    <definedName name="EOHAMT">#N/A</definedName>
    <definedName name="EOHQTY">#N/A</definedName>
    <definedName name="eoil" hidden="1">{"detail",#N/A,FALSE,"mfg";"summary",#N/A,FALSE,"mfg"}</definedName>
    <definedName name="EOLsupplyLC" hidden="1">{#N/A,#N/A,FALSE,"PMTABB";#N/A,#N/A,FALSE,"PMTABB"}</definedName>
    <definedName name="EOLsupplyLC_2" hidden="1">{#N/A,#N/A,FALSE,"PMTABB";#N/A,#N/A,FALSE,"PMTABB"}</definedName>
    <definedName name="EOLsupplyLC_3" hidden="1">{#N/A,#N/A,FALSE,"PMTABB";#N/A,#N/A,FALSE,"PMTABB"}</definedName>
    <definedName name="EOLsupplyLC_4" hidden="1">{#N/A,#N/A,FALSE,"PMTABB";#N/A,#N/A,FALSE,"PMTABB"}</definedName>
    <definedName name="EPMWorkbookOptions_1" hidden="1">"MS4AAB+LCAAAAAAABADtmm1vokoUx99vst/B8F6B+rgNdcNSupKoGMR2b5qNGXHUyeLADljbb78jCoJMvZTt9Vbii6bmnDNnzvz5HRxkpK/PS7v0BImHHHzDiRWBK0FsOVOE5zfcyp+VxQb3tf35k/TgkF8Tx/mluz4N9Up0HPaun73pDbfwffea59frdWVdrThkzl8Jgsj/6HWH1gIuARcFo38PLiPs+QBbkKOzlkqS4mAMrc2cpqOsCIHY"</definedName>
    <definedName name="EPMWorkbookOptions_2" hidden="1">"v0dwHTgT7lvgg52V2vtgCbfTRlP6cOmuCArmHHmQDAicQZrPghW6DK49vhv0xt8GSv9BFMaPu0GTNV43XTK17ArCFYyQX/ahtahYzvK6JQgC7wGXn7gW/3P82De743tBpJ8U3Rj0AAZzuKT1UsMM2B6M/kv8prx9sbLr2sgCMWEzFx3mSGaJmXdatJMlHVSwlXKvbol/1dVB0ynEt4hm8YJ6Xw/d1+olYmjUcOGsoxyKYzuk7ZMVlHiG49jQ"</definedName>
    <definedName name="EPMWorkbookOptions_3" hidden="1">"YBWMkanV7QZSXHz47N+BJ4cgn9YVXJDt4JTvYHwHzRc2/fOH0KbIwWkHQQKItUD7PEdjMtRzh4jnxxbE9h8kilb9uuBZo+JxI4x+r2CgpKwo+qhvSjzLeSzH9grSm0hdEKstMZaAdW2DsTqZQtIWJH77gZndc23wMiCOC4n/0hbrjfoMTmblemNaK9euZl/KrTqEZQHAq9p00qw1J9XNzMlRjMRd4EUXrgeXE3pbZIQlIWcG0JDt+JhMjzsR"</definedName>
    <definedName name="EPMWorkbookOptions_4" hidden="1">"f1YeB7Kh9s2OSD/K3e44dEh8atAryUOqXvahJXp3vcbIvuE29HAHbXn8+mYbK/HHly3xWfSLIfDf4Tq61UzTkLVufmIFoUbv79mBFQsIbCRjklmtPxidPa3vLUrQyHvfmavzcXpZkU31u278k7uTq9V6vVarZe/kq+J1cijiAbKKOZLPHtV31oS2ceQ5c2U+UBPrQ1OhEqtG7jZuNEWh1Wpmb+NqAds4kpEB7d53wZZVZh5sR0NT7/0FtHQX"</definedName>
    <definedName name="EPMWorkbookOptions_5" hidden="1">"2WhUq2/YRtYKSO1ORQazoedCLKvMHMRSdTUz/17p7c/p9eLxutUwTevOfmGVVWYOVrs63Whpev+EtDaKR2uoYppX6rnAyiwzB6wDgz4taYp6QlibxYM1VDENa+S5EMsqMwexxsBURgYVWTnlfqBVPGhjQia57Z79/fXdJdm0ctx55vp8nG42td4pv3u+FK+NNwqmYQ2sF0pZZeah1Oj/D985YgFfFseUZP1uEng0dXhBl1lmDnTvVYPuP+W/"</definedName>
    <definedName name="EPMWorkbookOptions_6" hidden="1">"eGP8dm4L+M44lDEN7cZzwZVZZg5cH74NT0lqAd+JUgWTkFJDqaOphmwoncvOlV1mDlJ7qjwcGepJcS3gu79QRgrqBlvV0PRb7ewfQN8R0wxBiWrYQRLPOkabsIbhNFv68HHcmD6wLBlwRqC30LHuQhweGk0agzjFhoBskup4CJ5gGHloDmLDk9mUTT+QMYxOO4J4zbsHBIGJDXuQzPfhKfvnT/scu2Pf7T+BWmFbMS4AAA=="</definedName>
    <definedName name="EPMWorkbookOptions_7">"YVLZUY0XECN3zRE2flkFaTOIaIzRWUeEF/xHA1rGyAZ9AKcJPGP//CnJsX4Tpv0ve74zdEQzAAA="</definedName>
    <definedName name="eqhfiue" hidden="1">{#N/A,#N/A,FALSE,"Calc";#N/A,#N/A,FALSE,"Sensitivity";#N/A,#N/A,FALSE,"LT Earn.Dil.";#N/A,#N/A,FALSE,"Dil. AVP"}</definedName>
    <definedName name="EQTY">#REF!</definedName>
    <definedName name="EQUITY">#REF!</definedName>
    <definedName name="Equity_Size">#REF!</definedName>
    <definedName name="er" hidden="1">{#N/A,#N/A,FALSE,"Umsatz 99";#N/A,#N/A,FALSE,"ER 99 "}</definedName>
    <definedName name="erd" hidden="1">{#N/A,#N/A,FALSE,"Pharm";#N/A,#N/A,FALSE,"WWCM"}</definedName>
    <definedName name="ere">City&amp;" "&amp;State</definedName>
    <definedName name="ered">"#REF!"</definedName>
    <definedName name="ered_1">"#REF!"</definedName>
    <definedName name="ered_2">"#REF!"</definedName>
    <definedName name="ered_3">"#REF!"</definedName>
    <definedName name="ered_4">"#REF!"</definedName>
    <definedName name="ered_5">"#REF!"</definedName>
    <definedName name="ereew">City&amp;" "&amp;State</definedName>
    <definedName name="erere" hidden="1">{"Geo - Detail Detail",#N/A,FALSE,"Geo View";"Geo - Detail",#N/A,FALSE,"Geo View";"Dept - Detail Detail",#N/A,FALSE,"Dept View";"Dept - Detail",#N/A,FALSE,"Dept View"}</definedName>
    <definedName name="ererer" hidden="1">{"Geo - Detail Detail",#N/A,FALSE,"Geo View";"Geo - Detail",#N/A,FALSE,"Geo View";"Dept - Detail Detail",#N/A,FALSE,"Dept View";"Dept - Detail",#N/A,FALSE,"Dept View"}</definedName>
    <definedName name="ererere" hidden="1">{"Geo - Detail Detail",#N/A,FALSE,"Geo View";"Geo - Detail",#N/A,FALSE,"Geo View";"Dept - Detail Detail",#N/A,FALSE,"Dept View";"Dept - Detail",#N/A,FALSE,"Dept View"}</definedName>
    <definedName name="ererererer" hidden="1">{#N/A,#N/A,FALSE,"Staffnos &amp; cost"}</definedName>
    <definedName name="ERERW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nesta">#N/A</definedName>
    <definedName name="err">{#N/A,#N/A,FALSE,"Sales Graph";#N/A,#N/A,FALSE,"BUC Graph";#N/A,#N/A,FALSE,"P&amp;L - YTD"}</definedName>
    <definedName name="err.g." hidden="1">{#N/A,#N/A,FALSE,"KA CH  (2)"}</definedName>
    <definedName name="erre">City&amp;" "&amp;State</definedName>
    <definedName name="ERRMSGFLAG">"$Mar05.$#REF!$18"</definedName>
    <definedName name="errr.g" hidden="1">{#N/A,#N/A,FALSE,"KA CH  (2)"}</definedName>
    <definedName name="erryeyetyuu" hidden="1">{#N/A,#N/A,FALSE,"Pharm";#N/A,#N/A,FALSE,"WWCM"}</definedName>
    <definedName name="ert" hidden="1">{#N/A,#N/A,FALSE,"Umsatz 99";#N/A,#N/A,FALSE,"ER 99 "}</definedName>
    <definedName name="ERTFDSG" hidden="1">{#N/A,#N/A,FALSE,"PGW"}</definedName>
    <definedName name="ERTFDSG_1" hidden="1">{#N/A,#N/A,FALSE,"PGW"}</definedName>
    <definedName name="ERTFDSG_2" hidden="1">{#N/A,#N/A,FALSE,"PGW"}</definedName>
    <definedName name="ERTFDSG_3" hidden="1">{#N/A,#N/A,FALSE,"PGW"}</definedName>
    <definedName name="ERTFDSG_4" hidden="1">{#N/A,#N/A,FALSE,"PGW"}</definedName>
    <definedName name="ertr" hidden="1">{#N/A,#N/A,FALSE,"Umsatz 99";#N/A,#N/A,FALSE,"ER 99 "}</definedName>
    <definedName name="erty" hidden="1">{"'7'!$B$15:$D$32"}</definedName>
    <definedName name="ervnj" hidden="1">{"YTDACT",#N/A,FALSE,"YTD Cum";"YTDBUD",#N/A,FALSE,"YTD Cum";"YTDPRIOR",#N/A,FALSE,"YTD Cum"}</definedName>
    <definedName name="erw"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hidden="1">{"QTR_ACT",#N/A,FALSE,"PROP_PBIT_DEV_Q3";"QTR_BUD",#N/A,FALSE,"PROP_PBIT_DEV_Q3";"YTD_BUD",#N/A,FALSE,"PROP_PBIT_DEV_Q3";"YTD_ACT",#N/A,FALSE,"PROP_PBIT_DEV_Q3";"FY95 SNAP3",#N/A,FALSE,"PROP_PBIT_DEV_Q3";"FY95_BUD",#N/A,FALSE,"PROP_PBIT_DEV_Q3";"FY96_BUD",#N/A,FALSE,"PROP_PBIT_DEV_Q3"}</definedName>
    <definedName name="ESIC">#REF!</definedName>
    <definedName name="ESSAI" hidden="1">{#N/A,#N/A,FALSE,"Pharm";#N/A,#N/A,FALSE,"WWCM"}</definedName>
    <definedName name="EssAliasTable">"Default"</definedName>
    <definedName name="Essar" hidden="1">{#N/A,#N/A,FALSE,"PMTABB";#N/A,#N/A,FALSE,"PMTABB"}</definedName>
    <definedName name="EssLatest">"01"</definedName>
    <definedName name="EssOptions">"1100000000010000_01000"</definedName>
    <definedName name="EssSamplingValue">100</definedName>
    <definedName name="et"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et" hidden="1">{#N/A,#N/A,FALSE,"Calc";#N/A,#N/A,FALSE,"Sensitivity";#N/A,#N/A,FALSE,"LT Earn.Dil.";#N/A,#N/A,FALSE,"Dil. AVP"}</definedName>
    <definedName name="eu" hidden="1">{"apci",#N/A,FALSE,"Chem_CY";"eastman",#N/A,FALSE,"Eastman";"betz",#N/A,FALSE,"Betz";"great lakes",#N/A,FALSE,"Great_Lakes";"hercules",#N/A,FALSE,"Hercules Chem Seg Data";"rohm",#N/A,FALSE,"Rohm";"union carbide",#N/A,FALSE,"Union";"witco",#N/A,FALSE,"Witco"}</definedName>
    <definedName name="EUComms">#REF!</definedName>
    <definedName name="EUDepr">#REF!</definedName>
    <definedName name="EUDP">#REF!</definedName>
    <definedName name="EUIncent">#REF!</definedName>
    <definedName name="EUIncentives">#REF!</definedName>
    <definedName name="EUMaint">#REF!</definedName>
    <definedName name="EUR">#N/A</definedName>
    <definedName name="EUR_2">"#REF!"</definedName>
    <definedName name="EUR_3">"#REF!"</definedName>
    <definedName name="EUR_4">"#REF!"</definedName>
    <definedName name="EUR_5">"#REF!"</definedName>
    <definedName name="EUR_6">"#REF!"</definedName>
    <definedName name="EUR_7">"#REF!"</definedName>
    <definedName name="Europe">#REF!</definedName>
    <definedName name="ev.Calculation" hidden="1">-4105</definedName>
    <definedName name="ev.Initialized" hidden="1">FALSE</definedName>
    <definedName name="EV__DECIMALSYMBOL__" hidden="1">"."</definedName>
    <definedName name="EV__EVCOM_OPTIONS__" hidden="1">8</definedName>
    <definedName name="EV__EXPOPTIONS__" hidden="1">0</definedName>
    <definedName name="EV__LASTREFTIME__" hidden="1">"(GMT)24/10/2012 10:27:34"</definedName>
    <definedName name="EV__LOCKEDCVW__Actual" hidden="1">"NETINC,WALK_IS,PC80273BS,I_NONE,ACTUAL,G_NONE,GBP,PL99,F_NONE,2012.JAN,PERIODIC,"</definedName>
    <definedName name="EV__LOCKEDCVW__Budget" hidden="1">"NETINC,INPUT,PC0001010030BS,I_NONE,BUDGET2012,G_NONE,LC,PL99,F_NONE,2012.TOTAL,PERIODIC,"</definedName>
    <definedName name="EV__LOCKEDCVW__CONSOL_IGAAP">"IG-BS,TOTALADJ,H1_BE,F_SC,G_H1,ALL_INTERCO,INR,IL-ALL,2005.TOTAL,C_100,YTD,"</definedName>
    <definedName name="EV__LOCKEDCVW__CONSOL_IGAAP_GL">"TOTALADJ,H1_BE,F_APIC,NIG_BS,G_H1,ALL_INTERCO,INR,IL-ALL,2005.TOTAL,C_100,YTD,"</definedName>
    <definedName name="EV__LOCKEDCVW__CONSOL_INDIA_IT">"IG-BS,TOTALADJ,C2000,F_APIC,G_H1,ALL_INTERCO,INR,IL-ALL,2015.MAR,C_100,YTD,"</definedName>
    <definedName name="EV__LOCKEDCVW__CONSOL_INDIA_IT_GL">"TOTALADJ,H1_BE,F_APIC,NIG_BS,G_H1,ALL_INTERCO,INR,IL-ALL,2005.TOTAL,C_100,YTD,"</definedName>
    <definedName name="EV__LOCKEDCVW__CONSOL_INDIA_SA">"IG-BS,TOTALADJ,H1_BE,F_SC,G_H1,ALL_INTERCO,INR,IL-ALL,2005.TOTAL,C_100,YTD,"</definedName>
    <definedName name="EV__LOCKEDCVW__CONSOL_RECO">"IG-BS,TOTALADJ,CG1,F_APIC,G_CG1,ALL_INTERCO,INR,IL-ALL,2015.JUN,C_100,HCL_QTD,"</definedName>
    <definedName name="EV__LOCKEDCVW__CONSOL_USGAAP">"IG-BS,TOTALADJ,CG1,F_SC,UG_CG1,ALL_INTERCO,USD,IL-ALL,2015.JUN,C_100,HCL_QTD,"</definedName>
    <definedName name="EV__LOCKEDCVW__CONSOL_USGAAP_GL">"TOTALADJ,H1_BE,F_APIC,UG-BS,G_H1,ALL_INTERCO,USD,ALL_SEGMENTS,2015.JUN,C_100,YTD,"</definedName>
    <definedName name="EV__LOCKEDCVW__Consolidation" hidden="1">"TBS,ALL_AUDITID,ACTUAL,G_NONE,AUD,C_PC80274,END,ALL_INTERCO,2008.TOTAL,YTD,"</definedName>
    <definedName name="EV__LOCKEDCVW__ICMATCHING_IGAAP">"IG-BS,TOTALADJ,H1_BE,F_APIC,ALL_INTERCO,INR,IL-ALL,2005.TOTAL,AED,C_100,YTD,"</definedName>
    <definedName name="EV__LOCKEDCVW__ICMATCHING_USGAAP">"IG-BS,TOTALADJ,H1_BE,F_APIC,ALL_INTERCO,INR,IL-ALL,2005.TOTAL,AED,C_100,YTD,"</definedName>
    <definedName name="EV__LOCKEDCVW__OWNERSHIP_IGAAP">"H1_BE,G_CG1,ALL_INTERCO,METHOD,2015.APR,C_100,PERIODIC,"</definedName>
    <definedName name="EV__LOCKEDCVW__OWNERSHIP_INDIA_IT">"H1_BE,G_H1,ALL_INTERCO,METHOD,2005.TOTAL,C_100,PERIODIC,"</definedName>
    <definedName name="EV__LOCKEDCVW__OWNERSHIP_INDIA_SA">"H1_BE,G_H1,ALL_INTERCO,METHOD,2005.TOTAL,C_100,PERIODIC,"</definedName>
    <definedName name="EV__LOCKEDCVW__OWNERSHIP_RECO">"H1_BE,G_CG1,ALL_INTERCO,METHOD,2015.APR,C_100,PERIODIC,"</definedName>
    <definedName name="EV__LOCKEDCVW__OWNERSHIP_USGAAP">"H1_BE,UG_CG1,ALL_INTERCO,METHOD,2015.JUN,C_100,PERIODIC,"</definedName>
    <definedName name="EV__LOCKEDCVW__RATE">"AED,AVG,CG1,2015.JUN,C_100,PERIODIC,"</definedName>
    <definedName name="EV__LOCKEDCVW__RATE_IT">"AED,AVG,CG1,2015.MAR,C_100,PERIODIC,"</definedName>
    <definedName name="EV__LOCKEDCVW__RATE_RECO">"AED,AVG,CG1,2015.JUN,C_100,PERIODIC,"</definedName>
    <definedName name="EV__LOCKEDCVW__RATE_SA">"AED,AVG,CG1,2015.JUN,C_100,PERIODIC,"</definedName>
    <definedName name="EV__LOCKEDCVW__Rates" hidden="1">"ACTUAL,ARS,GLOBAL,AVER,2008.TOTAL,YTD,"</definedName>
    <definedName name="EV__LOCKSTATUS__" hidden="1">4</definedName>
    <definedName name="EV__MAXEXPCOLS__" hidden="1">100</definedName>
    <definedName name="EV__MAXEXPROWS__" hidden="1">1000</definedName>
    <definedName name="EV__MEMORYCVW__" hidden="1">0</definedName>
    <definedName name="EV__WBEVMODE__" hidden="1">1</definedName>
    <definedName name="EV__WBREFOPTIONS__" hidden="1">63</definedName>
    <definedName name="EV__WBVERSION__" hidden="1">0</definedName>
    <definedName name="EV__WSINFO__" hidden="1">"Serco"</definedName>
    <definedName name="EVDESCRIPTION">"  "</definedName>
    <definedName name="EVMAXHIER">1</definedName>
    <definedName name="EVPRINTHIER">1</definedName>
    <definedName name="EVSEPARATE">FALSE</definedName>
    <definedName name="evwuhiue" hidden="1">{"histincome",#N/A,FALSE,"hyfins";"closing balance",#N/A,FALSE,"hyfins"}</definedName>
    <definedName name="ew" hidden="1">{#N/A,"PURADD",FALSE,"Business Analysis";#N/A,"PURSPP",FALSE,"Business Analysis";#N/A,"CTGIND",FALSE,"Business Analysis";#N/A,"PURCHM",FALSE,"Business Analysis";#N/A,"SPADD",FALSE,"Business Analysis";#N/A,"EPOXY",FALSE,"Business Analysis";#N/A,"PURPER",FALSE,"Business Analysis"}</definedName>
    <definedName name="ewa" hidden="1">{"'7'!$B$15:$D$32"}</definedName>
    <definedName name="ewaw" hidden="1">{"Act_vs_Budget",#N/A,FALSE,"QTRDPVAR";"Act_vs_Prior_Year",#N/A,FALSE,"QTRDPVAR"}</definedName>
    <definedName name="ewdwqd" hidden="1">{#N/A,"PURCHM",FALSE,"Business Analysis";#N/A,"SPADD",FALSE,"Business Analysis"}</definedName>
    <definedName name="ewq" hidden="1">{"oct_res_comm",#N/A,FALSE,"VarToBud"}</definedName>
    <definedName name="ewr" hidden="1">{0,0,0,0,0,0,0,0,0,0,0,0,0,0,0,0,0,0,0,0,0,0,0,0,0,0,0,0,0,0,0,0,0,0,0,0,0,0,0,0,0,0,0,0,0,#VALUE!,0,0,0,0,108.003967338242}</definedName>
    <definedName name="ewv" hidden="1">{"Page1",#N/A,FALSE,"OpExJanvsBud";"Page2",#N/A,FALSE,"OpExJanvsBud"}</definedName>
    <definedName name="ewwe" hidden="1">{#N/A,#N/A,FALSE,"REPORT"}</definedName>
    <definedName name="ewwrerr">#N/A</definedName>
    <definedName name="ex">#REF!</definedName>
    <definedName name="Ex_rate">#REF!</definedName>
    <definedName name="EX_SUMMARY">#REF!</definedName>
    <definedName name="EXC">#REF!</definedName>
    <definedName name="Excel_BuiltIn__FilterDatabase_1">"#REF!"</definedName>
    <definedName name="Excel_BuiltIn__FilterDatabase_17">NA()</definedName>
    <definedName name="Excel_BuiltIn__FilterDatabase_2">#REF!</definedName>
    <definedName name="Excel_BuiltIn__FilterDatabase_24">"$#REF!.$A$5:$C$382"</definedName>
    <definedName name="Excel_BuiltIn__FilterDatabase_24_1">"$#REF!.$A$5:$C$382"</definedName>
    <definedName name="Excel_BuiltIn__FilterDatabase_3">NA()</definedName>
    <definedName name="Excel_BuiltIn__FilterDatabase_4">NA()</definedName>
    <definedName name="Excel_BuiltIn__FilterDatabase_43">NA()</definedName>
    <definedName name="Excel_BuiltIn__FilterDatabase_44">NA()</definedName>
    <definedName name="Excel_BuiltIn__FilterDatabase_5">NA()</definedName>
    <definedName name="Excel_BuiltIn__FilterDatabase_6">NA()</definedName>
    <definedName name="Excel_BuiltIn__FilterDatabase_7">NA()</definedName>
    <definedName name="Excel_BuiltIn__FilterDatabase_7_1">"$#REF!.$#REF!$#REF!:$#REF!$#REF!"</definedName>
    <definedName name="Excel_BuiltIn__FilterDatabase_76_1">NA()</definedName>
    <definedName name="Excel_BuiltIn__FilterDatabase_78">NA()</definedName>
    <definedName name="Excel_BuiltIn__FilterDatabase_8">NA()</definedName>
    <definedName name="Excel_BuiltIn__FilterDatabase_80">NA()</definedName>
    <definedName name="Excel_BuiltIn__FilterDatabase_9">#REF!</definedName>
    <definedName name="Excel_BuiltIn_Data_Form">NA()</definedName>
    <definedName name="Excel_BuiltIn_Database_1">"#REF!"</definedName>
    <definedName name="Excel_BuiltIn_Database_2">"#REF!"</definedName>
    <definedName name="Excel_BuiltIn_Print_Area_10_1">"$#REF!.$C$1:$X$20"</definedName>
    <definedName name="Excel_BuiltIn_Print_Area_10_1_1">"$335_3393_0001.$A$#REF!:$F$#REF!"</definedName>
    <definedName name="Excel_BuiltIn_Print_Area_11_1_1">"$335_3362_0001.$A$#REF!:$F$#REF!"</definedName>
    <definedName name="Excel_BuiltIn_Print_Area_12">"$#REF!.$A$1:$F$93"</definedName>
    <definedName name="Excel_BuiltIn_Print_Area_12_1_1_1">"$335_3360_0001.$A$#REF!:$E$#REF!"</definedName>
    <definedName name="Excel_BuiltIn_Print_Area_13_1_1_1">"$335_3344_0001.$A$#REF!:$F$#REF!"</definedName>
    <definedName name="Excel_BuiltIn_Print_Area_14_1">"$335_3390_0001.$A$#REF!:$F$#REF!"</definedName>
    <definedName name="Excel_BuiltIn_Print_Area_3">"$#REF!.$A$1:$N$53"</definedName>
    <definedName name="Excel_BuiltIn_Print_Area_3___0">"$#REF!.$A$1:$N$53"</definedName>
    <definedName name="Excel_BuiltIn_Print_Area_4">"$#REF!.$B$2:$J$18"</definedName>
    <definedName name="Excel_BuiltIn_Print_Area_4___0">"$#REF!.$A$1:$J$19"</definedName>
    <definedName name="Excel_BuiltIn_Print_Area_4_1_1_1_1_1">"$158_9999_0001.$A$#REF!:$G$#REF!"</definedName>
    <definedName name="Excel_BuiltIn_Print_Area_5_1_1">"$#REF!.$A$1:$F$39"</definedName>
    <definedName name="Excel_BuiltIn_Print_Area_6">NA()</definedName>
    <definedName name="Excel_BuiltIn_Print_Area_6_1_1_1">"$322_9999_period.$A$#REF!:$F$#REF!"</definedName>
    <definedName name="Excel_BuiltIn_Print_Area_7_1_1_1_1">"$#REF!.$A$1:$F$28"</definedName>
    <definedName name="Excel_BuiltIn_Print_Area_8">NA()</definedName>
    <definedName name="Excel_BuiltIn_Print_Area_8_1_1">"$335_3340_0001.$A$#REF!:$F$#REF!"</definedName>
    <definedName name="Excel_BuiltIn_Print_Area_9_1_1_1">"$335_3380_0001.$A$#REF!:$G$#REF!"</definedName>
    <definedName name="Excel_BuiltIn_Print_Titles_0">"$#ref!.$a$1:$#ref!.$II$12"</definedName>
    <definedName name="Excel_BuiltIn_Print_Titles_123">"$#REF!.$B$1:$C$65536"</definedName>
    <definedName name="Excel_BuiltIn_Print_Titles_6">NA()</definedName>
    <definedName name="Excel_BuiltIn_Print_Titles_8">NA()</definedName>
    <definedName name="excess_cash">#REF!</definedName>
    <definedName name="EXCH">#REF!</definedName>
    <definedName name="excl_FX" hidden="1">{"SCM_Detail",#N/A,FALSE,"SCM";"SCM_Top",#N/A,FALSE,"SCM"}</definedName>
    <definedName name="exhibit1">#REF!</definedName>
    <definedName name="EXHT" hidden="1">15</definedName>
    <definedName name="EXIT">#REF!</definedName>
    <definedName name="EXIT_2">"#REF!"</definedName>
    <definedName name="EXIT_3">"#REF!"</definedName>
    <definedName name="EXIT_4">"#REF!"</definedName>
    <definedName name="EXIT_5">"#REF!"</definedName>
    <definedName name="EXIT_6">"#REF!"</definedName>
    <definedName name="EXIT_7">"#REF!"</definedName>
    <definedName name="exit1">#N/A</definedName>
    <definedName name="exit2">#N/A</definedName>
    <definedName name="exit3">#N/A</definedName>
    <definedName name="exp">#REF!</definedName>
    <definedName name="exp_2">#N/A</definedName>
    <definedName name="Exp_cases">#REF!</definedName>
    <definedName name="EXP_COS">#N/A</definedName>
    <definedName name="EXP_SALE">#N/A</definedName>
    <definedName name="ExpandOutputs">#N/A</definedName>
    <definedName name="ExpandVPeriods">#N/A</definedName>
    <definedName name="ExportFile">#N/A</definedName>
    <definedName name="EXPSALE">#N/A</definedName>
    <definedName name="EXTERNAL">#N/A</definedName>
    <definedName name="External_Costs">#REF!</definedName>
    <definedName name="Extra_Pay">#REF!</definedName>
    <definedName name="_xlnm.Extract">#REF!</definedName>
    <definedName name="Extras2000">#REF!</definedName>
    <definedName name="Extras2003">#REF!</definedName>
    <definedName name="Extras2004">#REF!</definedName>
    <definedName name="Extras2005">#REF!</definedName>
    <definedName name="exx">#REF!</definedName>
    <definedName name="EYCDATA">#REF!</definedName>
    <definedName name="EYColumnHeading">#REF!</definedName>
    <definedName name="eydsr" hidden="1">{#N/A,"PURCHM",FALSE,"Business Analysis";#N/A,"SPADD",FALSE,"Business Analysis"}</definedName>
    <definedName name="f" hidden="1">{"QTR_ACT",#N/A,FALSE,"PROP_PBIT_DEV_Q3";"QTR_BUD",#N/A,FALSE,"PROP_PBIT_DEV_Q3";"YTD_BUD",#N/A,FALSE,"PROP_PBIT_DEV_Q3";"YTD_ACT",#N/A,FALSE,"PROP_PBIT_DEV_Q3";"FY95 SNAP3",#N/A,FALSE,"PROP_PBIT_DEV_Q3";"FY95_BUD",#N/A,FALSE,"PROP_PBIT_DEV_Q3";"FY96_BUD",#N/A,FALSE,"PROP_PBIT_DEV_Q3"}</definedName>
    <definedName name="f.ffff" hidden="1">{#N/A,#N/A,FALSE,"Umsatz 99";#N/A,#N/A,FALSE,"ER 99 "}</definedName>
    <definedName name="fa" hidden="1">{"vol data",#N/A,FALSE,"Datasheet";"vol graph",#N/A,FALSE,"Volume";"price data",#N/A,FALSE,"Datasheet";"price graph",#N/A,FALSE,"Price";"dp data",#N/A,FALSE,"Datasheet";"dp graph",#N/A,FALSE,"DirectProfit"}</definedName>
    <definedName name="FA_SCHEDULE"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B">#N/A</definedName>
    <definedName name="face">City&amp;" "&amp;State</definedName>
    <definedName name="factor">#REF!</definedName>
    <definedName name="Factory_Card_Outlet_Corp.">#REF!</definedName>
    <definedName name="fakjdfad">#N/A</definedName>
    <definedName name="fasdfsdfsegds" hidden="1">{#N/A,#N/A,FALSE,"PMTABB";#N/A,#N/A,FALSE,"PMTABB"}</definedName>
    <definedName name="Fax">"'file://Bks/D/draftfinancialsbymanojindushyd/BANDHAN-NBFC-_Fin_Statatement-2009-Ver-1-27.04.2009.xlsx'#$''.$B$2"</definedName>
    <definedName name="Fax_1">"'file://Bks/D/draftfinancialsbymanojindushyd/BANDHAN-NBFC-_Fin_Statatement-2009-Ver-1-27.04.2009.xlsx'#$''.$B$2"</definedName>
    <definedName name="FAXNO">#REF!</definedName>
    <definedName name="FC" hidden="1">{#N/A,#N/A,FALSE,"gc (2)"}</definedName>
    <definedName name="FC5_total">#REF!</definedName>
    <definedName name="FC6_total">#REF!</definedName>
    <definedName name="FCASE">#REF!</definedName>
    <definedName name="fc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uk" hidden="1">{"by departments",#N/A,TRUE,"FORECAST";"cap_headcount",#N/A,TRUE,"FORECAST";"summary",#N/A,TRUE,"FORECAST"}</definedName>
    <definedName name="fd" hidden="1">{"detail",#N/A,FALSE,"mfg";"summary",#N/A,FALSE,"mfg"}</definedName>
    <definedName name="fdef" hidden="1">{#N/A,"PURADD",FALSE,"Business Analysis";#N/A,"PURSPP",FALSE,"Business Analysis";#N/A,"CTGIND",FALSE,"Business Analysis";#N/A,"PURCHM",FALSE,"Business Analysis";#N/A,"SPADD",FALSE,"Business Analysis";#N/A,"EPOXY",FALSE,"Business Analysis";#N/A,"PURPER",FALSE,"Business Analysis"}</definedName>
    <definedName name="fdfa">#REF!</definedName>
    <definedName name="fdfd">City&amp;" "&amp;State</definedName>
    <definedName name="fdfdf" hidden="1">{#N/A,#N/A,FALSE,"Staffnos &amp; cost"}</definedName>
    <definedName name="fdfsdsd">#N/A</definedName>
    <definedName name="fdgdfgfdgf" hidden="1">{#N/A,#N/A,FALSE,"Produkte Erw.";#N/A,#N/A,FALSE,"Produkte Plan";#N/A,#N/A,FALSE,"Leistungen Erw.";#N/A,#N/A,FALSE,"Leistungen Plan";#N/A,#N/A,FALSE,"KA Allg.Kosten (2)";#N/A,#N/A,FALSE,"KA All.Kosten"}</definedName>
    <definedName name="fdgfdg" hidden="1">{#N/A,#N/A,FALSE,"Umsatz EO BP";#N/A,#N/A,FALSE,"Umsatz EO OP";#N/A,#N/A,FALSE,"ER EO BP";#N/A,#N/A,FALSE,"ER EO OP";#N/A,#N/A,FALSE,"EA EO (2)";#N/A,#N/A,FALSE,"EA EO";#N/A,#N/A,FALSE,"EA EO (3)";#N/A,#N/A,FALSE,"EA EO (4)";#N/A,#N/A,FALSE,"KA EO  (2)";#N/A,#N/A,FALSE,"KA EO";#N/A,#N/A,FALSE,"KA EO  (3)";#N/A,#N/A,FALSE,"KA EO (4)"}</definedName>
    <definedName name="fdgfdgfdgfdg" hidden="1">{#N/A,#N/A,FALSE,"KA CH  (2)"}</definedName>
    <definedName name="fdgfdgsdgsdgs" hidden="1">{#N/A,#N/A,FALSE,"KA CH  (2)"}</definedName>
    <definedName name="fdgsd" hidden="1">{#N/A,#N/A,FALSE,"COMP"}</definedName>
    <definedName name="fdhiuvghd" hidden="1">{"consolidated",#N/A,FALSE,"Sheet1";"cms",#N/A,FALSE,"Sheet1";"fse",#N/A,FALSE,"Sheet1"}</definedName>
    <definedName name="fdhvoiudhv" hidden="1">{TRUE,TRUE,-1.25,-15.5,456.75,279.75,FALSE,FALSE,TRUE,TRUE,0,1,18,1,199,6,3,4,TRUE,TRUE,3,TRUE,1,TRUE,100,"Swvu.cash.","ACwvu.cash.",1,FALSE,FALSE,0.511811023622047,0.511811023622047,0.511811023622047,0.511811023622047,1,"","",FALSE,FALSE,FALSE,FALSE,1,#N/A,1,1,#DIV/0!,FALSE,"Rwvu.cash.",#N/A,FALSE,FALSE}</definedName>
    <definedName name="fdiu" hidden="1">{#N/A,#N/A,FALSE,"Balance Sheet";#N/A,#N/A,FALSE,"Income Statement";#N/A,#N/A,FALSE,"Changes in Financial Position"}</definedName>
    <definedName name="fdiugodg" hidden="1">{"histincome",#N/A,FALSE,"hyfins";"closing balance",#N/A,FALSE,"hyfins"}</definedName>
    <definedName name="FDQ" hidden="1">{"detail",#N/A,FALSE,"mfg";"summary",#N/A,FALSE,"mfg"}</definedName>
    <definedName name="fds" hidden="1">{#N/A,#N/A,FALSE,"Pharm";#N/A,#N/A,FALSE,"WWCM"}</definedName>
    <definedName name="FDS_CACHE_PTR" hidden="1">0</definedName>
    <definedName name="fdsa" hidden="1">{"QTR_ACT",#N/A,FALSE,"PROP_PBIT_DEV_Q3";"QTR_BUD",#N/A,FALSE,"PROP_PBIT_DEV_Q3";"YTD_BUD",#N/A,FALSE,"PROP_PBIT_DEV_Q3";"YTD_ACT",#N/A,FALSE,"PROP_PBIT_DEV_Q3";"FY95 SNAP3",#N/A,FALSE,"PROP_PBIT_DEV_Q3";"FY95_BUD",#N/A,FALSE,"PROP_PBIT_DEV_Q3";"FY96_BUD",#N/A,FALSE,"PROP_PBIT_DEV_Q3"}</definedName>
    <definedName name="fdsf" hidden="1">{#N/A,#N/A,FALSE,"Model";#N/A,#N/A,FALSE,"Division"}</definedName>
    <definedName name="fdskj" hidden="1">{#N/A,#N/A,FALSE,"Model";#N/A,#N/A,FALSE,"Division"}</definedName>
    <definedName name="fe" hidden="1">{#N/A,#N/A,FALSE,"Layout GuV"}</definedName>
    <definedName name="fe_1" hidden="1">{#N/A,#N/A,FALSE,"PMTABB";#N/A,#N/A,FALSE,"PMTABB"}</definedName>
    <definedName name="fe_2" hidden="1">{#N/A,#N/A,FALSE,"PMTABB";#N/A,#N/A,FALSE,"PMTABB"}</definedName>
    <definedName name="fe_3" hidden="1">{#N/A,#N/A,FALSE,"PMTABB";#N/A,#N/A,FALSE,"PMTABB"}</definedName>
    <definedName name="fe_4" hidden="1">{#N/A,#N/A,FALSE,"PMTABB";#N/A,#N/A,FALSE,"PMTABB"}</definedName>
    <definedName name="Feb">#N/A</definedName>
    <definedName name="FEBPLAN">#REF!</definedName>
    <definedName name="fedfed">City&amp;" "&amp;State</definedName>
    <definedName name="FEETERM">#REF!</definedName>
    <definedName name="FEETERM1">#REF!</definedName>
    <definedName name="fere" hidden="1">{#N/A,#N/A,TRUE,"Front";#N/A,#N/A,TRUE,"Simple Letter";#N/A,#N/A,TRUE,"Inside";#N/A,#N/A,TRUE,"Contents";#N/A,#N/A,TRUE,"Basis";#N/A,#N/A,TRUE,"Inclusions";#N/A,#N/A,TRUE,"Exclusions";#N/A,#N/A,TRUE,"Areas";#N/A,#N/A,TRUE,"Summary";#N/A,#N/A,TRUE,"Detail"}</definedName>
    <definedName name="feret" hidden="1">{#N/A,#N/A,FALSE,"FREE"}</definedName>
    <definedName name="feret_1" hidden="1">{#N/A,#N/A,FALSE,"FREE"}</definedName>
    <definedName name="feret_2" hidden="1">{#N/A,#N/A,FALSE,"FREE"}</definedName>
    <definedName name="feret_3" hidden="1">{#N/A,#N/A,FALSE,"FREE"}</definedName>
    <definedName name="feret_4" hidden="1">{#N/A,#N/A,FALSE,"FREE"}</definedName>
    <definedName name="fesa" hidden="1">{"apci",#N/A,FALSE,"Chem_CY";"eastman",#N/A,FALSE,"Eastman";"betz",#N/A,FALSE,"Betz";"great lakes",#N/A,FALSE,"Great_Lakes";"hercules",#N/A,FALSE,"Hercules Chem Seg Data";"rohm",#N/A,FALSE,"Rohm";"union carbide",#N/A,FALSE,"Union";"witco",#N/A,FALSE,"Witco"}</definedName>
    <definedName name="fetr" hidden="1">{"BA detail",#N/A,FALSE,"Q3YTD "}</definedName>
    <definedName name="few" hidden="1">{#N/A,#N/A,FALSE,"PMTABB";#N/A,#N/A,FALSE,"PMTABB"}</definedName>
    <definedName name="few_1" hidden="1">{#N/A,#N/A,FALSE,"PMTABB";#N/A,#N/A,FALSE,"PMTABB"}</definedName>
    <definedName name="few_2" hidden="1">{#N/A,#N/A,FALSE,"PMTABB";#N/A,#N/A,FALSE,"PMTABB"}</definedName>
    <definedName name="few_3" hidden="1">{#N/A,#N/A,FALSE,"PMTABB";#N/A,#N/A,FALSE,"PMTABB"}</definedName>
    <definedName name="few_4" hidden="1">{#N/A,#N/A,FALSE,"PMTABB";#N/A,#N/A,FALSE,"PMTABB"}</definedName>
    <definedName name="fewq" hidden="1">{"Comp_of_Price_Effect",#N/A,FALSE,"QTRDPVAR"}</definedName>
    <definedName name="fewt" hidden="1">{#N/A,#N/A,FALSE,"EW"}</definedName>
    <definedName name="fewt_1" hidden="1">{#N/A,#N/A,FALSE,"EW"}</definedName>
    <definedName name="fewt_2" hidden="1">{#N/A,#N/A,FALSE,"EW"}</definedName>
    <definedName name="fewt_3" hidden="1">{#N/A,#N/A,FALSE,"EW"}</definedName>
    <definedName name="fewt_4" hidden="1">{#N/A,#N/A,FALSE,"EW"}</definedName>
    <definedName name="ff" hidden="1">{#N/A,#N/A,FALSE,"gc (2)"}</definedName>
    <definedName name="FF_2">"#REF!"</definedName>
    <definedName name="FF_3">"#REF!"</definedName>
    <definedName name="FF_4">"#REF!"</definedName>
    <definedName name="FF_5">"#REF!"</definedName>
    <definedName name="FF_6">"#REF!"</definedName>
    <definedName name="FF_7">"#REF!"</definedName>
    <definedName name="ffd" hidden="1">{#N/A,#N/A,FALSE,"Rohstoffnotierungen";#N/A,#N/A,FALSE,"ER HCST Erw. 99";#N/A,#N/A,FALSE,"ER HCST Plan 00";#N/A,#N/A,FALSE,"Umsatz KG";#N/A,#N/A,FALSE,"ER HCST";#N/A,#N/A,FALSE,"EA ST (2)";#N/A,#N/A,FALSE,"EA ST";#N/A,#N/A,FALSE,"EA ST (3)";#N/A,#N/A,FALSE,"EA ST (4)";#N/A,#N/A,FALSE,"KA ST  (2)";#N/A,#N/A,FALSE,"KA ST";#N/A,#N/A,FALSE,"KA ST  (3)";#N/A,#N/A,FALSE,"KA ST (4)"}</definedName>
    <definedName name="ffdd" hidden="1">{#N/A,#N/A,FALSE,"Umsatz EO BP";#N/A,#N/A,FALSE,"Umsatz EO OP";#N/A,#N/A,FALSE,"ER EO BP";#N/A,#N/A,FALSE,"ER EO OP";#N/A,#N/A,FALSE,"EA EO (2)";#N/A,#N/A,FALSE,"EA EO";#N/A,#N/A,FALSE,"EA EO (3)";#N/A,#N/A,FALSE,"EA EO (4)";#N/A,#N/A,FALSE,"KA EO  (2)";#N/A,#N/A,FALSE,"KA EO";#N/A,#N/A,FALSE,"KA EO  (3)";#N/A,#N/A,FALSE,"KA EO (4)"}</definedName>
    <definedName name="fff" hidden="1">{#N/A,#N/A,FALSE,"Pharm";#N/A,#N/A,FALSE,"WWCM"}</definedName>
    <definedName name="fff_2" hidden="1">{"Geo - Detail Detail",#N/A,FALSE,"Geo View";"Geo - Detail",#N/A,FALSE,"Geo View";"Dept - Detail Detail",#N/A,FALSE,"Dept View";"Dept - Detail",#N/A,FALSE,"Dept View"}</definedName>
    <definedName name="ffff" hidden="1">{#N/A,#N/A,FALSE,"COMP"}</definedName>
    <definedName name="fffffff" hidden="1">{#N/A,#N/A,FALSE,"Pharm";#N/A,#N/A,FALSE,"WWCM"}</definedName>
    <definedName name="ffgg" hidden="1">{#N/A,#N/A,FALSE,"CDA Plan"}</definedName>
    <definedName name="ffy" hidden="1">{#N/A,#N/A,FALSE,"FY97";#N/A,#N/A,FALSE,"FY98";#N/A,#N/A,FALSE,"FY99";#N/A,#N/A,FALSE,"FY00";#N/A,#N/A,FALSE,"FY01"}</definedName>
    <definedName name="fg" hidden="1">{#N/A,#N/A,FALSE,"REPORT"}</definedName>
    <definedName name="FG46TBTB4RTDKDK">#REF!</definedName>
    <definedName name="fgf" hidden="1">{#N/A,#N/A,FALSE,"Umsatz 99";#N/A,#N/A,FALSE,"ER 99 "}</definedName>
    <definedName name="fgf_2">"#REF!"</definedName>
    <definedName name="fgf_3">"#REF!"</definedName>
    <definedName name="fgf_4">"#REF!"</definedName>
    <definedName name="fgf_5">"#REF!"</definedName>
    <definedName name="fgf_6">"#REF!"</definedName>
    <definedName name="fgf_7">"#REF!"</definedName>
    <definedName name="FGFG" hidden="1">{#N/A,#N/A,FALSE,"Tabl. A1";#N/A,#N/A,FALSE,"Tabl. A1 b";#N/A,#N/A,FALSE,"Tabl. A2";#N/A,#N/A,FALSE,"Tabl. A2-1";#N/A,#N/A,FALSE,"Tabl. A2-2"}</definedName>
    <definedName name="fgfgf" hidden="1">{#N/A,#N/A,FALSE,"Umsatz 99";#N/A,#N/A,FALSE,"ER 99 "}</definedName>
    <definedName name="fgfx" hidden="1">{#N/A,#N/A,FALSE,"Umsatz 99";#N/A,#N/A,FALSE,"ER 99 "}</definedName>
    <definedName name="fgh" hidden="1">{"office ltcg",#N/A,FALSE,"gain01";"IT LTCG",#N/A,FALSE,"gain01"}</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ghfghgfh" hidden="1">{#N/A,#N/A,FALSE,"KA CH  (2)"}</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hidden="1">{#N/A,#N/A,FALSE,"Umsatz CH";#N/A,#N/A,FALSE,"ER CH";#N/A,#N/A,FALSE,"EA CH (2) ";#N/A,#N/A,FALSE,"EA CH";#N/A,#N/A,FALSE,"EA CH (3) ";#N/A,#N/A,FALSE,"EA CH (4)";#N/A,#N/A,FALSE,"KA CH";#N/A,#N/A,FALSE,"KA CH  (2)";#N/A,#N/A,FALSE,"KA CH  (3)";#N/A,#N/A,FALSE,"KA CH (4)"}</definedName>
    <definedName name="fghfghr" hidden="1">{#N/A,#N/A,FALSE,"PGW"}</definedName>
    <definedName name="FGHFH" hidden="1">{#N/A,#N/A,FALSE,"PGW"}</definedName>
    <definedName name="FGHFH_1" hidden="1">{#N/A,#N/A,FALSE,"PGW"}</definedName>
    <definedName name="FGHFH_2" hidden="1">{#N/A,#N/A,FALSE,"PGW"}</definedName>
    <definedName name="FGHFH_3" hidden="1">{#N/A,#N/A,FALSE,"PGW"}</definedName>
    <definedName name="FGHFH_4" hidden="1">{#N/A,#N/A,FALSE,"PGW"}</definedName>
    <definedName name="fg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kl"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fgjfgjfgj" hidden="1">{#N/A,#N/A,FALSE,"Produkte Erw.";#N/A,#N/A,FALSE,"Produkte Plan";#N/A,#N/A,FALSE,"Leistungen Erw.";#N/A,#N/A,FALSE,"Leistungen Plan";#N/A,#N/A,FALSE,"KA Allg.Kosten (2)";#N/A,#N/A,FALSE,"KA All.Kosten"}</definedName>
    <definedName name="fgkjkh" hidden="1">{#N/A,#N/A,FALSE,"REPORT"}</definedName>
    <definedName name="fgs" hidden="1">{#N/A,#N/A,FALSE,"COMP"}</definedName>
    <definedName name="fgsd" hidden="1">{"PAGE 1",#N/A,FALSE,"COS Excluding Geismar";"PAGE 2",#N/A,FALSE,"COS Excluding Geismar";"PAGE 3",#N/A,FALSE,"COS Excluding Geismar"}</definedName>
    <definedName name="fgsg" hidden="1">{"consolidated",#N/A,FALSE,"Sheet1";"cms",#N/A,FALSE,"Sheet1";"fse",#N/A,FALSE,"Sheet1"}</definedName>
    <definedName name="FGSOUTMP">#N/A</definedName>
    <definedName name="FGSOUTPP">#N/A</definedName>
    <definedName name="fgt" hidden="1">{"Performance Details",#N/A,FALSE,"Current Yr";"Performance Details",#N/A,FALSE,"Budget";"Performance Details",#N/A,FALSE,"Prior Year"}</definedName>
    <definedName name="FGVDFG" hidden="1">{#N/A,#N/A,FALSE,"Staffnos &amp; cost"}</definedName>
    <definedName name="fh" hidden="1">{#N/A,#N/A,FALSE,"KA CH  (2)"}</definedName>
    <definedName name="fhfgh" hidden="1">{#N/A,#N/A,FALSE,"Umsatz CH";#N/A,#N/A,FALSE,"ER CH";#N/A,#N/A,FALSE,"EA CH (2) ";#N/A,#N/A,FALSE,"EA CH";#N/A,#N/A,FALSE,"EA CH (3) ";#N/A,#N/A,FALSE,"EA CH (4)";#N/A,#N/A,FALSE,"KA CH";#N/A,#N/A,FALSE,"KA CH  (2)";#N/A,#N/A,FALSE,"KA CH  (3)";#N/A,#N/A,FALSE,"KA CH (4)"}</definedName>
    <definedName name="fhfhh" hidden="1">{#N/A,#N/A,FALSE,"Umsatz CH";#N/A,#N/A,FALSE,"ER CH";#N/A,#N/A,FALSE,"EA CH (2) ";#N/A,#N/A,FALSE,"EA CH";#N/A,#N/A,FALSE,"EA CH (3) ";#N/A,#N/A,FALSE,"EA CH (4)";#N/A,#N/A,FALSE,"KA CH";#N/A,#N/A,FALSE,"KA CH  (2)";#N/A,#N/A,FALSE,"KA CH  (3)";#N/A,#N/A,FALSE,"KA CH (4)"}</definedName>
    <definedName name="fhgj" hidden="1">{"Geo - Detail Detail",#N/A,FALSE,"Geo View";"Geo - Detail",#N/A,FALSE,"Geo View";"Dept - Detail Detail",#N/A,FALSE,"Dept View";"Dept - Detail",#N/A,FALSE,"Dept View"}</definedName>
    <definedName name="fhh" hidden="1">{#N/A,#N/A,FALSE,"Balance Sheets";#N/A,#N/A,FALSE,"96 Conservative";#N/A,#N/A,FALSE,"96 Possible"}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rtz" hidden="1">{#N/A,#N/A,FALSE,"PMW Gruppe 00_99";#N/A,#N/A,FALSE,"PMW KG 00_99";#N/A,#N/A,FALSE,"PMW Inc. 00_99";#N/A,#N/A,FALSE,"PMW VTECH 00_99";#N/A,#N/A,FALSE,"PMW Thail. 00_99";#N/A,#N/A,FALSE,"PMW Canada 00_99";#N/A,#N/A,FALSE,"Währungsabw. 00_99"}</definedName>
    <definedName name="FIBER">#REF!</definedName>
    <definedName name="fifteen">#REF!</definedName>
    <definedName name="fil" hidden="1">#REF!</definedName>
    <definedName name="File">"LBOC_11"</definedName>
    <definedName name="File_name">#REF!</definedName>
    <definedName name="File_name_internet">#REF!</definedName>
    <definedName name="File_Number">9</definedName>
    <definedName name="file10">#REF!</definedName>
    <definedName name="file2">#REF!</definedName>
    <definedName name="file3">#REF!</definedName>
    <definedName name="file4">#REF!</definedName>
    <definedName name="file5">#REF!</definedName>
    <definedName name="file6">#REF!</definedName>
    <definedName name="file7">#REF!</definedName>
    <definedName name="file8">#REF!</definedName>
    <definedName name="file9">#REF!</definedName>
    <definedName name="Filename_Division_1">#REF!</definedName>
    <definedName name="Filename_Division_2">#REF!</definedName>
    <definedName name="Filename_Division_3">#REF!</definedName>
    <definedName name="Filename_Division_4">#REF!</definedName>
    <definedName name="Filename_Division_5">#REF!</definedName>
    <definedName name="Filename_Division_6">#REF!</definedName>
    <definedName name="Filename_Division_7">#REF!</definedName>
    <definedName name="Filename_Division_8">#REF!</definedName>
    <definedName name="Filename_Division_9">#REF!</definedName>
    <definedName name="filter">#REF!</definedName>
    <definedName name="Fin" hidden="1">{#N/A,#N/A,TRUE,"Financials";#N/A,#N/A,TRUE,"Operating Statistics";#N/A,#N/A,TRUE,"Capex &amp; Depreciation";#N/A,#N/A,TRUE,"Debt"}</definedName>
    <definedName name="FinancialSummary">#REF!</definedName>
    <definedName name="FINSUM">#REF!</definedName>
    <definedName name="FIRE">#N/A</definedName>
    <definedName name="FIRE_1">"#REF!"</definedName>
    <definedName name="FIRE_2">"#REF!"</definedName>
    <definedName name="firs_2">"#REF!"</definedName>
    <definedName name="firs_3">"#REF!"</definedName>
    <definedName name="firs_4">"#REF!"</definedName>
    <definedName name="firs_5">"#REF!"</definedName>
    <definedName name="firs_6">"#REF!"</definedName>
    <definedName name="firs_7">"#REF!"</definedName>
    <definedName name="first">#REF!</definedName>
    <definedName name="First_Consolidation">1</definedName>
    <definedName name="First_File">1</definedName>
    <definedName name="firstValve_2">"#REF!"</definedName>
    <definedName name="firstValve_3">"#REF!"</definedName>
    <definedName name="firstValve_4">"#REF!"</definedName>
    <definedName name="firstValve_5">"#REF!"</definedName>
    <definedName name="firstValve_6">"#REF!"</definedName>
    <definedName name="firstValve_7">"#REF!"</definedName>
    <definedName name="FIT">#REF!</definedName>
    <definedName name="fixed_asset_2">"#REF!"</definedName>
    <definedName name="fixed_asset_3">"#REF!"</definedName>
    <definedName name="fixed_asset_4">"#REF!"</definedName>
    <definedName name="fixed_asset_5">"#REF!"</definedName>
    <definedName name="fixed_asset_6">"#REF!"</definedName>
    <definedName name="fixed_asset_7">"#REF!"</definedName>
    <definedName name="fixed_cost">#REF!</definedName>
    <definedName name="FJEZK" hidden="1">{#N/A,#N/A,FALSE,"Pharm";#N/A,#N/A,FALSE,"WWCM"}</definedName>
    <definedName name="fkasjdfkjasdfkasdf" hidden="1">4</definedName>
    <definedName name="fkl" hidden="1">{"'7'!$B$15:$D$32"}</definedName>
    <definedName name="FLAG3">#REF!</definedName>
    <definedName name="FLAG3a">#REF!</definedName>
    <definedName name="FLAG4">#REF!</definedName>
    <definedName name="FLAG4a">#REF!</definedName>
    <definedName name="FLAG5">#REF!</definedName>
    <definedName name="FLAG5a">#REF!</definedName>
    <definedName name="FLAG6">#REF!</definedName>
    <definedName name="FLAG6a">#REF!</definedName>
    <definedName name="FLAG7">#REF!</definedName>
    <definedName name="FLAG7a">#REF!</definedName>
    <definedName name="fnhv" hidden="1">{#N/A,#N/A,FALSE,"Finanzbedarsrechnung"}</definedName>
    <definedName name="fone">#REF!</definedName>
    <definedName name="FOOTNOTE">"Picture 1"</definedName>
    <definedName name="Forecast_estimate_at_completion">#REF!</definedName>
    <definedName name="forecast_to_complete">#REF!</definedName>
    <definedName name="Foreign" hidden="1">{#N/A,#N/A,FALSE,"PMTABB";#N/A,#N/A,FALSE,"PMTABB"}</definedName>
    <definedName name="forget" hidden="1">{#N/A,#N/A,FALSE,"Australia";#N/A,#N/A,FALSE,"Austria";#N/A,#N/A,FALSE,"Belgium";#N/A,#N/A,FALSE,"Canada";#N/A,#N/A,FALSE,"France";#N/A,#N/A,FALSE,"Germany";#N/A,#N/A,FALSE,"Hong Kong";#N/A,#N/A,FALSE,"Italy";#N/A,#N/A,FALSE,"Japan";#N/A,#N/A,FALSE,"Korea";#N/A,#N/A,FALSE,"Mexico";#N/A,#N/A,FALSE,"Poland";#N/A,#N/A,FALSE,"Spain";#N/A,#N/A,FALSE,"Switzerland";#N/A,#N/A,FALSE,"UK"}</definedName>
    <definedName name="formacro">#REF!</definedName>
    <definedName name="four">#REF!</definedName>
    <definedName name="FOXC" hidden="1">{#N/A,#N/A,TRUE,"Front";#N/A,#N/A,TRUE,"Simple Letter";#N/A,#N/A,TRUE,"Inside";#N/A,#N/A,TRUE,"Contents";#N/A,#N/A,TRUE,"Basis";#N/A,#N/A,TRUE,"Inclusions";#N/A,#N/A,TRUE,"Exclusions";#N/A,#N/A,TRUE,"Areas";#N/A,#N/A,TRUE,"Summary";#N/A,#N/A,TRUE,"Detail"}</definedName>
    <definedName name="FP" hidden="1">{#N/A,#N/A,TRUE,"Summary - 1";#N/A,#N/A,TRUE,"Summary - 2";#N/A,#N/A,TRUE,"Group Analysis";#N/A,#N/A,TRUE,"FM Analysis";#N/A,#N/A,TRUE,"T&amp;M-Onsite";#N/A,#N/A,TRUE,"FP-Onsite";#N/A,#N/A,TRUE,"NB-Onsite";#N/A,#N/A,TRUE,"T&amp;M-Offshore";#N/A,#N/A,TRUE,"FP-Offshore";#N/A,#N/A,TRUE,"Appendix-A";#N/A,#N/A,TRUE,"Appendix-B"}</definedName>
    <definedName name="fp_2">"#REF!"</definedName>
    <definedName name="fp_3">"#REF!"</definedName>
    <definedName name="fp_4">"#REF!"</definedName>
    <definedName name="fp_5">"#REF!"</definedName>
    <definedName name="fp_6">"#REF!"</definedName>
    <definedName name="fp_7">"#REF!"</definedName>
    <definedName name="FQNSIMSCENARIOS">"Alone,Competitor,"</definedName>
    <definedName name="fr">{#N/A,"PURCHM",FALSE,"Business Analysis";#N/A,"SPADD",FALSE,"Business Analysis"}</definedName>
    <definedName name="fre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FRF" hidden="1">{#N/A,#N/A,FALSE,"1";#N/A,#N/A,FALSE,"2";#N/A,#N/A,FALSE,"16 - 17";#N/A,#N/A,FALSE,"18 - 19";#N/A,#N/A,FALSE,"26";#N/A,#N/A,FALSE,"27";#N/A,#N/A,FALSE,"28"}</definedName>
    <definedName name="FRFERFE" hidden="1">{#N/A,#N/A,FALSE,"Pharm";#N/A,#N/A,FALSE,"WWCM"}</definedName>
    <definedName name="frncis_2">"#REF!"</definedName>
    <definedName name="frncis_3">"#REF!"</definedName>
    <definedName name="frncis_4">"#REF!"</definedName>
    <definedName name="frncis_5">"#REF!"</definedName>
    <definedName name="frncis_6">"#REF!"</definedName>
    <definedName name="frncis_7">"#REF!"</definedName>
    <definedName name="frqer" hidden="1">{#N/A,#N/A,FALSE,"OSBL"}</definedName>
    <definedName name="frty" hidden="1">{"PRS",#N/A,FALSE,"CM"}</definedName>
    <definedName name="fs2p">77.2+20*LOG(fr)</definedName>
    <definedName name="fsd" hidden="1">{#N/A,#N/A,FALSE,"Staffnos &amp; cost"}</definedName>
    <definedName name="fsdaf">#N/A</definedName>
    <definedName name="fsdafd">#N/A</definedName>
    <definedName name="fsdf">#N/A</definedName>
    <definedName name="fsdfas">#N/A</definedName>
    <definedName name="FSDFDS" hidden="1">{#N/A,#N/A,FALSE,"PMTABB";#N/A,#N/A,FALSE,"PMTABB"}</definedName>
    <definedName name="fsdfsd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fsdfsdfsfsf" hidden="1">{#N/A,#N/A,FALSE,"Staffnos &amp; cost"}</definedName>
    <definedName name="FSFGSFV_1">"#REF!"</definedName>
    <definedName name="FSFGSFV_2">"#REF!"</definedName>
    <definedName name="FSFGSFV_3">"#REF!"</definedName>
    <definedName name="FSFGSFV_4">"#REF!"</definedName>
    <definedName name="FSFGSFV_5">"#REF!"</definedName>
    <definedName name="fsfs" hidden="1">{#N/A,#N/A,FALSE,"Calc";#N/A,#N/A,FALSE,"Sensitivity";#N/A,#N/A,FALSE,"LT Earn.Dil.";#N/A,#N/A,FALSE,"Dil. AVP"}</definedName>
    <definedName name="fslog">77.2+20*LOG(freq)</definedName>
    <definedName name="fswq" hidden="1">{"'7'!$B$15:$D$32"}</definedName>
    <definedName name="ft">#REF!</definedName>
    <definedName name="ftss" hidden="1">{"FTS",#N/A,FALSE,"E"}</definedName>
    <definedName name="ftwo">#REF!</definedName>
    <definedName name="fuck" hidden="1">{"by departments",#N/A,TRUE,"FORECAST";"cap_headcount",#N/A,TRUE,"FORECAST";"summary",#N/A,TRUE,"FORECAST"}</definedName>
    <definedName name="fuckme" hidden="1">{"SUMMARY",#N/A,TRUE,"SUMMARY";"compare",#N/A,TRUE,"Vs. Bus Plan";"ratios",#N/A,TRUE,"Ratios";"REVENUE",#N/A,TRUE,"Revenue";"expenses",#N/A,TRUE,"1996 budget";"payroll",#N/A,TRUE,"Payroll"}</definedName>
    <definedName name="full" hidden="1">{#N/A,#N/A,TRUE,"Front";#N/A,#N/A,TRUE,"Simple Letter";#N/A,#N/A,TRUE,"Inside";#N/A,#N/A,TRUE,"Contents";#N/A,#N/A,TRUE,"Basis";#N/A,#N/A,TRUE,"Inclusions";#N/A,#N/A,TRUE,"Exclusions";#N/A,#N/A,TRUE,"Areas";#N/A,#N/A,TRUE,"Summary";#N/A,#N/A,TRUE,"Detail"}</definedName>
    <definedName name="Full_Print">#REF!</definedName>
    <definedName name="function">#REF!</definedName>
    <definedName name="Fund_Summary">#REF!</definedName>
    <definedName name="FUT_COS_Item_1">#REF!</definedName>
    <definedName name="FUT_COS_Item_10">#REF!</definedName>
    <definedName name="FUT_COS_Item_2">#REF!</definedName>
    <definedName name="FUT_COS_Item_3">#REF!</definedName>
    <definedName name="FUT_COS_Item_4">#REF!</definedName>
    <definedName name="FUT_COS_Item_5">#REF!</definedName>
    <definedName name="FUT_COS_Item_6">#REF!</definedName>
    <definedName name="FUT_COS_Item_7">#REF!</definedName>
    <definedName name="FUT_COS_Item_8">#REF!</definedName>
    <definedName name="FUT_COS_Item_9">#REF!</definedName>
    <definedName name="FUT_COS_Structure">#REF!</definedName>
    <definedName name="FUT_Discount_Rate">#REF!</definedName>
    <definedName name="FUT_OpEx_Item_1">#REF!</definedName>
    <definedName name="FUT_OpEx_Item_10">#REF!</definedName>
    <definedName name="FUT_OpEx_Item_2">#REF!</definedName>
    <definedName name="FUT_OpEx_Item_3">#REF!</definedName>
    <definedName name="FUT_OpEx_Item_4">#REF!</definedName>
    <definedName name="FUT_OpEx_Item_5">#REF!</definedName>
    <definedName name="FUT_OpEx_Item_6">#REF!</definedName>
    <definedName name="FUT_OpEx_Item_7">#REF!</definedName>
    <definedName name="FUT_OpEx_Item_8">#REF!</definedName>
    <definedName name="FUT_OpEx_Item_9">#REF!</definedName>
    <definedName name="FUT_OpEx_Structure">#REF!</definedName>
    <definedName name="FUT_Starting_FA">#REF!</definedName>
    <definedName name="FUT_Tax_Rate">#REF!</definedName>
    <definedName name="fv.wfip">#REF!</definedName>
    <definedName name="FV_Capital_Asset_10">#REF!</definedName>
    <definedName name="FV_Capital_Asset_11">#REF!</definedName>
    <definedName name="FV_Capital_Asset_12">#REF!</definedName>
    <definedName name="FV_Capital_Asset_13">#REF!</definedName>
    <definedName name="FV_Capital_Asset_14">#REF!</definedName>
    <definedName name="FV_Capital_Asset_15">#REF!</definedName>
    <definedName name="FV_Capital_Asset_6">#REF!</definedName>
    <definedName name="FV_Capital_Asset_7">#REF!</definedName>
    <definedName name="FV_Capital_Asset_8">#REF!</definedName>
    <definedName name="FV_Capital_Asset_9">#REF!</definedName>
    <definedName name="FVG" hidden="1">{#N/A,#N/A,FALSE,"Pharm";#N/A,#N/A,FALSE,"WWCM"}</definedName>
    <definedName name="fwef" hidden="1">{#N/A,#N/A,FALSE,"OSBL"}</definedName>
    <definedName name="fwef_1" hidden="1">{#N/A,#N/A,FALSE,"OSBL"}</definedName>
    <definedName name="fwef_2" hidden="1">{#N/A,#N/A,FALSE,"OSBL"}</definedName>
    <definedName name="fwef_3" hidden="1">{#N/A,#N/A,FALSE,"OSBL"}</definedName>
    <definedName name="fwef_4" hidden="1">{#N/A,#N/A,FALSE,"OSBL"}</definedName>
    <definedName name="fwer" hidden="1">{#N/A,"PURCHM",FALSE,"Business Analysis";#N/A,"SPADD",FALSE,"Business Analysis"}</definedName>
    <definedName name="fwrtergfre">10001</definedName>
    <definedName name="fx" hidden="1">{"TOTTEXAS",#N/A,FALSE,"CM"}</definedName>
    <definedName name="FX_A">#REF!</definedName>
    <definedName name="FX_Rate1">#REF!</definedName>
    <definedName name="FX_T">#REF!</definedName>
    <definedName name="FY">2005</definedName>
    <definedName name="FY_Plan_Options">#REF!</definedName>
    <definedName name="FY_Xpens">#REF!</definedName>
    <definedName name="FY17_">#REF!</definedName>
    <definedName name="FY2000Sales">#REF!</definedName>
    <definedName name="fyColHeading">#REF!</definedName>
    <definedName name="fyCoverDate">#REF!</definedName>
    <definedName name="fyCoverdatea">#REF!</definedName>
    <definedName name="fyCoverDraft">#REF!</definedName>
    <definedName name="fyCurrencyUnit">#REF!</definedName>
    <definedName name="FYE">"FYE"</definedName>
    <definedName name="FYEAR0607">#REF!</definedName>
    <definedName name="fyProjectName">#REF!</definedName>
    <definedName name="fySectionName">#REF!</definedName>
    <definedName name="fySheetName">#REF!</definedName>
    <definedName name="fySubsectName">#REF!</definedName>
    <definedName name="g" hidden="1">{#N/A,#N/A,FALSE,"Pharm";#N/A,#N/A,FALSE,"WWCM"}</definedName>
    <definedName name="G___P_">#REF!</definedName>
    <definedName name="g_1">{#N/A,#N/A,FALSE,"PMTABB";#N/A,#N/A,FALSE,"PMTABB"}</definedName>
    <definedName name="g_2">"#REF!"</definedName>
    <definedName name="g_3">"#REF!"</definedName>
    <definedName name="g_4">"#REF!"</definedName>
    <definedName name="g_5">"#REF!"</definedName>
    <definedName name="g_6">"#REF!"</definedName>
    <definedName name="g_7">"#REF!"</definedName>
    <definedName name="g_amortization">#REF!</definedName>
    <definedName name="G_ý_P_">#N/A</definedName>
    <definedName name="GAG" hidden="1">{#N/A,#N/A,FALSE,"Staffnos &amp; cost"}</definedName>
    <definedName name="GAMEHIGH1">"$Mar05.$#REF!$345"</definedName>
    <definedName name="GAMEHIGH2">"$Mar05.$#REF!$346"</definedName>
    <definedName name="GAMEHIGH3">"$Mar05.$#REF!$347"</definedName>
    <definedName name="Games_CS_Email">#REF!</definedName>
    <definedName name="Games_CS_Phone">#REF!</definedName>
    <definedName name="Games_Saves_Email">#REF!</definedName>
    <definedName name="Games_Saves_Phone">#REF!</definedName>
    <definedName name="Games_TS_Email">#REF!</definedName>
    <definedName name="Games_TS_Phone">#REF!</definedName>
    <definedName name="GASDFG" hidden="1">{#N/A,#N/A,TRUE,"Staffnos &amp; cost"}</definedName>
    <definedName name="gbp">70</definedName>
    <definedName name="gbpbud">71</definedName>
    <definedName name="gbpusd">1.6</definedName>
    <definedName name="GC">#N/A</definedName>
    <definedName name="gd" hidden="1">{#N/A,#N/A,FALSE,"Staffnos &amp; cost"}</definedName>
    <definedName name="GDC">#REF!</definedName>
    <definedName name="GDF" hidden="1">{"detail",#N/A,FALSE,"mfg";"summary",#N/A,FALSE,"mfg"}</definedName>
    <definedName name="GDFA" hidden="1">{#N/A,#N/A,FALSE,"COMP"}</definedName>
    <definedName name="gdfg" hidden="1">{#N/A,#N/A,FALSE,"Umsatz EO BP";#N/A,#N/A,FALSE,"Umsatz EO OP";#N/A,#N/A,FALSE,"ER EO BP";#N/A,#N/A,FALSE,"ER EO OP";#N/A,#N/A,FALSE,"EA EO (2)";#N/A,#N/A,FALSE,"EA EO";#N/A,#N/A,FALSE,"EA EO (3)";#N/A,#N/A,FALSE,"EA EO (4)";#N/A,#N/A,FALSE,"KA EO  (2)";#N/A,#N/A,FALSE,"KA EO";#N/A,#N/A,FALSE,"KA EO  (3)";#N/A,#N/A,FALSE,"KA EO (4)"}</definedName>
    <definedName name="gdfgdf" hidden="1">{#N/A,#N/A,FALSE,"Pharm";#N/A,#N/A,FALSE,"WWCM"}</definedName>
    <definedName name="GDFHDHGF" hidden="1">{#N/A,#N/A,FALSE,"Staffnos &amp; cost"}</definedName>
    <definedName name="gdgd" hidden="1">{#N/A,#N/A,FALSE,"Calc";#N/A,#N/A,FALSE,"Sensitivity";#N/A,#N/A,FALSE,"LT Earn.Dil.";#N/A,#N/A,FALSE,"Dil. AVP"}</definedName>
    <definedName name="gdsdfs" hidden="1">{"SCM_Detail",#N/A,FALSE,"SCM";"SCM_Top",#N/A,FALSE,"SCM"}</definedName>
    <definedName name="GdsShipConn">#REF!</definedName>
    <definedName name="GdsShiTrusteel">#REF!</definedName>
    <definedName name="GDTERM">#REF!</definedName>
    <definedName name="GDTERM1">#REF!</definedName>
    <definedName name="ge" hidden="1">{#N/A,#N/A,FALSE,"EW"}</definedName>
    <definedName name="ge_1" hidden="1">{#N/A,#N/A,FALSE,"EW"}</definedName>
    <definedName name="ge_2" hidden="1">{#N/A,#N/A,FALSE,"EW"}</definedName>
    <definedName name="ge_3" hidden="1">{#N/A,#N/A,FALSE,"EW"}</definedName>
    <definedName name="ge_4" hidden="1">{#N/A,#N/A,FALSE,"EW"}</definedName>
    <definedName name="General">#REF!</definedName>
    <definedName name="genie">#REF!</definedName>
    <definedName name="georges" hidden="1">{#N/A,#N/A,FALSE,"Tabl. FB300";#N/A,#N/A,FALSE,"Tabl. FB350";#N/A,#N/A,FALSE,"Tabl. FB400";#N/A,#N/A,FALSE,"Tabl. FB500";#N/A,#N/A,FALSE,"Tabl. FS090"}</definedName>
    <definedName name="Germany" hidden="1">{#N/A,#N/A,FALSE,"PM8 table"}</definedName>
    <definedName name="GetData">#N/A</definedName>
    <definedName name="gf" hidden="1">{#N/A,#N/A,FALSE,"KA CH  (2)"}</definedName>
    <definedName name="gfd" hidden="1">{#N/A,"PURCHM",FALSE,"Business Analysis";#N/A,"SPADD",FALSE,"Business Analysis"}</definedName>
    <definedName name="gfdfdf" hidden="1">{"CTCp1",#N/A,FALSE,"CTC Report";"CTCp2",#N/A,FALSE,"CTC Report";"CTCp3",#N/A,FALSE,"CTC Report";"CTCp4",#N/A,FALSE,"CTC Report"}</definedName>
    <definedName name="gfdg" hidden="1">{#N/A,#N/A,FALSE,"Staffnos &amp; cost"}</definedName>
    <definedName name="gfdjhjh" hidden="1">{#N/A,#N/A,FALSE,"Pharm";#N/A,#N/A,FALSE,"WWCM"}</definedName>
    <definedName name="gfds" hidden="1">{"oct_res_comm",#N/A,FALSE,"VarToBud"}</definedName>
    <definedName name="gfg_2">"#REF!"</definedName>
    <definedName name="gfg_3">"#REF!"</definedName>
    <definedName name="gfg_4">"#REF!"</definedName>
    <definedName name="gfg_5">"#REF!"</definedName>
    <definedName name="gfg_6">"#REF!"</definedName>
    <definedName name="gfg_7">"#REF!"</definedName>
    <definedName name="gfghdfgdf" hidden="1">{#N/A,#N/A,FALSE,"Umsatz CH";#N/A,#N/A,FALSE,"ER CH";#N/A,#N/A,FALSE,"EA CH (2) ";#N/A,#N/A,FALSE,"EA CH";#N/A,#N/A,FALSE,"EA CH (3) ";#N/A,#N/A,FALSE,"EA CH (4)";#N/A,#N/A,FALSE,"KA CH";#N/A,#N/A,FALSE,"KA CH  (2)";#N/A,#N/A,FALSE,"KA CH  (3)";#N/A,#N/A,FALSE,"KA CH (4)"}</definedName>
    <definedName name="gfh" hidden="1">{#N/A,#N/A,FALSE,"PMTABB";#N/A,#N/A,FALSE,"PMTABB"}</definedName>
    <definedName name="gfh_2" hidden="1">{#N/A,#N/A,FALSE,"PMTABB";#N/A,#N/A,FALSE,"PMTABB"}</definedName>
    <definedName name="gfh_3" hidden="1">{#N/A,#N/A,FALSE,"PMTABB";#N/A,#N/A,FALSE,"PMTABB"}</definedName>
    <definedName name="gfh_4" hidden="1">{#N/A,#N/A,FALSE,"PMTABB";#N/A,#N/A,FALSE,"PMTABB"}</definedName>
    <definedName name="gfhfgh" hidden="1">{#N/A,#N/A,FALSE,"Umsatz HM";#N/A,#N/A,FALSE,"ER HM";#N/A,#N/A,FALSE,"EA HM  (2)";#N/A,#N/A,FALSE,"EA HM ";#N/A,#N/A,FALSE,"EA HM  (4)";#N/A,#N/A,FALSE,"EA HM  (3)";#N/A,#N/A,FALSE,"KA HM  (2)";#N/A,#N/A,FALSE,"KA HM";#N/A,#N/A,FALSE,"KA HM  (3)";#N/A,#N/A,FALSE,"KA HM (4)"}</definedName>
    <definedName name="gfhfghgsdfghfg" hidden="1">{#N/A,#N/A,FALSE,"Umsatz 99";#N/A,#N/A,FALSE,"ER 99 "}</definedName>
    <definedName name="gfhh" hidden="1">{#N/A,#N/A,FALSE,"Umsatz CH";#N/A,#N/A,FALSE,"ER CH";#N/A,#N/A,FALSE,"EA CH (2) ";#N/A,#N/A,FALSE,"EA CH";#N/A,#N/A,FALSE,"EA CH (3) ";#N/A,#N/A,FALSE,"EA CH (4)";#N/A,#N/A,FALSE,"KA CH";#N/A,#N/A,FALSE,"KA CH  (2)";#N/A,#N/A,FALSE,"KA CH  (3)";#N/A,#N/A,FALSE,"KA CH (4)"}</definedName>
    <definedName name="GFNFGJH" hidden="1">{#N/A,#N/A,FALSE,"TOWNSHIP"}</definedName>
    <definedName name="GFNFGJH_1" hidden="1">{#N/A,#N/A,FALSE,"TOWNSHIP"}</definedName>
    <definedName name="GFNFGJH_2" hidden="1">{#N/A,#N/A,FALSE,"TOWNSHIP"}</definedName>
    <definedName name="GFNFGJH_3" hidden="1">{#N/A,#N/A,FALSE,"TOWNSHIP"}</definedName>
    <definedName name="GFNFGJH_4" hidden="1">{#N/A,#N/A,FALSE,"TOWNSHIP"}</definedName>
    <definedName name="gfr" hidden="1">{#N/A,#N/A,FALSE,"Staffnos &amp; cost"}</definedName>
    <definedName name="gfrr" hidden="1">{#N/A,#N/A,FALSE,"Umsatz 99";#N/A,#N/A,FALSE,"ER 99 "}</definedName>
    <definedName name="gfsd" hidden="1">{"consolidated",#N/A,FALSE,"Sheet1";"cms",#N/A,FALSE,"Sheet1";"fse",#N/A,FALSE,"Sheet1"}</definedName>
    <definedName name="gg" hidden="1">{#N/A,#N/A,FALSE,"Umsatz EO BP";#N/A,#N/A,FALSE,"Umsatz EO OP";#N/A,#N/A,FALSE,"ER EO BP";#N/A,#N/A,FALSE,"ER EO OP";#N/A,#N/A,FALSE,"EA EO (2)";#N/A,#N/A,FALSE,"EA EO";#N/A,#N/A,FALSE,"EA EO (3)";#N/A,#N/A,FALSE,"EA EO (4)";#N/A,#N/A,FALSE,"KA EO  (2)";#N/A,#N/A,FALSE,"KA EO";#N/A,#N/A,FALSE,"KA EO  (3)";#N/A,#N/A,FALSE,"KA EO (4)"}</definedName>
    <definedName name="GGF" hidden="1">{#N/A,#N/A,FALSE,"SUMMARY";#N/A,#N/A,FALSE,"SUMMARY"}</definedName>
    <definedName name="GGG">#REF!</definedName>
    <definedName name="gggg" hidden="1">{#N/A,#N/A,FALSE,"Model";#N/A,#N/A,FALSE,"Division"}</definedName>
    <definedName name="GGGGGGGG" hidden="1">{#N/A,#N/A,FALSE,"CDA Plan"}</definedName>
    <definedName name="gh" hidden="1">{"detail",#N/A,FALSE,"mfg";"summary",#N/A,FALSE,"mfg"}</definedName>
    <definedName name="GHDHGFJFJJGFJF" hidden="1">{#N/A,#N/A,FALSE,"Staffnos &amp; cost"}</definedName>
    <definedName name="ghfgh" hidden="1">{#N/A,#N/A,FALSE,"Umsatz CH";#N/A,#N/A,FALSE,"ER CH";#N/A,#N/A,FALSE,"EA CH (2) ";#N/A,#N/A,FALSE,"EA CH";#N/A,#N/A,FALSE,"EA CH (3) ";#N/A,#N/A,FALSE,"EA CH (4)";#N/A,#N/A,FALSE,"KA CH";#N/A,#N/A,FALSE,"KA CH  (2)";#N/A,#N/A,FALSE,"KA CH  (3)";#N/A,#N/A,FALSE,"KA CH (4)"}</definedName>
    <definedName name="GHGH">NA()</definedName>
    <definedName name="ghh" hidden="1">{#N/A,#N/A,FALSE,"KA CH  (2)"}</definedName>
    <definedName name="ghi" hidden="1">{#N/A,#N/A,FALSE,"Tabl. FB300";#N/A,#N/A,FALSE,"Tabl. FB350";#N/A,#N/A,FALSE,"Tabl. FB400";#N/A,#N/A,FALSE,"Tabl. FB500";#N/A,#N/A,FALSE,"Tabl. FS090"}</definedName>
    <definedName name="ghip">#REF!</definedName>
    <definedName name="ghj" hidden="1">{#N/A,#N/A,FALSE,"gc (2)"}</definedName>
    <definedName name="ghj.ljj" hidden="1">{#N/A,#N/A,FALSE,"Produkte Erw.";#N/A,#N/A,FALSE,"Produkte Plan";#N/A,#N/A,FALSE,"Leistungen Erw.";#N/A,#N/A,FALSE,"Leistungen Plan";#N/A,#N/A,FALSE,"KA Allg.Kosten (2)";#N/A,#N/A,FALSE,"KA All.Kosten"}</definedName>
    <definedName name="ghj.zz" hidden="1">{#N/A,#N/A,FALSE,"Umsatz CH";#N/A,#N/A,FALSE,"ER CH";#N/A,#N/A,FALSE,"EA CH (2) ";#N/A,#N/A,FALSE,"EA CH";#N/A,#N/A,FALSE,"EA CH (3) ";#N/A,#N/A,FALSE,"EA CH (4)";#N/A,#N/A,FALSE,"KA CH";#N/A,#N/A,FALSE,"KA CH  (2)";#N/A,#N/A,FALSE,"KA CH  (3)";#N/A,#N/A,FALSE,"KA CH (4)"}</definedName>
    <definedName name="ghjggjh" hidden="1">{#N/A,#N/A,FALSE,"Pharm";#N/A,#N/A,FALSE,"WWCM"}</definedName>
    <definedName name="ghjhgj" hidden="1">{#N/A,#N/A,FALSE,"PMW Gruppe 99_98";#N/A,#N/A,FALSE,"PMW KG 98_99";#N/A,#N/A,FALSE,"PMW Inc. 99_98";#N/A,#N/A,FALSE,"PMW VTECH 99_98";#N/A,#N/A,FALSE,"PMW Thail. 99_98";#N/A,#N/A,FALSE,"PMW Canada 99_98";#N/A,#N/A,FALSE,"Währungsabw. 99_98"}</definedName>
    <definedName name="ghjhgjh" hidden="1">{#N/A,#N/A,FALSE,"KA CH  (2)"}</definedName>
    <definedName name="ghjhj" hidden="1">{#N/A,#N/A,FALSE,"Umsatz EO BP";#N/A,#N/A,FALSE,"Umsatz EO OP";#N/A,#N/A,FALSE,"ER EO BP";#N/A,#N/A,FALSE,"ER EO OP";#N/A,#N/A,FALSE,"EA EO (2)";#N/A,#N/A,FALSE,"EA EO";#N/A,#N/A,FALSE,"EA EO (3)";#N/A,#N/A,FALSE,"EA EO (4)";#N/A,#N/A,FALSE,"KA EO  (2)";#N/A,#N/A,FALSE,"KA EO";#N/A,#N/A,FALSE,"KA EO  (3)";#N/A,#N/A,FALSE,"KA EO (4)"}</definedName>
    <definedName name="ghjk"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TI" hidden="1">{#N/A,#N/A,FALSE,"FREE"}</definedName>
    <definedName name="GHJTI_1" hidden="1">{#N/A,#N/A,FALSE,"FREE"}</definedName>
    <definedName name="GHJTI_2" hidden="1">{#N/A,#N/A,FALSE,"FREE"}</definedName>
    <definedName name="GHJTI_3" hidden="1">{#N/A,#N/A,FALSE,"FREE"}</definedName>
    <definedName name="GHJTI_4" hidden="1">{#N/A,#N/A,FALSE,"FREE"}</definedName>
    <definedName name="ghk" hidden="1">{#N/A,#N/A,FALSE,"PMW Gruppe 99_98";#N/A,#N/A,FALSE,"PMW KG 98_99";#N/A,#N/A,FALSE,"PMW Inc. 99_98";#N/A,#N/A,FALSE,"PMW VTECH 99_98";#N/A,#N/A,FALSE,"PMW Thail. 99_98";#N/A,#N/A,FALSE,"PMW Canada 99_98";#N/A,#N/A,FALSE,"Währungsabw. 99_98"}</definedName>
    <definedName name="ghkjsk">#REF!</definedName>
    <definedName name="GHRE"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ghuifd" hidden="1">{#N/A,"PURCHM",FALSE,"Business Analysis";#N/A,"SPADD",FALSE,"Business Analysis"}</definedName>
    <definedName name="gia">#REF!</definedName>
    <definedName name="gia_tien">#REF!</definedName>
    <definedName name="gia_tien_BTN">#REF!</definedName>
    <definedName name="gisheetr_1">NA()</definedName>
    <definedName name="gjh" hidden="1">{#N/A,#N/A,FALSE,"Umsatz 99";#N/A,#N/A,FALSE,"ER 99 "}</definedName>
    <definedName name="gjk" hidden="1">{#N/A,#N/A,FALSE,"Umsatz HM";#N/A,#N/A,FALSE,"ER HM";#N/A,#N/A,FALSE,"EA HM  (2)";#N/A,#N/A,FALSE,"EA HM ";#N/A,#N/A,FALSE,"EA HM  (4)";#N/A,#N/A,FALSE,"EA HM  (3)";#N/A,#N/A,FALSE,"KA HM  (2)";#N/A,#N/A,FALSE,"KA HM";#N/A,#N/A,FALSE,"KA HM  (3)";#N/A,#N/A,FALSE,"KA HM (4)"}</definedName>
    <definedName name="gjygj" hidden="1">{#N/A,#N/A,FALSE,"COMP"}</definedName>
    <definedName name="gk0901int" hidden="1">{#N/A,#N/A,FALSE,"PMTABB";#N/A,#N/A,FALSE,"PMTABB"}</definedName>
    <definedName name="gk0901int_1" hidden="1">{#N/A,#N/A,FALSE,"PMTABB";#N/A,#N/A,FALSE,"PMTABB"}</definedName>
    <definedName name="gk0901int_2" hidden="1">{#N/A,#N/A,FALSE,"PMTABB";#N/A,#N/A,FALSE,"PMTABB"}</definedName>
    <definedName name="gk0901int_3" hidden="1">{#N/A,#N/A,FALSE,"PMTABB";#N/A,#N/A,FALSE,"PMTABB"}</definedName>
    <definedName name="gk0901int_4" hidden="1">{#N/A,#N/A,FALSE,"PMTABB";#N/A,#N/A,FALSE,"PMTABB"}</definedName>
    <definedName name="gkjjk" hidden="1">{#N/A,#N/A,FALSE,"Umsatz CH";#N/A,#N/A,FALSE,"ER CH";#N/A,#N/A,FALSE,"EA CH (2) ";#N/A,#N/A,FALSE,"EA CH";#N/A,#N/A,FALSE,"EA CH (3) ";#N/A,#N/A,FALSE,"EA CH (4)";#N/A,#N/A,FALSE,"KA CH";#N/A,#N/A,FALSE,"KA CH  (2)";#N/A,#N/A,FALSE,"KA CH  (3)";#N/A,#N/A,FALSE,"KA CH (4)"}</definedName>
    <definedName name="gl0" hidden="1">{"'7'!$B$15:$D$32"}</definedName>
    <definedName name="GLAccountFilter">#REF!</definedName>
    <definedName name="GlideChartMarker" hidden="1">"Chart!A1"</definedName>
    <definedName name="GlideDataMarker" hidden="1">"Data!A1"</definedName>
    <definedName name="GlideHiddenMarker" hidden="1">"Costcurvedata!A1"</definedName>
    <definedName name="GlideMaxCharts" hidden="1">7</definedName>
    <definedName name="Global_Disc">#REF!</definedName>
    <definedName name="Global1" hidden="1">{#N/A,#N/A,FALSE,"Pharm";#N/A,#N/A,FALSE,"WWCM"}</definedName>
    <definedName name="Global2">#REF!</definedName>
    <definedName name="Glowops">#REF!</definedName>
    <definedName name="GM_Actual">#N/A</definedName>
    <definedName name="GM_Budget">#N/A</definedName>
    <definedName name="GMTable">#REF!</definedName>
    <definedName name="GNA">#REF!</definedName>
    <definedName name="GoBack">#N/A</definedName>
    <definedName name="god">#REF!</definedName>
    <definedName name="gods" hidden="1">{"consolidated",#N/A,FALSE,"Sheet1";"cms",#N/A,FALSE,"Sheet1";"fse",#N/A,FALSE,"Sheet1"}</definedName>
    <definedName name="GoodsShippedConnectors">#REF!</definedName>
    <definedName name="Goodwill_Amortization">25</definedName>
    <definedName name="Goodwill_Discount_Rate">#REF!</definedName>
    <definedName name="gqarefg" hidden="1">{#N/A,#N/A,FALSE,"PMTABB";#N/A,#N/A,FALSE,"PMTABB"}</definedName>
    <definedName name="gqarefg_1" hidden="1">{#N/A,#N/A,FALSE,"PMTABB";#N/A,#N/A,FALSE,"PMTABB"}</definedName>
    <definedName name="gqarefg_2" hidden="1">{#N/A,#N/A,FALSE,"PMTABB";#N/A,#N/A,FALSE,"PMTABB"}</definedName>
    <definedName name="gqarefg_3" hidden="1">{#N/A,#N/A,FALSE,"PMTABB";#N/A,#N/A,FALSE,"PMTABB"}</definedName>
    <definedName name="gqarefg_4" hidden="1">{#N/A,#N/A,FALSE,"PMTABB";#N/A,#N/A,FALSE,"PMTABB"}</definedName>
    <definedName name="gr" hidden="1">{#N/A,#N/A,FALSE,"SUMMARY";#N/A,#N/A,FALSE,"SUMMARY"}</definedName>
    <definedName name="gr_1" hidden="1">{#N/A,#N/A,FALSE,"SUMMARY";#N/A,#N/A,FALSE,"SUMMARY"}</definedName>
    <definedName name="gr_2" hidden="1">{#N/A,#N/A,FALSE,"SUMMARY";#N/A,#N/A,FALSE,"SUMMARY"}</definedName>
    <definedName name="gr_3" hidden="1">{#N/A,#N/A,FALSE,"SUMMARY";#N/A,#N/A,FALSE,"SUMMARY"}</definedName>
    <definedName name="gr_4" hidden="1">{#N/A,#N/A,FALSE,"SUMMARY";#N/A,#N/A,FALSE,"SUMMARY"}</definedName>
    <definedName name="gra">1.1</definedName>
    <definedName name="grade">#REF!</definedName>
    <definedName name="graham" hidden="1">{"ICD Details",#N/A,FALSE,"Current Yr";"ICD Details",#N/A,FALSE,"Budget";"ICD Details",#N/A,FALSE,"Prior Year"}</definedName>
    <definedName name="granamiter_2">"#REF!"</definedName>
    <definedName name="granamiter_3">"#REF!"</definedName>
    <definedName name="granamiter_4">"#REF!"</definedName>
    <definedName name="granamiter_5">"#REF!"</definedName>
    <definedName name="granamiter_6">"#REF!"</definedName>
    <definedName name="granamiter_7">"#REF!"</definedName>
    <definedName name="graniter_2">"#REF!"</definedName>
    <definedName name="graniter_3">"#REF!"</definedName>
    <definedName name="graniter_4">"#REF!"</definedName>
    <definedName name="graniter_5">"#REF!"</definedName>
    <definedName name="graniter_6">"#REF!"</definedName>
    <definedName name="graniter_7">"#REF!"</definedName>
    <definedName name="graph" hidden="1">{#N/A,#N/A,FALSE,"REPORT"}</definedName>
    <definedName name="grb">1.12</definedName>
    <definedName name="grc">1.1</definedName>
    <definedName name="GrCode">#REF!</definedName>
    <definedName name="gregergege"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grghfgfg" hidden="1">{#N/A,#N/A,FALSE,"Umsatz CH";#N/A,#N/A,FALSE,"ER CH";#N/A,#N/A,FALSE,"EA CH (2) ";#N/A,#N/A,FALSE,"EA CH";#N/A,#N/A,FALSE,"EA CH (3) ";#N/A,#N/A,FALSE,"EA CH (4)";#N/A,#N/A,FALSE,"KA CH";#N/A,#N/A,FALSE,"KA CH  (2)";#N/A,#N/A,FALSE,"KA CH  (3)";#N/A,#N/A,FALSE,"KA CH (4)"}</definedName>
    <definedName name="Gross_Profit">#REF!</definedName>
    <definedName name="Group1_2">"#REF!"</definedName>
    <definedName name="Group1_3">"#REF!"</definedName>
    <definedName name="Group1_4">"#REF!"</definedName>
    <definedName name="Group1_5">"#REF!"</definedName>
    <definedName name="Group1_6">"#REF!"</definedName>
    <definedName name="Group1_7">"#REF!"</definedName>
    <definedName name="Group2_2">"#REF!"</definedName>
    <definedName name="Group2_3">"#REF!"</definedName>
    <definedName name="Group2_4">"#REF!"</definedName>
    <definedName name="Group2_5">"#REF!"</definedName>
    <definedName name="Group2_6">"#REF!"</definedName>
    <definedName name="Group2_7">"#REF!"</definedName>
    <definedName name="Growth">#REF!</definedName>
    <definedName name="Growth_Rate">#REF!</definedName>
    <definedName name="grtr" hidden="1">{#N/A,#N/A,TRUE,"Front";#N/A,#N/A,TRUE,"Simple Letter";#N/A,#N/A,TRUE,"Inside";#N/A,#N/A,TRUE,"Contents";#N/A,#N/A,TRUE,"Basis";#N/A,#N/A,TRUE,"Inclusions";#N/A,#N/A,TRUE,"Exclusions";#N/A,#N/A,TRUE,"Areas";#N/A,#N/A,TRUE,"Summary";#N/A,#N/A,TRUE,"Detail"}</definedName>
    <definedName name="gs_2">"#REF!"</definedName>
    <definedName name="gs_3">"#REF!"</definedName>
    <definedName name="gs_4">"#REF!"</definedName>
    <definedName name="gs_5">"#REF!"</definedName>
    <definedName name="gs_6">"#REF!"</definedName>
    <definedName name="gs_7">"#REF!"</definedName>
    <definedName name="GSGFGFG" hidden="1">{#N/A,#N/A,FALSE,"CDA Plan"}</definedName>
    <definedName name="gt">#REF!</definedName>
    <definedName name="GTBookings">#REF!</definedName>
    <definedName name="gty" hidden="1">{"QTD_PACKAGE",#N/A,FALSE,"QTD"}</definedName>
    <definedName name="Guangzhou">{"Client Name or Project Name"}</definedName>
    <definedName name="GUILLAU" hidden="1">{#N/A,#N/A,FALSE,"Tabl. D1";#N/A,#N/A,FALSE,"Tabl. D1 b";#N/A,#N/A,FALSE,"Tabl. D2";#N/A,#N/A,FALSE,"Tabl. D2 b";#N/A,#N/A,FALSE,"Tabl. D3";#N/A,#N/A,FALSE,"Tabl. D4";#N/A,#N/A,FALSE,"Tabl. D5"}</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w">#REF!</definedName>
    <definedName name="gwergwr" hidden="1">{#N/A,#N/A,FALSE,"ISBL"}</definedName>
    <definedName name="gwergwr_1" hidden="1">{#N/A,#N/A,FALSE,"ISBL"}</definedName>
    <definedName name="gwergwr_2" hidden="1">{#N/A,#N/A,FALSE,"ISBL"}</definedName>
    <definedName name="gwergwr_3" hidden="1">{#N/A,#N/A,FALSE,"ISBL"}</definedName>
    <definedName name="gwergwr_4" hidden="1">{#N/A,#N/A,FALSE,"ISBL"}</definedName>
    <definedName name="GWyears">40</definedName>
    <definedName name="h" hidden="1">{#N/A,#N/A,FALSE,"REPORT"}</definedName>
    <definedName name="h.ll" hidden="1">{#N/A,#N/A,FALSE,"PMW Gruppe 99_98";#N/A,#N/A,FALSE,"PMW KG 98_99";#N/A,#N/A,FALSE,"PMW Inc. 99_98";#N/A,#N/A,FALSE,"PMW VTECH 99_98";#N/A,#N/A,FALSE,"PMW Thail. 99_98";#N/A,#N/A,FALSE,"PMW Canada 99_98";#N/A,#N/A,FALSE,"Währungsabw. 99_98"}</definedName>
    <definedName name="h_16">#N/A</definedName>
    <definedName name="h_3">#N/A</definedName>
    <definedName name="H2H" hidden="1">{#N/A,#N/A,FALSE,"Staffnos &amp; cost"}</definedName>
    <definedName name="Haifu_Execute2">#REF!</definedName>
    <definedName name="Haifu_NumberEdit2">#REF!</definedName>
    <definedName name="Half">#REF!</definedName>
    <definedName name="HANCK">#N/A</definedName>
    <definedName name="HArea">#REF!</definedName>
    <definedName name="hari\">#REF!</definedName>
    <definedName name="harman">#REF!</definedName>
    <definedName name="hb"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Cost">#REF!</definedName>
    <definedName name="hdlks" hidden="1">{#N/A,#N/A,FALSE,"COMP"}</definedName>
    <definedName name="HDUC">#REF!</definedName>
    <definedName name="head">#REF!</definedName>
    <definedName name="HEAD1">#REF!</definedName>
    <definedName name="HEAD2">#REF!</definedName>
    <definedName name="Headcount">#REF!</definedName>
    <definedName name="HEADER">#REF!</definedName>
    <definedName name="Header_Row">ROW(#REF!)</definedName>
    <definedName name="Headings_Added_Columns">"R4C2:R4CE"</definedName>
    <definedName name="Height">30</definedName>
    <definedName name="HEKIE?." hidden="1">{#N/A,#N/A,FALSE,"Tabl. FB300";#N/A,#N/A,FALSE,"Tabl. FB350";#N/A,#N/A,FALSE,"Tabl. FB400";#N/A,#N/A,FALSE,"Tabl. FB500";#N/A,#N/A,FALSE,"Tabl. FS090"}</definedName>
    <definedName name="HELLER">#REF!</definedName>
    <definedName name="HELP">#REF!</definedName>
    <definedName name="herhe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 hidden="1">{"detail",#N/A,FALSE,"mfg";"summary",#N/A,FALSE,"mfg"}</definedName>
    <definedName name="hf_2">"#REF!"</definedName>
    <definedName name="hf_3">"#REF!"</definedName>
    <definedName name="hf_4">"#REF!"</definedName>
    <definedName name="hf_5">"#REF!"</definedName>
    <definedName name="hf_6">"#REF!"</definedName>
    <definedName name="hf_7">"#REF!"</definedName>
    <definedName name="HFG">#N/A</definedName>
    <definedName name="HFGJM" hidden="1">{#N/A,#N/A,FALSE,"PGW"}</definedName>
    <definedName name="HFGJM_1" hidden="1">{#N/A,#N/A,FALSE,"PGW"}</definedName>
    <definedName name="HFGJM_2" hidden="1">{#N/A,#N/A,FALSE,"PGW"}</definedName>
    <definedName name="HFGJM_3" hidden="1">{#N/A,#N/A,FALSE,"PGW"}</definedName>
    <definedName name="HFGJM_4" hidden="1">{#N/A,#N/A,FALSE,"PGW"}</definedName>
    <definedName name="hfh" hidden="1">{#N/A,#N/A,FALSE,"Staffnos &amp; cost"}</definedName>
    <definedName name="HFinGraph" hidden="1">{#N/A,#N/A,FALSE,"Pharm";#N/A,#N/A,FALSE,"WWCM"}</definedName>
    <definedName name="HFUJYT" hidden="1">{#N/A,#N/A,FALSE,"PMTABB";#N/A,#N/A,FALSE,"PMTABB"}</definedName>
    <definedName name="HFUJYT_1" hidden="1">{#N/A,#N/A,FALSE,"PMTABB";#N/A,#N/A,FALSE,"PMTABB"}</definedName>
    <definedName name="HFUJYT_2" hidden="1">{#N/A,#N/A,FALSE,"PMTABB";#N/A,#N/A,FALSE,"PMTABB"}</definedName>
    <definedName name="HFUJYT_3" hidden="1">{#N/A,#N/A,FALSE,"PMTABB";#N/A,#N/A,FALSE,"PMTABB"}</definedName>
    <definedName name="HFUJYT_4" hidden="1">{#N/A,#N/A,FALSE,"PMTABB";#N/A,#N/A,FALSE,"PMTABB"}</definedName>
    <definedName name="hg" hidden="1">{"detail",#N/A,FALSE,"mfg";"summary",#N/A,FALSE,"mfg"}</definedName>
    <definedName name="hgf">"#REF!"</definedName>
    <definedName name="hgf_1">"#REF!"</definedName>
    <definedName name="hgf_2">"#REF!"</definedName>
    <definedName name="hgf_3">"#REF!"</definedName>
    <definedName name="hgf_4">"#REF!"</definedName>
    <definedName name="hgf_5">"#REF!"</definedName>
    <definedName name="hgfd" hidden="1">{"BA detail",#N/A,FALSE,"Q3YTD "}</definedName>
    <definedName name="hgjghjhhg" hidden="1">{#N/A,#N/A,FALSE,"Produkte Erw.";#N/A,#N/A,FALSE,"Produkte Plan";#N/A,#N/A,FALSE,"Leistungen Erw.";#N/A,#N/A,FALSE,"Leistungen Plan";#N/A,#N/A,FALSE,"KA Allg.Kosten (2)";#N/A,#N/A,FALSE,"KA All.Kosten"}</definedName>
    <definedName name="hgkh" hidden="1">{#N/A,#N/A,FALSE,"Aging Summary";#N/A,#N/A,FALSE,"Ratio Analysis";#N/A,#N/A,FALSE,"Test 120 Day Accts";#N/A,#N/A,FALSE,"Tickmarks"}</definedName>
    <definedName name="HGMYGJ" hidden="1">{#N/A,#N/A,FALSE,"OSBL"}</definedName>
    <definedName name="HGMYGJ_1" hidden="1">{#N/A,#N/A,FALSE,"OSBL"}</definedName>
    <definedName name="HGMYGJ_2" hidden="1">{#N/A,#N/A,FALSE,"OSBL"}</definedName>
    <definedName name="HGMYGJ_3" hidden="1">{#N/A,#N/A,FALSE,"OSBL"}</definedName>
    <definedName name="HGMYGJ_4" hidden="1">{#N/A,#N/A,FALSE,"OSBL"}</definedName>
    <definedName name="hgwr" hidden="1">{#N/A,#N/A,FALSE,"PGW"}</definedName>
    <definedName name="hgwr_1" hidden="1">{#N/A,#N/A,FALSE,"PGW"}</definedName>
    <definedName name="hgwr_2" hidden="1">{#N/A,#N/A,FALSE,"PGW"}</definedName>
    <definedName name="hgwr_3" hidden="1">{#N/A,#N/A,FALSE,"PGW"}</definedName>
    <definedName name="hgwr_4" hidden="1">{#N/A,#N/A,FALSE,"PGW"}</definedName>
    <definedName name="hh">{0.1;0;0.45;0;0;0;0;0;0.45}</definedName>
    <definedName name="hh.k" hidden="1">{#N/A,#N/A,FALSE,"KA CH  (2)"}</definedName>
    <definedName name="HHcat">#REF!</definedName>
    <definedName name="HHD">#REF!</definedName>
    <definedName name="HHda">#REF!</definedName>
    <definedName name="hhj.ls" hidden="1">{#N/A,#N/A,FALSE,"Produkte Erw.";#N/A,#N/A,FALSE,"Produkte Plan";#N/A,#N/A,FALSE,"Leistungen Erw.";#N/A,#N/A,FALSE,"Leistungen Plan";#N/A,#N/A,FALSE,"KA Allg.Kosten (2)";#N/A,#N/A,FALSE,"KA All.Kosten"}</definedName>
    <definedName name="HHxm">#REF!</definedName>
    <definedName name="hi" hidden="1">{#N/A,#N/A,TRUE,"Front";#N/A,#N/A,TRUE,"Simple Letter";#N/A,#N/A,TRUE,"Inside";#N/A,#N/A,TRUE,"Contents";#N/A,#N/A,TRUE,"Basis";#N/A,#N/A,TRUE,"Inclusions";#N/A,#N/A,TRUE,"Exclusions";#N/A,#N/A,TRUE,"Areas";#N/A,#N/A,TRUE,"Summary";#N/A,#N/A,TRUE,"Detail"}</definedName>
    <definedName name="Hibh" hidden="1">{#N/A,#N/A,FALSE,"Pharm";#N/A,#N/A,FALSE,"WWCM"}</definedName>
    <definedName name="HICOUT">#N/A</definedName>
    <definedName name="HideToggle">TRUE</definedName>
    <definedName name="hien">#REF!</definedName>
    <definedName name="High" hidden="1">{#N/A,#N/A,FALSE,"Pharm";#N/A,#N/A,FALSE,"WWCM"}</definedName>
    <definedName name="HIGHLIGHT">"$Mar05.$#REF!$#REF!"</definedName>
    <definedName name="Hire">27</definedName>
    <definedName name="HIRE_1">#REF!</definedName>
    <definedName name="HIRE_2">#REF!</definedName>
    <definedName name="HIRE_3">#REF!</definedName>
    <definedName name="HIRE_4">#REF!</definedName>
    <definedName name="HIRE_MAIN">#REF!</definedName>
    <definedName name="hj" hidden="1">{#N/A,#N/A,FALSE,"PMW Gruppe 99_98";#N/A,#N/A,FALSE,"PMW KG 98_99";#N/A,#N/A,FALSE,"PMW Inc. 99_98";#N/A,#N/A,FALSE,"PMW VTECH 99_98";#N/A,#N/A,FALSE,"PMW Thail. 99_98";#N/A,#N/A,FALSE,"PMW Canada 99_98";#N/A,#N/A,FALSE,"Währungsabw. 99_98"}</definedName>
    <definedName name="hj.k" hidden="1">{#N/A,#N/A,FALSE,"Produkte Erw.";#N/A,#N/A,FALSE,"Produkte Plan";#N/A,#N/A,FALSE,"Leistungen Erw.";#N/A,#N/A,FALSE,"Leistungen Plan";#N/A,#N/A,FALSE,"KA Allg.Kosten (2)";#N/A,#N/A,FALSE,"KA All.Kosten"}</definedName>
    <definedName name="hjghhgyg" hidden="1">{"Polymers Details",#N/A,FALSE,"Current Yr";"Polymer Details",#N/A,FALSE,"Budget";"Polymer Details",#N/A,FALSE,"Prior Year"}</definedName>
    <definedName name="hjghjhgj" hidden="1">{#N/A,#N/A,FALSE,"Produkte Erw.";#N/A,#N/A,FALSE,"Produkte Plan";#N/A,#N/A,FALSE,"Leistungen Erw.";#N/A,#N/A,FALSE,"Leistungen Plan";#N/A,#N/A,FALSE,"KA Allg.Kosten (2)";#N/A,#N/A,FALSE,"KA All.Kosten"}</definedName>
    <definedName name="hjh" hidden="1">{#N/A,#N/A,FALSE,"Produkte Erw.";#N/A,#N/A,FALSE,"Produkte Plan";#N/A,#N/A,FALSE,"Leistungen Erw.";#N/A,#N/A,FALSE,"Leistungen Plan";#N/A,#N/A,FALSE,"KA Allg.Kosten (2)";#N/A,#N/A,FALSE,"KA All.Kosten"}</definedName>
    <definedName name="hjhfhfjhkjyiuyo">#N/A</definedName>
    <definedName name="hjhjffukfuk" hidden="1">{#N/A,#N/A,FALSE,"Pharm";#N/A,#N/A,FALSE,"WWCM"}</definedName>
    <definedName name="hjhjfkfukywrte" hidden="1">{#N/A,#N/A,FALSE,"Pharm";#N/A,#N/A,FALSE,"WWCM"}</definedName>
    <definedName name="hjhkjkl" hidden="1">{#N/A,#N/A,FALSE,"Pharm";#N/A,#N/A,FALSE,"WWCM"}</definedName>
    <definedName name="hjjjkk" hidden="1">{#N/A,#N/A,FALSE,"REPORT"}</definedName>
    <definedName name="hjjkk" hidden="1">{#N/A,#N/A,FALSE,"Pharm";#N/A,#N/A,FALSE,"WWCM"}</definedName>
    <definedName name="hjk" hidden="1">{#N/A,#N/A,FALSE,"Umsatz 99";#N/A,#N/A,FALSE,"ER 99 "}</definedName>
    <definedName name="hjk.l" hidden="1">{#N/A,#N/A,FALSE,"Produkte Erw.";#N/A,#N/A,FALSE,"Produkte Plan";#N/A,#N/A,FALSE,"Leistungen Erw.";#N/A,#N/A,FALSE,"Leistungen Plan";#N/A,#N/A,FALSE,"KA Allg.Kosten (2)";#N/A,#N/A,FALSE,"KA All.Kosten"}</definedName>
    <definedName name="hjkhjk" hidden="1">{#N/A,#N/A,FALSE,"KA CH  (2)"}</definedName>
    <definedName name="hjkjhk" hidden="1">{#N/A,#N/A,FALSE,"Umsatz HM";#N/A,#N/A,FALSE,"ER HM";#N/A,#N/A,FALSE,"EA HM  (2)";#N/A,#N/A,FALSE,"EA HM ";#N/A,#N/A,FALSE,"EA HM  (4)";#N/A,#N/A,FALSE,"EA HM  (3)";#N/A,#N/A,FALSE,"KA HM  (2)";#N/A,#N/A,FALSE,"KA HM";#N/A,#N/A,FALSE,"KA HM  (3)";#N/A,#N/A,FALSE,"KA HM (4)"}</definedName>
    <definedName name="hjkk" hidden="1">{#N/A,#N/A,FALSE,"Pharm";#N/A,#N/A,FALSE,"WWCM"}</definedName>
    <definedName name="hjkl"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k">#REF!</definedName>
    <definedName name="HKDRMB">#REF!</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SH" hidden="1">{#N/A,#N/A,FALSE,"REPORT"}</definedName>
    <definedName name="HLocation_RTS_MAR_LOC_HEAD_FLOCATION_1">#REF!</definedName>
    <definedName name="HLocation_RTS_MAR_LOC_HEAD_FLOCATION_B">#REF!</definedName>
    <definedName name="HMG" hidden="1">{#N/A,#N/A,FALSE,"REPORT"}</definedName>
    <definedName name="hn.ExtDb" hidden="1">FALSE</definedName>
    <definedName name="hn.ModelType" hidden="1">"DEAL"</definedName>
    <definedName name="hn.ModelVersion" hidden="1">1</definedName>
    <definedName name="hn.NoUpload" hidden="1">0</definedName>
    <definedName name="hoc">55000</definedName>
    <definedName name="Home">#REF!</definedName>
    <definedName name="HOME_MANP">#REF!</definedName>
    <definedName name="HOMEOFFICE_COST">#REF!</definedName>
    <definedName name="hook_2">"#REF!"</definedName>
    <definedName name="hook_3">"#REF!"</definedName>
    <definedName name="hook_4">"#REF!"</definedName>
    <definedName name="hook_5">"#REF!"</definedName>
    <definedName name="hook_6">"#REF!"</definedName>
    <definedName name="hook_7">"#REF!"</definedName>
    <definedName name="hookbm_2">"#REF!"</definedName>
    <definedName name="hookbm_3">"#REF!"</definedName>
    <definedName name="hookbm_4">"#REF!"</definedName>
    <definedName name="hookbm_5">"#REF!"</definedName>
    <definedName name="hookbm_6">"#REF!"</definedName>
    <definedName name="hookbm_7">"#REF!"</definedName>
    <definedName name="HOPIP" hidden="1">{#N/A,#N/A,FALSE,"PMTABB";#N/A,#N/A,FALSE,"PMTABB"}</definedName>
    <definedName name="HOPIP_1" hidden="1">{#N/A,#N/A,FALSE,"PMTABB";#N/A,#N/A,FALSE,"PMTABB"}</definedName>
    <definedName name="HOPIP_2" hidden="1">{#N/A,#N/A,FALSE,"PMTABB";#N/A,#N/A,FALSE,"PMTABB"}</definedName>
    <definedName name="HOPIP_3" hidden="1">{#N/A,#N/A,FALSE,"PMTABB";#N/A,#N/A,FALSE,"PMTABB"}</definedName>
    <definedName name="HOPIP_4" hidden="1">{#N/A,#N/A,FALSE,"PMTABB";#N/A,#N/A,FALSE,"PMTABB"}</definedName>
    <definedName name="Hotel_Project">#REF!</definedName>
    <definedName name="HotelFees">#REF!</definedName>
    <definedName name="HP_NOTES">#REF!</definedName>
    <definedName name="HPNL">#REF!</definedName>
    <definedName name="hr">#N/A</definedName>
    <definedName name="hre" hidden="1">{#N/A,#N/A,FALSE,"TOWNSHIP"}</definedName>
    <definedName name="hre_1" hidden="1">{#N/A,#N/A,FALSE,"TOWNSHIP"}</definedName>
    <definedName name="hre_2" hidden="1">{#N/A,#N/A,FALSE,"TOWNSHIP"}</definedName>
    <definedName name="hre_3" hidden="1">{#N/A,#N/A,FALSE,"TOWNSHIP"}</definedName>
    <definedName name="hre_4" hidden="1">{#N/A,#N/A,FALSE,"TOWNSHIP"}</definedName>
    <definedName name="hs" hidden="1">{"'7'!$B$15:$D$32"}</definedName>
    <definedName name="hshhr" hidden="1">{#N/A,#N/A,TRUE,"Staffnos &amp; cost"}</definedName>
    <definedName name="hßm4">#REF!</definedName>
    <definedName name="html" hidden="1">{"'Demand Units'!$Z$2:$AF$53"}</definedName>
    <definedName name="HTML_CodePage" hidden="1">1252</definedName>
    <definedName name="HTML_Control" hidden="1">{"'Sheet1'!$A$4386:$N$4591"}</definedName>
    <definedName name="HTML_Control_1">{"'Income Statement'!$D$96:$E$101"}</definedName>
    <definedName name="HTML_Control_2">{"'Income Statement'!$D$96:$E$101"}</definedName>
    <definedName name="HTML_Control_3">{"'Income Statement'!$D$96:$E$101"}</definedName>
    <definedName name="HTML_Control_4">{"'Income Statement'!$D$96:$E$101"}</definedName>
    <definedName name="HTML_Control_5">{"'Income Statement'!$D$96:$E$101"}</definedName>
    <definedName name="HTML_control1" hidden="1">{"'August 2000'!$A$1:$J$101"}</definedName>
    <definedName name="html_control1_1">{"'Income Statement'!$D$96:$E$101"}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3" hidden="1">TRUE</definedName>
    <definedName name="HTML_OBDlg4" hidden="1">TRUE</definedName>
    <definedName name="HTML_OS" hidden="1">0</definedName>
    <definedName name="HTML_PathFile" hidden="1">"A:\MyHTML.htm"</definedName>
    <definedName name="HTML_PathTemplate" hidden="1">"C:\infac\pricewth\Aug99\Page06e.htm"</definedName>
    <definedName name="HTML_Title" hidden="1">"SGSDaily Progress Report Piyaj toDharoi Pipeline"</definedName>
    <definedName name="HTML1_10" hidden="1">""</definedName>
    <definedName name="HTML1_11" hidden="1">1</definedName>
    <definedName name="HTML1_12" hidden="1">"C:\Mes documents\Renaud Collery\Fw51\MyHTML.htm"</definedName>
    <definedName name="HTML1_13" hidden="1">#N/A</definedName>
    <definedName name="HTML1_14" hidden="1">#N/A</definedName>
    <definedName name="HTML1_15" hidden="1">#N/A</definedName>
    <definedName name="HTML1_2" hidden="1">1</definedName>
    <definedName name="HTML1_3" hidden="1">"FCST1719.XLS"</definedName>
    <definedName name="HTML1_4" hidden="1">"Feuil1"</definedName>
    <definedName name="HTML1_5" hidden="1">""</definedName>
    <definedName name="HTML1_6" hidden="1">-4146</definedName>
    <definedName name="HTML1_7" hidden="1">-4146</definedName>
    <definedName name="HTML1_8" hidden="1">"24/01/1999"</definedName>
    <definedName name="HTML1_9" hidden="1">"Prince Thierry   Business Planning Manager"</definedName>
    <definedName name="HTML2_10" hidden="1">""</definedName>
    <definedName name="HTML2_11" hidden="1">1</definedName>
    <definedName name="HTML2_12" hidden="1">"E:\public\departments\e710\cost_reduction\PP_Table.htm"</definedName>
    <definedName name="HTML2_13" hidden="1">#N/A</definedName>
    <definedName name="HTML2_14" hidden="1">#N/A</definedName>
    <definedName name="HTML2_15" hidden="1">#N/A</definedName>
    <definedName name="HTML2_2" hidden="1">-4146</definedName>
    <definedName name="HTML2_3" hidden="1">"E:\public\departments\e710\cost_reduction\activities.htm"</definedName>
    <definedName name="HTML2_4" hidden="1">"Sheet1"</definedName>
    <definedName name="HTML2_5" hidden="1">""</definedName>
    <definedName name="HTML2_6" hidden="1">-4146</definedName>
    <definedName name="HTML2_7" hidden="1">-4146</definedName>
    <definedName name="HTML2_8" hidden="1">"11/13/98"</definedName>
    <definedName name="HTML2_9" hidden="1">"Daryn Chapman"</definedName>
    <definedName name="HTML3_10" hidden="1">""</definedName>
    <definedName name="HTML3_11" hidden="1">1</definedName>
    <definedName name="HTML3_12" hidden="1">"C:\nov 98 voyager.htm"</definedName>
    <definedName name="HTML3_13" hidden="1">#N/A</definedName>
    <definedName name="HTML3_14" hidden="1">#N/A</definedName>
    <definedName name="HTML3_15" hidden="1">#N/A</definedName>
    <definedName name="HTML3_2" hidden="1">1</definedName>
    <definedName name="HTML3_3" hidden="1">"nov 98 production voyager users.xls"</definedName>
    <definedName name="HTML3_4" hidden="1">"Voyager Users"</definedName>
    <definedName name="HTML3_5" hidden="1">""</definedName>
    <definedName name="HTML3_6" hidden="1">-4146</definedName>
    <definedName name="HTML3_7" hidden="1">-4146</definedName>
    <definedName name="HTML3_8" hidden="1">"11/13/98"</definedName>
    <definedName name="HTML3_9" hidden="1">"Daryn Chapman"</definedName>
    <definedName name="HTML4_10" hidden="1">""</definedName>
    <definedName name="HTML4_11" hidden="1">1</definedName>
    <definedName name="HTML4_12" hidden="1">"C:\voyager user count"</definedName>
    <definedName name="HTML4_13" hidden="1">#N/A</definedName>
    <definedName name="HTML4_14" hidden="1">#N/A</definedName>
    <definedName name="HTML4_15" hidden="1">#N/A</definedName>
    <definedName name="HTML4_2" hidden="1">1</definedName>
    <definedName name="HTML4_3" hidden="1">"dec 98 production voyager users.xls"</definedName>
    <definedName name="HTML4_4" hidden="1">"Sheet1"</definedName>
    <definedName name="HTML4_5" hidden="1">""</definedName>
    <definedName name="HTML4_6" hidden="1">-4146</definedName>
    <definedName name="HTML4_7" hidden="1">-4146</definedName>
    <definedName name="HTML4_8" hidden="1">"12/9/98"</definedName>
    <definedName name="HTML4_9" hidden="1">"Daryn Chapman"</definedName>
    <definedName name="HTML5_10" hidden="1">""</definedName>
    <definedName name="HTML5_11" hidden="1">1</definedName>
    <definedName name="HTML5_12" hidden="1">"C:\voyager user count.htm"</definedName>
    <definedName name="HTML5_13" hidden="1">#N/A</definedName>
    <definedName name="HTML5_14" hidden="1">#N/A</definedName>
    <definedName name="HTML5_15" hidden="1">#N/A</definedName>
    <definedName name="HTML5_2" hidden="1">1</definedName>
    <definedName name="HTML5_3" hidden="1">"dec 98 production voyager users.xls"</definedName>
    <definedName name="HTML5_4" hidden="1">"Sheet1"</definedName>
    <definedName name="HTML5_5" hidden="1">""</definedName>
    <definedName name="HTML5_6" hidden="1">-4146</definedName>
    <definedName name="HTML5_7" hidden="1">-4146</definedName>
    <definedName name="HTML5_8" hidden="1">"12/9/98"</definedName>
    <definedName name="HTML5_9" hidden="1">"Daryn Chapman"</definedName>
    <definedName name="HTML6_10" hidden="1">""</definedName>
    <definedName name="HTML6_11" hidden="1">1</definedName>
    <definedName name="HTML6_12" hidden="1">"C:\Feb User Count.htm"</definedName>
    <definedName name="HTML6_13" hidden="1">#N/A</definedName>
    <definedName name="HTML6_14" hidden="1">#N/A</definedName>
    <definedName name="HTML6_15" hidden="1">#N/A</definedName>
    <definedName name="HTML6_2" hidden="1">1</definedName>
    <definedName name="HTML6_3" hidden="1">"production voyager users Feb99.xls"</definedName>
    <definedName name="HTML6_4" hidden="1">"Voyager Users"</definedName>
    <definedName name="HTML6_5" hidden="1">""</definedName>
    <definedName name="HTML6_6" hidden="1">-4146</definedName>
    <definedName name="HTML6_7" hidden="1">-4146</definedName>
    <definedName name="HTML6_8" hidden="1">"2/12/99"</definedName>
    <definedName name="HTML6_9" hidden="1">"Daryn Chapman"</definedName>
    <definedName name="HTML7_10" hidden="1">""</definedName>
    <definedName name="HTML7_11" hidden="1">1</definedName>
    <definedName name="HTML7_12" hidden="1">"c:\march users.htm"</definedName>
    <definedName name="HTML7_13" hidden="1">#N/A</definedName>
    <definedName name="HTML7_14" hidden="1">#N/A</definedName>
    <definedName name="HTML7_15" hidden="1">#N/A</definedName>
    <definedName name="HTML7_2" hidden="1">1</definedName>
    <definedName name="HTML7_3" hidden="1">"production voyager users mar99.xls"</definedName>
    <definedName name="HTML7_4" hidden="1">"Sheet1"</definedName>
    <definedName name="HTML7_5" hidden="1">""</definedName>
    <definedName name="HTML7_6" hidden="1">-4146</definedName>
    <definedName name="HTML7_7" hidden="1">-4146</definedName>
    <definedName name="HTML7_8" hidden="1">"3/3/99"</definedName>
    <definedName name="HTML7_9" hidden="1">"Daryn Chapman"</definedName>
    <definedName name="HTML8_10" hidden="1">"darync@corillian.com"</definedName>
    <definedName name="HTML8_11" hidden="1">1</definedName>
    <definedName name="HTML8_12" hidden="1">"C:\voyager users june99.htm"</definedName>
    <definedName name="HTML8_13" hidden="1">#N/A</definedName>
    <definedName name="HTML8_14" hidden="1">#N/A</definedName>
    <definedName name="HTML8_15" hidden="1">#N/A</definedName>
    <definedName name="HTML8_2" hidden="1">1</definedName>
    <definedName name="HTML8_3" hidden="1">"Voyager Users"</definedName>
    <definedName name="HTML8_4" hidden="1">"June 1999"</definedName>
    <definedName name="HTML8_5" hidden="1">""</definedName>
    <definedName name="HTML8_6" hidden="1">-4146</definedName>
    <definedName name="HTML8_7" hidden="1">-4146</definedName>
    <definedName name="HTML8_8" hidden="1">"6/1/99"</definedName>
    <definedName name="HTML8_9" hidden="1">"Daryn Chapman"</definedName>
    <definedName name="HTML9_10" hidden="1">"darync@corillian.com"</definedName>
    <definedName name="HTML9_11" hidden="1">1</definedName>
    <definedName name="HTML9_12" hidden="1">"D:\My Documents\production voyager users aug99.htm"</definedName>
    <definedName name="HTML9_13" hidden="1">#N/A</definedName>
    <definedName name="HTML9_14" hidden="1">#N/A</definedName>
    <definedName name="HTML9_15" hidden="1">#N/A</definedName>
    <definedName name="HTML9_2" hidden="1">1</definedName>
    <definedName name="HTML9_3" hidden="1">"Production Voyager Users August 1999"</definedName>
    <definedName name="HTML9_4" hidden="1">"Voyager Users"</definedName>
    <definedName name="HTML9_5" hidden="1">""</definedName>
    <definedName name="HTML9_6" hidden="1">-4146</definedName>
    <definedName name="HTML9_7" hidden="1">-4146</definedName>
    <definedName name="HTML9_8" hidden="1">"8/5/99"</definedName>
    <definedName name="HTML9_9" hidden="1">"Daryn Chapman"</definedName>
    <definedName name="HTMLCount" hidden="1">1</definedName>
    <definedName name="htyuityuiotio" hidden="1">{#N/A,#N/A,FALSE,"REPORT"}</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gu">#REF!</definedName>
    <definedName name="huy" hidden="1">{"'Sheet1'!$L$16"}</definedName>
    <definedName name="huy_1" hidden="1">{"'Sheet1'!$L$16"}</definedName>
    <definedName name="HV_1">"#REF!"</definedName>
    <definedName name="HV_2">"#REF!"</definedName>
    <definedName name="hw" hidden="1">{#N/A,#N/A,FALSE,"SUMMARY";#N/A,#N/A,FALSE,"SUMMARY"}</definedName>
    <definedName name="hw_1" hidden="1">{#N/A,#N/A,FALSE,"SUMMARY";#N/A,#N/A,FALSE,"SUMMARY"}</definedName>
    <definedName name="hw_2" hidden="1">{#N/A,#N/A,FALSE,"SUMMARY";#N/A,#N/A,FALSE,"SUMMARY"}</definedName>
    <definedName name="hw_3" hidden="1">{#N/A,#N/A,FALSE,"SUMMARY";#N/A,#N/A,FALSE,"SUMMARY"}</definedName>
    <definedName name="hw_4" hidden="1">{#N/A,#N/A,FALSE,"SUMMARY";#N/A,#N/A,FALSE,"SUMMARY"}</definedName>
    <definedName name="hy"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d" hidden="1">{#N/A,#N/A,FALSE,"COMP"}</definedName>
    <definedName name="Hypertention" hidden="1">{#N/A,#N/A,FALSE,"Pharm";#N/A,#N/A,FALSE,"WWCM"}</definedName>
    <definedName name="hypo" hidden="1">{#N/A,#N/A,FALSE,"Pharm";#N/A,#N/A,FALSE,"WWCM"}</definedName>
    <definedName name="hyy">City&amp;" "&amp;State</definedName>
    <definedName name="i" hidden="1">{"BS",#N/A,FALSE,"BS";"BS trend",#N/A,FALSE,"BS";"KPI",#N/A,FALSE,"KPI";"KPI trend",#N/A,FALSE,"KPI";"CF trend",#N/A,FALSE,"CF";"CF",#N/A,FALSE,"CF";"P&amp;LC",#N/A,FALSE,"P&amp;L";"P&amp;LC trend",#N/A,FALSE,"P&amp;L";"traffic",#N/A,FALSE,"Traffic";"P&amp;LR",#N/A,FALSE,"P&amp;L";"P&amp;LR trend",#N/A,FALSE,"P&amp;L";#N/A,#N/A,FALSE,"Variance";"Debtors",#N/A,FALSE,"Deb"}</definedName>
    <definedName name="i_1">"#REF!"</definedName>
    <definedName name="i_2">"#REF!"</definedName>
    <definedName name="i_3">"#REF!"</definedName>
    <definedName name="i_4">"#REF!"</definedName>
    <definedName name="i_5">"#REF!"</definedName>
    <definedName name="ibnjks" hidden="1">{"detail",#N/A,FALSE,"mfg";"summary",#N/A,FALSE,"mfg"}</definedName>
    <definedName name="IC">{"Client Name or Project Name"}</definedName>
    <definedName name="ICA">{"Client Name or Project Name"}</definedName>
    <definedName name="ICPKM2"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DC2_16">City&amp;" "&amp;#NAME?</definedName>
    <definedName name="IDC2_17">City&amp;" "&amp;#NAME?</definedName>
    <definedName name="IDC2_18">City&amp;" "&amp;#NAME?</definedName>
    <definedName name="IDC2_19">City&amp;" "&amp;#NAME?</definedName>
    <definedName name="IDC2_21">City&amp;" "&amp;#NAME?</definedName>
    <definedName name="IDCGK">City&amp;" "&amp;State</definedName>
    <definedName name="IDCGK_1">NA()</definedName>
    <definedName name="IDCGK_16">City&amp;" "&amp;#NAME?</definedName>
    <definedName name="IDCGK_17">City&amp;" "&amp;#NAME?</definedName>
    <definedName name="IDCGK_18">City&amp;" "&amp;#NAME?</definedName>
    <definedName name="IDCGK_19">City&amp;" "&amp;#NAME?</definedName>
    <definedName name="IDCGK_2">"city"&amp;" "&amp;"state"</definedName>
    <definedName name="IDCGK_21">City&amp;" "&amp;#NAME?</definedName>
    <definedName name="IDCGK_3">"city"&amp;" "&amp;"state"</definedName>
    <definedName name="IDCGK_4">"city"&amp;" "&amp;"state"</definedName>
    <definedName name="IDCGK_5">"city"&amp;" "&amp;"state"</definedName>
    <definedName name="IDCGK_6">"city"&amp;" "&amp;"state"</definedName>
    <definedName name="IDCGK_7">"city"&amp;" "&amp;"state"</definedName>
    <definedName name="idiot" hidden="1">{"dep. full detail",#N/A,FALSE,"annex";"3cd annex",#N/A,FALSE,"annex";"co. dep.",#N/A,FALSE,"annex"}</definedName>
    <definedName name="IDLAB_COST">#REF!</definedName>
    <definedName name="IDReference">"A1"</definedName>
    <definedName name="IGAER"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GCON"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hb" hidden="1">{#N/A,#N/A,FALSE,"Tabl. D1";#N/A,#N/A,FALSE,"Tabl. D1 b";#N/A,#N/A,FALSE,"Tabl. D2";#N/A,#N/A,FALSE,"Tabl. D2 b";#N/A,#N/A,FALSE,"Tabl. D3";#N/A,#N/A,FALSE,"Tabl. D4";#N/A,#N/A,FALSE,"Tabl. D5"}</definedName>
    <definedName name="ii.oo" hidden="1">{#N/A,#N/A,FALSE,"Umsatz EO BP";#N/A,#N/A,FALSE,"Umsatz EO OP";#N/A,#N/A,FALSE,"ER EO BP";#N/A,#N/A,FALSE,"ER EO OP";#N/A,#N/A,FALSE,"EA EO (2)";#N/A,#N/A,FALSE,"EA EO";#N/A,#N/A,FALSE,"EA EO (3)";#N/A,#N/A,FALSE,"EA EO (4)";#N/A,#N/A,FALSE,"KA EO  (2)";#N/A,#N/A,FALSE,"KA EO";#N/A,#N/A,FALSE,"KA EO  (3)";#N/A,#N/A,FALSE,"KA EO (4)"}</definedName>
    <definedName name="iii" hidden="1">{"detail",#N/A,FALSE,"mfg";"summary",#N/A,FALSE,"mfg"}</definedName>
    <definedName name="iiiii" hidden="1">{#N/A,#N/A,FALSE,"Calc";#N/A,#N/A,FALSE,"Sensitivity";#N/A,#N/A,FALSE,"LT Earn.Dil.";#N/A,#N/A,FALSE,"Dil. AVP"}</definedName>
    <definedName name="iiij" hidden="1">{#N/A,#N/A,FALSE,"BANNERS";#N/A,#N/A,FALSE,"Market";#N/A,#N/A,FALSE,"Tel Rev";#N/A,#N/A,FALSE,"Revenues IOL";#N/A,#N/A,FALSE,"Invest";#N/A,#N/A,FALSE,"Op Cost1";#N/A,#N/A,FALSE,"Op Cost2";#N/A,#N/A,FALSE,"Oth_&amp;_Tot_Revenues";#N/A,#N/A,FALSE,"Fin Mod";#N/A,#N/A,FALSE,"FinMod_RoW";#N/A,#N/A,FALSE,"P&amp;E Burocrat";#N/A,#N/A,FALSE,"cash flow"}</definedName>
    <definedName name="IIL">NA()</definedName>
    <definedName name="iio_2">"#REF!"</definedName>
    <definedName name="iio_3">"#REF!"</definedName>
    <definedName name="iio_4">"#REF!"</definedName>
    <definedName name="iio_5">"#REF!"</definedName>
    <definedName name="iio_6">"#REF!"</definedName>
    <definedName name="iio_7">"#REF!"</definedName>
    <definedName name="ijoi" hidden="1">{#N/A,#N/A,FALSE,"Produkte Erw.";#N/A,#N/A,FALSE,"Produkte Plan";#N/A,#N/A,FALSE,"Leistungen Erw.";#N/A,#N/A,FALSE,"Leistungen Plan";#N/A,#N/A,FALSE,"KA Allg.Kosten (2)";#N/A,#N/A,FALSE,"KA All.Kosten"}</definedName>
    <definedName name="ik" hidden="1">{#N/A,#N/A,FALSE,"Calc";#N/A,#N/A,FALSE,"Sensitivity";#N/A,#N/A,FALSE,"LT Earn.Dil.";#N/A,#N/A,FALSE,"Dil. AVP"}</definedName>
    <definedName name="IMCode">#REF!</definedName>
    <definedName name="IMP">#REF!</definedName>
    <definedName name="impfees">#REF!</definedName>
    <definedName name="ImportFile">#N/A</definedName>
    <definedName name="IMPRIMANTE">#REF!</definedName>
    <definedName name="imprsynth">#REF!,#REF!,#REF!,#REF!,#REF!,#REF!,#REF!,#REF!</definedName>
    <definedName name="imptout">#REF!</definedName>
    <definedName name="In" hidden="1">{#N/A,#N/A,FALSE,"gc (2)"}</definedName>
    <definedName name="IN_TAMT">#N/A</definedName>
    <definedName name="IN_TOTAL">#N/A</definedName>
    <definedName name="IN_TQTY">#N/A</definedName>
    <definedName name="IN_UC">#N/A</definedName>
    <definedName name="INAMT">#N/A</definedName>
    <definedName name="inc_Cwip_move">#REF!</definedName>
    <definedName name="inccmd">#REF!</definedName>
    <definedName name="inccomp">#REF!</definedName>
    <definedName name="incfland1">#REF!</definedName>
    <definedName name="incfland2">#REF!</definedName>
    <definedName name="inckppl">#REF!</definedName>
    <definedName name="incmall">#REF!</definedName>
    <definedName name="incnew">#REF!</definedName>
    <definedName name="incntv">#REF!</definedName>
    <definedName name="incocpl">#REF!</definedName>
    <definedName name="Income">#REF!</definedName>
    <definedName name="income_2">"#REF!"</definedName>
    <definedName name="income_3">"#REF!"</definedName>
    <definedName name="income_4">"#REF!"</definedName>
    <definedName name="income_5">"#REF!"</definedName>
    <definedName name="income_6">"#REF!"</definedName>
    <definedName name="income_7">"#REF!"</definedName>
    <definedName name="Income_Statement">#REF!</definedName>
    <definedName name="IncomeStatement">{0.35875,0.39124,0.421299}</definedName>
    <definedName name="incpmd">#REF!</definedName>
    <definedName name="Increase_in_Working_Capital">#REF!</definedName>
    <definedName name="incskyz">#REF!</definedName>
    <definedName name="incsprings">#REF!</definedName>
    <definedName name="Incurr" hidden="1">{#N/A,#N/A,FALSE,"gc (2)"}</definedName>
    <definedName name="India_BS">#REF!</definedName>
    <definedName name="India_Finance">#REF!</definedName>
    <definedName name="INDIAN_RAYON_AND_INDUSTRIES_LIMITED">"ANNX1"</definedName>
    <definedName name="indiaops">#REF!</definedName>
    <definedName name="INDMANP">#REF!</definedName>
    <definedName name="Industry">#REF!</definedName>
    <definedName name="inf">#REF!</definedName>
    <definedName name="Inflation">#REF!</definedName>
    <definedName name="Inflation_Rate">#REF!</definedName>
    <definedName name="Inflows">#REF!</definedName>
    <definedName name="info">#REF!</definedName>
    <definedName name="information1">#REF!</definedName>
    <definedName name="INFY_1">"#REF!"</definedName>
    <definedName name="INFY_2">"#REF!"</definedName>
    <definedName name="INFY_3">"#REF!"</definedName>
    <definedName name="INFY_4">"#REF!"</definedName>
    <definedName name="INFY_5">"#REF!"</definedName>
    <definedName name="ingjks" hidden="1">{"detail",#N/A,FALSE,"mfg";"summary",#N/A,FALSE,"mfg"}</definedName>
    <definedName name="iniske" hidden="1">{"detail",#N/A,FALSE,"mfg";"summary",#N/A,FALSE,"mfg"}</definedName>
    <definedName name="INIT">#REF!</definedName>
    <definedName name="InitialUse">0</definedName>
    <definedName name="inksl" hidden="1">{"detail",#N/A,FALSE,"mfg";"summary",#N/A,FALSE,"mfg"}</definedName>
    <definedName name="INPivot_Changeover">#REF!</definedName>
    <definedName name="INPivot_Current">#REF!</definedName>
    <definedName name="INPivot_Prior">#REF!</definedName>
    <definedName name="INPUT">#REF!</definedName>
    <definedName name="inputnus">#REF!</definedName>
    <definedName name="Inputs">#REF!</definedName>
    <definedName name="INQTY">#N/A</definedName>
    <definedName name="instructions1" hidden="1">{#N/A,#N/A,TRUE,"Summary - 1";#N/A,#N/A,TRUE,"Summary - 2";#N/A,#N/A,TRUE,"Group Analysis";#N/A,#N/A,TRUE,"FM Analysis";#N/A,#N/A,TRUE,"T&amp;M-Onsite";#N/A,#N/A,TRUE,"FP-Onsite";#N/A,#N/A,TRUE,"NB-Onsite";#N/A,#N/A,TRUE,"T&amp;M-Offshore";#N/A,#N/A,TRUE,"FP-Offshore";#N/A,#N/A,TRUE,"Appendix-A";#N/A,#N/A,TRUE,"Appendix-B"}</definedName>
    <definedName name="Insuranc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t">#REF!</definedName>
    <definedName name="int_beg_bal">#REF!</definedName>
    <definedName name="int_beg_bal_values">#REF!</definedName>
    <definedName name="int_end_bal">#REF!</definedName>
    <definedName name="int_end_bal_values">#REF!</definedName>
    <definedName name="Int_exp">8%</definedName>
    <definedName name="Int_on_Term_Loan">+#REF!</definedName>
    <definedName name="INT234C1">#REF!</definedName>
    <definedName name="INT234C2">#REF!</definedName>
    <definedName name="IntercoCosts">#REF!</definedName>
    <definedName name="Intercompany">#REF!</definedName>
    <definedName name="Interest">-IPMT(Interest_Rate/12,Payment_Number,Number_of_Payments,Loan_Amount)</definedName>
    <definedName name="interest_income">#REF!</definedName>
    <definedName name="Interest_Rate">#REF!</definedName>
    <definedName name="InterestRec">-2%/12</definedName>
    <definedName name="interests">#N/A</definedName>
    <definedName name="Interior_2">"#REF!"</definedName>
    <definedName name="Interior_3">"#REF!"</definedName>
    <definedName name="Interior_4">"#REF!"</definedName>
    <definedName name="Interior_5">"#REF!"</definedName>
    <definedName name="Interior_6">"#REF!"</definedName>
    <definedName name="Interior_7">"#REF!"</definedName>
    <definedName name="INTERNAL">#N/A</definedName>
    <definedName name="Internal_Cost">#REF!</definedName>
    <definedName name="IntervalData">#REF!</definedName>
    <definedName name="intrate">#REF!</definedName>
    <definedName name="inv">#REF!</definedName>
    <definedName name="Inv_Availability">#REF!</definedName>
    <definedName name="Inv_Class">#REF!</definedName>
    <definedName name="Inv_Location">#REF!</definedName>
    <definedName name="Inv_Testing">#REF!</definedName>
    <definedName name="Inv_TO">#REF!</definedName>
    <definedName name="invavg">#REF!</definedName>
    <definedName name="Inventor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st123">#N/A</definedName>
    <definedName name="investment_2">"#REF!"</definedName>
    <definedName name="investment_3">"#REF!"</definedName>
    <definedName name="investment_4">"#REF!"</definedName>
    <definedName name="investment_5">"#REF!"</definedName>
    <definedName name="investment_6">"#REF!"</definedName>
    <definedName name="investment_7">"#REF!"</definedName>
    <definedName name="INVESTOR_NO">"Upload"</definedName>
    <definedName name="Investor_Summary">#REF!</definedName>
    <definedName name="investors">#REF!</definedName>
    <definedName name="invoice_data">#REF!</definedName>
    <definedName name="Invoice_Type">"Proforma Invoice,Invoice"</definedName>
    <definedName name="io" hidden="1">{"Performance Details",#N/A,FALSE,"Current Yr";"Performance Details",#N/A,FALSE,"Budget";"Performance Details",#N/A,FALSE,"Prior Year"}</definedName>
    <definedName name="ioio_2">"#REF!"</definedName>
    <definedName name="ioio_3">"#REF!"</definedName>
    <definedName name="ioio_4">"#REF!"</definedName>
    <definedName name="ioio_5">"#REF!"</definedName>
    <definedName name="ioio_6">"#REF!"</definedName>
    <definedName name="ioio_7">"#REF!"</definedName>
    <definedName name="ioioioo_2">"#REF!"</definedName>
    <definedName name="ioioioo_3">"#REF!"</definedName>
    <definedName name="ioioioo_4">"#REF!"</definedName>
    <definedName name="ioioioo_5">"#REF!"</definedName>
    <definedName name="ioioioo_6">"#REF!"</definedName>
    <definedName name="ioioioo_7">"#REF!"</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p" hidden="1">{#N/A,"PURCHM",FALSE,"Business Analysis";#N/A,"SPADD",FALSE,"Business Analysis"}</definedName>
    <definedName name="IP" hidden="1">{#N/A,#N/A,FALSE,"Pharm";#N/A,#N/A,FALSE,"WWCM"}</definedName>
    <definedName name="IPD0">#N/A</definedName>
    <definedName name="IPLC">#REF!</definedName>
    <definedName name="IPR">#REF!</definedName>
    <definedName name="IPRD.Attribution.Factor.1">#REF!</definedName>
    <definedName name="IPRD.Attribution.Factor.10">#REF!</definedName>
    <definedName name="IPRD.Attribution.Factor.11">#REF!</definedName>
    <definedName name="IPRD.Attribution.Factor.12">#REF!</definedName>
    <definedName name="IPRD.Attribution.Factor.13">#REF!</definedName>
    <definedName name="IPRD.Attribution.Factor.14">#REF!</definedName>
    <definedName name="IPRD.Attribution.Factor.15">#REF!</definedName>
    <definedName name="IPRD.Attribution.Factor.2">#REF!</definedName>
    <definedName name="IPRD.Attribution.Factor.3">#REF!</definedName>
    <definedName name="IPRD.Attribution.Factor.4">#REF!</definedName>
    <definedName name="IPRD.Attribution.Factor.5">#REF!</definedName>
    <definedName name="IPRD.Attribution.Factor.6">#REF!</definedName>
    <definedName name="IPRD.Attribution.Factor.7">#REF!</definedName>
    <definedName name="IPRD.Attribution.Factor.8">#REF!</definedName>
    <definedName name="IPRD.Attribution.Factor.9">#REF!</definedName>
    <definedName name="iprd.ioi.2">#REF!</definedName>
    <definedName name="iprd.ioi.4">#REF!</definedName>
    <definedName name="iprd.ioi.5">#REF!</definedName>
    <definedName name="iprd.ioi.7">#REF!</definedName>
    <definedName name="IPRD_COS_Item_1">#REF!</definedName>
    <definedName name="IPRD_COS_Item_10">#REF!</definedName>
    <definedName name="IPRD_COS_Item_2">#REF!</definedName>
    <definedName name="IPRD_COS_Item_3">#REF!</definedName>
    <definedName name="IPRD_COS_Item_4">#REF!</definedName>
    <definedName name="IPRD_COS_Item_5">#REF!</definedName>
    <definedName name="IPRD_COS_Item_6">#REF!</definedName>
    <definedName name="IPRD_COS_Item_7">#REF!</definedName>
    <definedName name="IPRD_COS_Item_8">#REF!</definedName>
    <definedName name="IPRD_COS_Item_9">#REF!</definedName>
    <definedName name="IPRD_COS_Item1">#REF!</definedName>
    <definedName name="IPRD_COS_Item10">#REF!</definedName>
    <definedName name="IPRD_COS_Item2">#REF!</definedName>
    <definedName name="IPRD_COS_Item3">#REF!</definedName>
    <definedName name="IPRD_COS_Item4">#REF!</definedName>
    <definedName name="IPRD_COS_Item5">#REF!</definedName>
    <definedName name="IPRD_COS_Item6">#REF!</definedName>
    <definedName name="IPRD_COS_Item7">#REF!</definedName>
    <definedName name="IPRD_COS_Item8">#REF!</definedName>
    <definedName name="IPRD_COS_Item9">#REF!</definedName>
    <definedName name="IPRD_COS_Structure">#REF!</definedName>
    <definedName name="IPRD_Discount_Rate_1">#REF!</definedName>
    <definedName name="IPRD_Discount_Rate_10">#REF!</definedName>
    <definedName name="IPRD_Discount_Rate_11">#REF!</definedName>
    <definedName name="IPRD_Discount_Rate_12">#REF!</definedName>
    <definedName name="IPRD_Discount_Rate_13">#REF!</definedName>
    <definedName name="IPRD_Discount_Rate_14">#REF!</definedName>
    <definedName name="IPRD_Discount_Rate_15">#REF!</definedName>
    <definedName name="IPRD_Discount_Rate_2">#REF!</definedName>
    <definedName name="IPRD_Discount_Rate_3">#REF!</definedName>
    <definedName name="IPRD_Discount_Rate_4">#REF!</definedName>
    <definedName name="IPRD_Discount_Rate_5">#REF!</definedName>
    <definedName name="IPRD_Discount_Rate_6">#REF!</definedName>
    <definedName name="IPRD_Discount_Rate_7">#REF!</definedName>
    <definedName name="IPRD_Discount_Rate_8">#REF!</definedName>
    <definedName name="IPRD_Discount_Rate_9">#REF!</definedName>
    <definedName name="IPRD_OpEx_Item1">#REF!</definedName>
    <definedName name="IPRD_OpEx_Item10">#REF!</definedName>
    <definedName name="IPRD_OpEx_Item2">#REF!</definedName>
    <definedName name="IPRD_OpEx_Item3">#REF!</definedName>
    <definedName name="IPRD_OpEx_Item4">#REF!</definedName>
    <definedName name="IPRD_OpEx_Item5">#REF!</definedName>
    <definedName name="IPRD_OpEx_Item6">#REF!</definedName>
    <definedName name="IPRD_OpEx_Item7">#REF!</definedName>
    <definedName name="IPRD_OpEx_Item8">#REF!</definedName>
    <definedName name="IPRD_OpEx_Item9">#REF!</definedName>
    <definedName name="IPRD_OpEX_Structure">#REF!</definedName>
    <definedName name="IPRD_Revenue_2">#REF!</definedName>
    <definedName name="IPRD_Revenue_4">#REF!</definedName>
    <definedName name="IPRD_Revenue_5">#REF!</definedName>
    <definedName name="IPRD_Revenue_7">#REF!</definedName>
    <definedName name="IPRD_Starting_FA">#REF!</definedName>
    <definedName name="IPRD_Tax_Rate">#REF!</definedName>
    <definedName name="IQ_1_4_FAMILY_JUNIOR_LIENS_CHARGE_OFFS_FDIC">"c6605"</definedName>
    <definedName name="IQ_1_4_FAMILY_JUNIOR_LIENS_NET_CHARGE_OFFS_FDIC">"c6643"</definedName>
    <definedName name="IQ_1_4_FAMILY_JUNIOR_LIENS_RECOVERIES_FDIC">"c6624"</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ACQUIRED_BY_REPORTING_BANK_FDIC">"c6535"</definedName>
    <definedName name="IQ_ADDIN" hidden="1">"AUTO"</definedName>
    <definedName name="IQ_ADDITIONAL_NON_INT_INC_FDIC">"c6574"</definedName>
    <definedName name="IQ_ADJUSTABLE_RATE_LOANS_FDIC">"c6375"</definedName>
    <definedName name="IQ_AE_BR" hidden="1">"c10"</definedName>
    <definedName name="IQ_AFTER_TAX_INCOME_FDIC">"c6583"</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MENDED_BALANCE_PREVIOUS_YR_FDIC">"c6499"</definedName>
    <definedName name="IQ_AMORT_EXPENSE_FDIC">"c6677"</definedName>
    <definedName name="IQ_AMORTIZED_COST_FDIC">"c6426"</definedName>
    <definedName name="IQ_AP_BR" hidden="1">"c34"</definedName>
    <definedName name="IQ_AR_BR" hidden="1">"c41"</definedName>
    <definedName name="IQ_ASSET_BACKED_FDIC">"c6301"</definedName>
    <definedName name="IQ_ASSET_WRITEDOWN_BR" hidden="1">"c50"</definedName>
    <definedName name="IQ_ASSET_WRITEDOWN_CF_BR" hidden="1">"c53"</definedName>
    <definedName name="IQ_ASSETS_HELD_FDIC">"c6305"</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VAILABLE_FOR_SALE_FDIC">"c6409"</definedName>
    <definedName name="IQ_AVERAGE_ASSETS_FDIC">"c6362"</definedName>
    <definedName name="IQ_AVERAGE_ASSETS_QUART_FDIC">"c6363"</definedName>
    <definedName name="IQ_AVERAGE_EARNING_ASSETS_FDIC">"c6748"</definedName>
    <definedName name="IQ_AVERAGE_EQUITY_FDIC">"c6749"</definedName>
    <definedName name="IQ_AVERAGE_LOANS_FDIC">"c6750"</definedName>
    <definedName name="IQ_AVG_BROKER_REC_NO_REUT" hidden="1">"c5315"</definedName>
    <definedName name="IQ_AVG_BROKER_REC_REUT" hidden="1">"c3630"</definedName>
    <definedName name="IQ_AVG_PRICE_TARGET" hidden="1">"c82"</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TOTAL_DEPOSITS_FDIC">"c6475"</definedName>
    <definedName name="IQ_BONDRATING_FITCH" hidden="1">"IQ_BONDRATING_FITCH"</definedName>
    <definedName name="IQ_BONDRATING_SP" hidden="1">"IQ_BONDRATING_SP"</definedName>
    <definedName name="IQ_BOOK_VALUE" hidden="1">"IQ_BOOK_VALUE"</definedName>
    <definedName name="IQ_BROKERED_DEPOSITS_FDIC">"c6486"</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S_SEG_PRIMARY_GIC">"c15584"</definedName>
    <definedName name="IQ_BUS_SEG_PRIMARY_GIC_ABS">"c15572"</definedName>
    <definedName name="IQ_BUS_SEG_SECONDARY_GIC">"c15585"</definedName>
    <definedName name="IQ_BUS_SEG_SECONDARY_GIC_ABS">"c15573"</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PEX_ACT_OR_EST_REUT" hidden="1">"c5474"</definedName>
    <definedName name="IQ_CAPEX_BR" hidden="1">"c111"</definedName>
    <definedName name="IQ_CAPEX_EST_REUT" hidden="1">"c3969"</definedName>
    <definedName name="IQ_CAPEX_HIGH_EST_REUT" hidden="1">"c3971"</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SH_DIVIDENDS_NET_INCOME_FDIC">"c6738"</definedName>
    <definedName name="IQ_CASH_IN_PROCESS_FDIC">"c6386"</definedName>
    <definedName name="IQ_CCE_FDIC">"c6296"</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_BR" hidden="1">"c135"</definedName>
    <definedName name="IQ_CHANGE_AR_BR" hidden="1">"c142"</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OTHER_NET_OPER_ASSETS_BR" hidden="1">"c3595"</definedName>
    <definedName name="IQ_CHANGE_OTHER_WORK_CAP_BR" hidden="1">"c154"</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MO_FDIC">"c6406"</definedName>
    <definedName name="IQ_COLLECTION_DOMESTIC_FDIC">"c6387"</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 hidden="1">"c177"</definedName>
    <definedName name="IQ_COMMERCIAL_INDUSTRIAL_CHARGE_OFFS_FDIC">"c6598"</definedName>
    <definedName name="IQ_COMMERCIAL_INDUSTRIAL_LOANS_NET_FDIC">"c6317"</definedName>
    <definedName name="IQ_COMMERCIAL_INDUSTRIAL_NET_CHARGE_OFFS_FDIC">"c6636"</definedName>
    <definedName name="IQ_COMMERCIAL_INDUSTRIAL_RECOVERIES_FDIC">"c6617"</definedName>
    <definedName name="IQ_COMMERCIAL_INDUSTRIAL_TOTAL_LOANS_FOREIGN_FDIC">"c6451"</definedName>
    <definedName name="IQ_COMMERCIAL_MORT" hidden="1">"c179"</definedName>
    <definedName name="IQ_COMMERCIAL_RE_CONSTRUCTION_LAND_DEV_FDIC">"c6526"</definedName>
    <definedName name="IQ_COMMERCIAL_RE_LOANS_FDIC">"c6312"</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_APIC_BR" hidden="1">"c185"</definedName>
    <definedName name="IQ_COMMON_FDIC">"c6350"</definedName>
    <definedName name="IQ_COMMON_ISSUED_BR" hidden="1">"c199"</definedName>
    <definedName name="IQ_COMMON_REP_BR" hidden="1">"c208"</definedName>
    <definedName name="IQ_CONSTRUCTION_DEV_LOANS_FDIC">"c6313"</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TRACTS_OTHER_COMMODITIES_EQUITIES._FDIC" hidden="1">"c6522"</definedName>
    <definedName name="IQ_CONTRACTS_OTHER_COMMODITIES_EQUITIES_FDIC">"c6522"</definedName>
    <definedName name="IQ_CONV_RATE" hidden="1">"c2192"</definedName>
    <definedName name="IQ_CONVEYED_TO_OTHERS_FDIC">"c6534"</definedName>
    <definedName name="IQ_CORE_CAPITAL_RATIO_FDIC">"c6745"</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OF_FUNDING_ASSETS_FDIC">"c6725"</definedName>
    <definedName name="IQ_CQ">5000</definedName>
    <definedName name="IQ_CREDIT_CARD_CHARGE_OFFS_FDIC">"c6652"</definedName>
    <definedName name="IQ_CREDIT_CARD_LINES_FDIC">"c6525"</definedName>
    <definedName name="IQ_CREDIT_CARD_LOANS_FDIC">"c6319"</definedName>
    <definedName name="IQ_CREDIT_CARD_NET_CHARGE_OFFS_FDIC">"c6654"</definedName>
    <definedName name="IQ_CREDIT_CARD_RECOVERIES_FDIC">"c6653"</definedName>
    <definedName name="IQ_CREDIT_LOSS_PROVISION_NET_CHARGE_OFFS_FDIC">"c6734"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ENCY_COIN_DOMESTIC_FDIC">"c6388"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HELD_DOMESTIC_FDIC">"c6340"</definedName>
    <definedName name="IQ_DEPOSITS_HELD_FOREIGN_FDIC">"c6341"</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RIVATIVES_FDIC">"c6523"</definedName>
    <definedName name="IQ_DIFF_LASTCLOSE_TARGET_PRICE_REUT" hidden="1">"c5436"</definedName>
    <definedName name="IQ_DIVIDENDS_DECLARED_COMMON_FDIC">"c6659"</definedName>
    <definedName name="IQ_DIVIDENDS_DECLARED_PREFERRED_FDIC">"c6658"</definedName>
    <definedName name="IQ_DIVIDENDS_FDIC">"c6660"</definedName>
    <definedName name="IQ_DNTM" hidden="1">700000</definedName>
    <definedName name="IQ_DPAC" hidden="1">"c2801"</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S_FDIC">"c6360"</definedName>
    <definedName name="IQ_EARNING_ASSETS_YIELD_FDIC">"c6724"</definedName>
    <definedName name="IQ_EARNINGS_ANNOUNCE_DATE_REUT" hidden="1">"c5314"</definedName>
    <definedName name="IQ_EARNINGS_COVERAGE_NET_CHARGE_OFFS_FDIC">"c6735"</definedName>
    <definedName name="IQ_EBIT_10K" hidden="1">"IQ_EBIT_10K"</definedName>
    <definedName name="IQ_EBIT_10Q" hidden="1">"IQ_EBIT_10Q"</definedName>
    <definedName name="IQ_EBIT_10Q1" hidden="1">"IQ_EBIT_10Q1"</definedName>
    <definedName name="IQ_EBIT_ACT_OR_EST_REUT" hidden="1">"c5465"</definedName>
    <definedName name="IQ_EBIT_EST_REUT" hidden="1">"c5333"</definedName>
    <definedName name="IQ_EBIT_GROWTH_1" hidden="1">"IQ_EBIT_GROWTH_1"</definedName>
    <definedName name="IQ_EBIT_GROWTH_2" hidden="1">"IQ_EBIT_GROWTH_2"</definedName>
    <definedName name="IQ_EBIT_HIGH_EST_REUT" hidden="1">"c5335"</definedName>
    <definedName name="IQ_EBIT_LOW_EST_REUT" hidden="1">"c5336"</definedName>
    <definedName name="IQ_EBIT_MEDIAN_EST_REUT" hidden="1">"c5334"</definedName>
    <definedName name="IQ_EBIT_NUM_EST_REUT" hidden="1">"c5337"</definedName>
    <definedName name="IQ_EBIT_STDDEV_EST_REUT" hidden="1">"c5338"</definedName>
    <definedName name="IQ_EBITDA_10K" hidden="1">"IQ_EBITDA_10K"</definedName>
    <definedName name="IQ_EBITDA_10Q" hidden="1">"IQ_EBITDA_10Q"</definedName>
    <definedName name="IQ_EBITDA_10Q1" hidden="1">"IQ_EBITDA_10Q1"</definedName>
    <definedName name="IQ_EBITDA_ACT_OR_EST_REUT" hidden="1">"c5462"</definedName>
    <definedName name="IQ_EBITDA_EST_REUT" hidden="1">"c3640"</definedName>
    <definedName name="IQ_EBITDA_GROWTH_1" hidden="1">"IQ_EBITDA_GROWTH_1"</definedName>
    <definedName name="IQ_EBITDA_GROWTH_2" hidden="1">"IQ_EBITDA_GROWTH_2"</definedName>
    <definedName name="IQ_EBITDA_HIGH_EST_REUT" hidden="1">"c3642"</definedName>
    <definedName name="IQ_EBITDA_LOW_EST_REUT" hidden="1">"c3643"</definedName>
    <definedName name="IQ_EBITDA_MEDIAN_EST_REUT" hidden="1">"c3641"</definedName>
    <definedName name="IQ_EBITDA_NUM_EST_REUT" hidden="1">"c3644"</definedName>
    <definedName name="IQ_EBITDA_STDDEV_EST_REUT" hidden="1">"c3645"</definedName>
    <definedName name="IQ_EBT_BR" hidden="1">"c378"</definedName>
    <definedName name="IQ_EBT_EXCL_BR" hidden="1">"c381"</definedName>
    <definedName name="IQ_ECO_METRIC_6825_UNUSED_UNUSED_UNUSED">"c6825"</definedName>
    <definedName name="IQ_ECO_METRIC_6839_UNUSED_UNUSED_UNUSED">"c6839"</definedName>
    <definedName name="IQ_ECO_METRIC_6896_UNUSED_UNUSED_UNUSED">"c6896"</definedName>
    <definedName name="IQ_ECO_METRIC_6897_UNUSED_UNUSED_UNUSED">"c6897"</definedName>
    <definedName name="IQ_ECO_METRIC_6988_UNUSED_UNUSED_UNUSED">"c6988"</definedName>
    <definedName name="IQ_ECO_METRIC_7045_UNUSED_UNUSED_UNUSED">"c7045"</definedName>
    <definedName name="IQ_ECO_METRIC_7059_UNUSED_UNUSED_UNUSED">"c7059"</definedName>
    <definedName name="IQ_ECO_METRIC_7116_UNUSED_UNUSED_UNUSED">"c7116"</definedName>
    <definedName name="IQ_ECO_METRIC_7117_UNUSED_UNUSED_UNUSED">"c7117"</definedName>
    <definedName name="IQ_ECO_METRIC_7208_UNUSED_UNUSED_UNUSED">"c7208"</definedName>
    <definedName name="IQ_ECO_METRIC_7265_UNUSED_UNUSED_UNUSED">"c7265"</definedName>
    <definedName name="IQ_ECO_METRIC_7279_UNUSED_UNUSED_UNUSED">"c7279"</definedName>
    <definedName name="IQ_ECO_METRIC_7336_UNUSED_UNUSED_UNUSED">"c7336"</definedName>
    <definedName name="IQ_ECO_METRIC_7337_UNUSED_UNUSED_UNUSED">"c7337"</definedName>
    <definedName name="IQ_ECO_METRIC_7428_UNUSED_UNUSED_UNUSED">"c7428"</definedName>
    <definedName name="IQ_ECO_METRIC_7556_UNUSED_UNUSED_UNUSED">"c7556"</definedName>
    <definedName name="IQ_ECO_METRIC_7557_UNUSED_UNUSED_UNUSED">"c7557"</definedName>
    <definedName name="IQ_ECO_METRIC_7648_UNUSED_UNUSED_UNUSED">"c7648"</definedName>
    <definedName name="IQ_ECO_METRIC_7705_UNUSED_UNUSED_UNUSED">"c7705"</definedName>
    <definedName name="IQ_ECO_METRIC_7719_UNUSED_UNUSED_UNUSED">"c7719"</definedName>
    <definedName name="IQ_ECO_METRIC_7776_UNUSED_UNUSED_UNUSED">"c7776"</definedName>
    <definedName name="IQ_ECO_METRIC_7777_UNUSED_UNUSED_UNUSED">"c7777"</definedName>
    <definedName name="IQ_ECO_METRIC_7868_UNUSED_UNUSED_UNUSED">"c7868"</definedName>
    <definedName name="IQ_ECO_METRIC_7925_UNUSED_UNUSED_UNUSED">"c7925"</definedName>
    <definedName name="IQ_ECO_METRIC_7939_UNUSED_UNUSED_UNUSED">"c7939"</definedName>
    <definedName name="IQ_ECO_METRIC_7996_UNUSED_UNUSED_UNUSED">"c7996"</definedName>
    <definedName name="IQ_ECO_METRIC_7997_UNUSED_UNUSED_UNUSED">"c7997"</definedName>
    <definedName name="IQ_ECO_METRIC_8088_UNUSED_UNUSED_UNUSED">"c8088"</definedName>
    <definedName name="IQ_ECO_METRIC_8145_UNUSED_UNUSED_UNUSED">"c8145"</definedName>
    <definedName name="IQ_ECO_METRIC_8159_UNUSED_UNUSED_UNUSED">"c8159"</definedName>
    <definedName name="IQ_ECO_METRIC_8216_UNUSED_UNUSED_UNUSED">"c8216"</definedName>
    <definedName name="IQ_ECO_METRIC_8217_UNUSED_UNUSED_UNUSED">"c8217"</definedName>
    <definedName name="IQ_ECO_METRIC_8308_UNUSED_UNUSED_UNUSED">"c8308"</definedName>
    <definedName name="IQ_ECO_METRIC_8436_UNUSED_UNUSED_UNUSED">"c8436"</definedName>
    <definedName name="IQ_ECO_METRIC_8437_UNUSED_UNUSED_UNUSED">"c8437"</definedName>
    <definedName name="IQ_ECO_METRIC_8528_UNUSED_UNUSED_UNUSED">"c8528"</definedName>
    <definedName name="IQ_EFFICIENCY_RATIO_FDIC">"c6736"</definedName>
    <definedName name="IQ_EPS" hidden="1">"IQ_EPS"</definedName>
    <definedName name="IQ_EPS_10K" hidden="1">"IQ_EPS_10K"</definedName>
    <definedName name="IQ_EPS_10Q" hidden="1">"IQ_EPS_10Q"</definedName>
    <definedName name="IQ_EPS_10Q1" hidden="1">"IQ_EPS_10Q1"</definedName>
    <definedName name="IQ_EPS_ACT_OR_EST_REUT" hidden="1">"c5460"</definedName>
    <definedName name="IQ_EPS_EST_1" hidden="1">"IQ_EPS_EST_1"</definedName>
    <definedName name="IQ_EPS_EST_BOTTOM_UP_REUT" hidden="1">"c5497"</definedName>
    <definedName name="IQ_EPS_EST_REUT" hidden="1">"c5453"</definedName>
    <definedName name="IQ_EPS_GW_ACT_OR_EST_REUT" hidden="1">"c5469"</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_REUT" hidden="1">"c5454"</definedName>
    <definedName name="IQ_EPS_LOW_EST_REUT" hidden="1">"c5455"</definedName>
    <definedName name="IQ_EPS_MEDIAN_EST_REUT" hidden="1">"c5456"</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_REUT" hidden="1">"c5451"</definedName>
    <definedName name="IQ_EPS_REPORT_ACT_OR_EST_REUT" hidden="1">"c5470"</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_REUT" hidden="1">"c5452"</definedName>
    <definedName name="IQ_EQUITY_CAPITAL_ASSETS_FDIC">"c6744"</definedName>
    <definedName name="IQ_EQUITY_FDIC">"c6353"</definedName>
    <definedName name="IQ_EQUITY_SECURITIES_FDIC">"c6304"</definedName>
    <definedName name="IQ_EQUITY_SECURITY_EXPOSURES_FDIC">"c6664"</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_REUT" hidden="1">"c5395"</definedName>
    <definedName name="IQ_EST_ACT_EPS_NORM_REUT" hidden="1">"c5332"</definedName>
    <definedName name="IQ_EST_ACT_EPS_REPORTED_REUT" hidden="1">"c5402"</definedName>
    <definedName name="IQ_EST_ACT_EPS_REUT" hidden="1">"c5457"</definedName>
    <definedName name="IQ_EST_ACT_FFO_REUT" hidden="1">"c3843"</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_REUT" hidden="1">"c3646"</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URPRISE_PERCENT_REUT" hidden="1">"c3891"</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IMATED_ASSESSABLE_DEPOSITS_FDIC">"c6490"</definedName>
    <definedName name="IQ_ESTIMATED_INSURED_DEPOSITS_FDIC">"c6491"</definedName>
    <definedName name="IQ_EV_OVER_REVENUE_EST" hidden="1">"IQ_EV_OVER_REVENUE_EST"</definedName>
    <definedName name="IQ_EV_OVER_REVENUE_EST_1" hidden="1">"IQ_EV_OVER_REVENUE_EST_1"</definedName>
    <definedName name="IQ_EXPENSE_CODE_">1367</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_BR" hidden="1">"c412"</definedName>
    <definedName name="IQ_EXTRAORDINARY_GAINS_FDIC">"c6586"</definedName>
    <definedName name="IQ_FAIR_VALUE_FDIC">"c6427"</definedName>
    <definedName name="IQ_FARM_LOANS_NET_FDIC">"c6316"</definedName>
    <definedName name="IQ_FARM_LOANS_TOTAL_LOANS_FOREIGN_FDIC">"c6450"</definedName>
    <definedName name="IQ_FARMLAND_LOANS_FDIC">"c6314"</definedName>
    <definedName name="IQ_FED_FUNDS_PURCHASED_FDIC">"c6343"</definedName>
    <definedName name="IQ_FED_FUNDS_SOLD_FDIC">"c6307"</definedName>
    <definedName name="IQ_FFO_EST_REUT" hidden="1">"c3837"</definedName>
    <definedName name="IQ_FFO_HIGH_EST_REUT" hidden="1">"c3839"</definedName>
    <definedName name="IQ_FFO_LOW_EST_REUT" hidden="1">"c3840"</definedName>
    <definedName name="IQ_FFO_MEDIAN_EST_REUT" hidden="1">"c3838"</definedName>
    <definedName name="IQ_FFO_NUM_EST_REUT" hidden="1">"c3841"</definedName>
    <definedName name="IQ_FFO_STDDEV_EST_REUT" hidden="1">"c3842"</definedName>
    <definedName name="IQ_FH">100000</definedName>
    <definedName name="IQ_FHLB_ADVANCES_FDIC">"c6366"</definedName>
    <definedName name="IQ_FIDUCIARY_ACTIVITIES_FDIC">"c6571"</definedName>
    <definedName name="IQ_FIFETEEN_YEAR_FIXED_AND_FLOATING_RATE_FDIC">"c6423"</definedName>
    <definedName name="IQ_FIFETEEN_YEAR_MORTGAGE_PASS_THROUGHS_FDIC">"c6415"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"c6422"</definedName>
    <definedName name="IQ_FIVE_YEAR_MORTGAGE_PASS_THROUGHS_FDIC">"c6414"</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NMA_FHLMC_FDIC">"c6397"</definedName>
    <definedName name="IQ_FNMA_FHLMC_GNMA_FDIC">"c6399"</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 hidden="1">"c6438"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OSITS_NONTRANSACTION_ACCOUNTS_FDIC">"c6549"</definedName>
    <definedName name="IQ_FOREIGN_DEPOSITS_TRANSACTION_ACCOUNTS_FDIC">"c6541"</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Q">500</definedName>
    <definedName name="IQ_FULLY_INSURED_DEPOSITS_FDIC">"c6487"</definedName>
    <definedName name="IQ_FUTURES_FORWARD_CONTRACTS_NOTIONAL_AMOUNT_FDIC">"c6518"</definedName>
    <definedName name="IQ_FUTURES_FORWARD_CONTRACTS_RATE_RISK_FDIC">"c6508"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"c6517"</definedName>
    <definedName name="IQ_FX_CONTRACTS_SPOT_FDIC">"c6356"</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"c6673"</definedName>
    <definedName name="IQ_GAIN_SALE_RE_FDIC">"c6674"</definedName>
    <definedName name="IQ_GAINS_SALE_ASSETS_FDIC">"c6675"</definedName>
    <definedName name="IQ_GNMA_FDIC">"c6398"</definedName>
    <definedName name="IQ_GOODWILL_FDIC">"c6334"</definedName>
    <definedName name="IQ_GOODWILL_IMPAIRMENT_FDIC">"c6678"</definedName>
    <definedName name="IQ_GOODWILL_INTAN_FDIC">"c6333"</definedName>
    <definedName name="IQ_GW_AMORT_BR" hidden="1">"c532"</definedName>
    <definedName name="IQ_GW_INTAN_AMORT_BR" hidden="1">"c1470"</definedName>
    <definedName name="IQ_GW_INTAN_AMORT_CF_BR" hidden="1">"c1473"</definedName>
    <definedName name="IQ_HELD_MATURITY_FDIC">"c6408"</definedName>
    <definedName name="IQ_HIGH_TARGET_PRICE_REUT" hidden="1">"c5317"</definedName>
    <definedName name="IQ_HOME_EQUITY_LOC_NET_CHARGE_OFFS_FDIC">"c6644"</definedName>
    <definedName name="IQ_HOME_EQUITY_LOC_TOTAL_CHARGE_OFFS_FDIC">"c6606"</definedName>
    <definedName name="IQ_HOME_EQUITY_LOC_TOTAL_RECOVERIES_FDIC">"c6625"</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NC_EQUITY_BR" hidden="1">"c550"</definedName>
    <definedName name="IQ_INCIDENTAL_CHANGES_BUSINESS_COMBINATIONS_FDIC">"c6502"</definedName>
    <definedName name="IQ_INCOME_BEFORE_EXTRA_FDIC">"c6585"</definedName>
    <definedName name="IQ_INCOME_EARNED_FDIC">"c6359"</definedName>
    <definedName name="IQ_INCOME_TAXES_FDIC">"c6582"</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S_SETTLE_BR" hidden="1">"c572"</definedName>
    <definedName name="IQ_INSIDER_LOANS_FDIC">"c6365"</definedName>
    <definedName name="IQ_INSTITUTIONS_EARNINGS_GAINS_FDIC">"c6723"</definedName>
    <definedName name="IQ_INSURANCE_COMMISSION_FEES_FDIC">"c6670"</definedName>
    <definedName name="IQ_INSURANCE_UNDERWRITING_INCOME_FDIC">"c6671"</definedName>
    <definedName name="IQ_INT_DEMAND_NOTES_FDIC">"c6567"</definedName>
    <definedName name="IQ_INT_DOMESTIC_DEPOSITS_FDIC">"c6564"</definedName>
    <definedName name="IQ_INT_EXP_BR" hidden="1">"c586"</definedName>
    <definedName name="IQ_INT_EXP_TOTAL_FDIC">"c6569"</definedName>
    <definedName name="IQ_INT_FED_FUNDS_FDIC">"c6566"</definedName>
    <definedName name="IQ_INT_FOREIGN_DEPOSITS_FDIC">"c6565"</definedName>
    <definedName name="IQ_INT_INC_BR" hidden="1">"c593"</definedName>
    <definedName name="IQ_INT_INC_DEPOSITORY_INST_FDIC">"c6558"</definedName>
    <definedName name="IQ_INT_INC_DOM_LOANS_FDIC">"c6555"</definedName>
    <definedName name="IQ_INT_INC_FED_FUNDS_FDIC">"c6561"</definedName>
    <definedName name="IQ_INT_INC_FOREIGN_LOANS_FDIC">"c6556"</definedName>
    <definedName name="IQ_INT_INC_LEASE_RECEIVABLES_FDIC">"c6557"</definedName>
    <definedName name="IQ_INT_INC_OTHER_FDIC">"c6562"</definedName>
    <definedName name="IQ_INT_INC_SECURITIES_FDIC">"c6559"</definedName>
    <definedName name="IQ_INT_INC_TOTAL_FDIC">"c6563"</definedName>
    <definedName name="IQ_INT_INC_TRADING_ACCOUNTS_FDIC">"c6560"</definedName>
    <definedName name="IQ_INT_SUB_NOTES_FDIC">"c6568"</definedName>
    <definedName name="IQ_INTEREST_BEARING_BALANCES_FDIC">"c6371"</definedName>
    <definedName name="IQ_INTEREST_BEARING_DEPOSITS_DOMESTIC_FDIC">"c6478"</definedName>
    <definedName name="IQ_INTEREST_BEARING_DEPOSITS_FDIC">"c6373"</definedName>
    <definedName name="IQ_INTEREST_BEARING_DEPOSITS_FOREIGN_FDIC">"c6485"</definedName>
    <definedName name="IQ_INTEREST_INC_10K" hidden="1">"IQ_INTEREST_INC_10K"</definedName>
    <definedName name="IQ_INTEREST_INC_10Q" hidden="1">"IQ_INTEREST_INC_10Q"</definedName>
    <definedName name="IQ_INTEREST_INC_10Q1" hidden="1">"IQ_INTEREST_INC_10Q1"</definedName>
    <definedName name="IQ_INTEREST_RATE_CONTRACTS_FDIC">"c6512"</definedName>
    <definedName name="IQ_INTEREST_RATE_EXPOSURES_FDIC">"c6662"</definedName>
    <definedName name="IQ_INVEST_LOANS_CF_BR" hidden="1">"c630"</definedName>
    <definedName name="IQ_INVEST_SECURITY_CF_BR" hidden="1">"c639"</definedName>
    <definedName name="IQ_INVESTMENT_BANKING_OTHER_FEES_FDIC">"c6666"</definedName>
    <definedName name="IQ_IRA_KEOGH_ACCOUNTS_FDIC">"c6496"</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UED_GUARANTEED_US_FDIC">"c6404"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RECOVERIES_FDIC">"c6621"</definedName>
    <definedName name="IQ_LEASE_FINANCING_RECEIVABLES_TOTAL_LOANS_FOREIGN_FDIC">"c6449"</definedName>
    <definedName name="IQ_LEGAL_SETTLE_BR" hidden="1">"c649"</definedName>
    <definedName name="IQ_LIFE_INSURANCE_ASSETS_FDIC">"c6372"</definedName>
    <definedName name="IQ_LOAN_COMMITMENTS_REVOLVING_FDIC">"c6524"</definedName>
    <definedName name="IQ_LOAN_LOSS_ALLOW_FDIC">"c6326"</definedName>
    <definedName name="IQ_LOAN_LOSS_ALLOWANCE_NONCURRENT_LOANS_FDIC">"c6740"</definedName>
    <definedName name="IQ_LOAN_LOSSES_FDIC">"c6580"</definedName>
    <definedName name="IQ_LOANS_AND_LEASES_HELD_FDIC">"c6367"</definedName>
    <definedName name="IQ_LOANS_CF_BR" hidden="1">"c661"</definedName>
    <definedName name="IQ_LOANS_DEPOSITORY_INSTITUTIONS_FDIC">"c6382"</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NET_FDIC">"c6327"</definedName>
    <definedName name="IQ_LOANS_LEASES_NET_UNEARNED_FDIC">"c6325"</definedName>
    <definedName name="IQ_LOANS_NOT_SECURED_RE_FDIC">"c6381"</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SS_ALLOWANCE_LOANS_FDIC">"c6739"</definedName>
    <definedName name="IQ_LOW_TARGET_PRICE_REUT" hidden="1">"c5318"</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ATURITY_ONE_YEAR_LESS_FDIC">"c6425"</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DIAN_TARGET_PRICE_REUT" hidden="1">"c5316"</definedName>
    <definedName name="IQ_MERGER_BR" hidden="1">"c715"</definedName>
    <definedName name="IQ_MERGER_RESTRUCTURE_BR" hidden="1">"c721"</definedName>
    <definedName name="IQ_MINORITY_INTEREST_BR" hidden="1">"c729"</definedName>
    <definedName name="IQ_MKTCAP_TOTAL_REV_FWD_REUT" hidden="1">"c4048"</definedName>
    <definedName name="IQ_MONEY_MARKET_DEPOSIT_ACCOUNTS_FDIC">"c6553"</definedName>
    <definedName name="IQ_MONTH">15000</definedName>
    <definedName name="IQ_MORTGAGE_BACKED_SECURITIES_FDIC">"c6402"</definedName>
    <definedName name="IQ_MORTGAGE_SERVICING_FDIC">"c6335"</definedName>
    <definedName name="IQ_MTD" hidden="1">800000</definedName>
    <definedName name="IQ_MULTIFAMILY_RESIDENTIAL_LOANS_FDIC">"c6311"</definedName>
    <definedName name="IQ_NAMES_REVISION_DATE_" hidden="1">"04/16/2026 03:50:30"</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RGE_OFFS_FDIC">"c6641"</definedName>
    <definedName name="IQ_NET_CHARGE_OFFS_LOANS_FDIC">"c6751"</definedName>
    <definedName name="IQ_NET_DEBT_ACT_OR_EST_REUT" hidden="1">"c5473"</definedName>
    <definedName name="IQ_NET_DEBT_EST_REUT" hidden="1">"c3976"</definedName>
    <definedName name="IQ_NET_DEBT_HIGH_EST_REUT" hidden="1">"c3978"</definedName>
    <definedName name="IQ_NET_DEBT_ISSUED_BR" hidden="1">"c753"</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INC_10K" hidden="1">"IQ_NET_INC_10K"</definedName>
    <definedName name="IQ_NET_INC_10Q" hidden="1">"IQ_NET_INC_10Q"</definedName>
    <definedName name="IQ_NET_INC_10Q1" hidden="1">"IQ_NET_INC_10Q1"</definedName>
    <definedName name="IQ_NET_INC_GROWTH_1" hidden="1">"IQ_NET_INC_GROWTH_1"</definedName>
    <definedName name="IQ_NET_INC_GROWTH_2" hidden="1">"IQ_NET_INC_GROWTH_2"</definedName>
    <definedName name="IQ_NET_INCOME_FDIC">"c6587"</definedName>
    <definedName name="IQ_NET_INT_INC_BNK_FDIC">"c6570"</definedName>
    <definedName name="IQ_NET_INT_INC_BR" hidden="1">"c765"</definedName>
    <definedName name="IQ_NET_INTEREST_MARGIN_FDIC">"c6726"</definedName>
    <definedName name="IQ_NET_LOANS_LEASES_CORE_DEPOSITS_FDIC">"c6743"</definedName>
    <definedName name="IQ_NET_LOANS_LEASES_DEPOSITS_FDIC">"c6742"</definedName>
    <definedName name="IQ_NET_OPERATING_INCOME_ASSETS_FDIC">"c6729"</definedName>
    <definedName name="IQ_NET_SECURITIZATION_INCOME_FDIC">"c6669"</definedName>
    <definedName name="IQ_NET_SERVICING_FEES_FDIC">"c6668"</definedName>
    <definedName name="IQ_NI_ACT_OR_EST_REUT" hidden="1">"c5468"</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EDIAN_EST_REUT" hidden="1">"c5369"</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TDDEV_EST_REUT" hidden="1">"c5373"</definedName>
    <definedName name="IQ_NON_INT_EXP_FDIC">"c6579"</definedName>
    <definedName name="IQ_NON_INT_INC_FDIC">"c6575"</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OME_EARNING_ASSETS_FDIC">"c6727"</definedName>
    <definedName name="IQ_NONMORTGAGE_SERVICING_FDIC">"c6336"</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TRANSACTION_ACCOUNTS_FDIC">"c6552"</definedName>
    <definedName name="IQ_NORM_EPS_ACT_OR_EST_REUT" hidden="1">"c5472"</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TM">6000</definedName>
    <definedName name="IQ_NUMBER_DEPOSITS_LESS_THAN_100K_FDIC">"c6495"</definedName>
    <definedName name="IQ_NUMBER_DEPOSITS_MORE_THAN_100K_FDIC">"c6493"</definedName>
    <definedName name="IQ_OBLIGATIONS_OF_STATES_TOTAL_LOANS_FOREIGN_FDIC">"c6447"</definedName>
    <definedName name="IQ_OBLIGATIONS_STATES_FDIC">"c6431"</definedName>
    <definedName name="IQ_OG_TOTAL_OIL_PRODUCTON" hidden="1">"c2059"</definedName>
    <definedName name="IQ_OPENED55" hidden="1">1</definedName>
    <definedName name="IQ_OPER_INC_ACT_OR_EST_REUT" hidden="1">"c5466"</definedName>
    <definedName name="IQ_OPER_INC_BR" hidden="1">"c850"</definedName>
    <definedName name="IQ_OPER_INC_EST_REUT" hidden="1">"c5340"</definedName>
    <definedName name="IQ_OPER_INC_HIGH_EST_REUT" hidden="1">"c5342"</definedName>
    <definedName name="IQ_OPER_INC_LOW_EST_REUT" hidden="1">"c5343"</definedName>
    <definedName name="IQ_OPER_INC_MEDIAN_EST_REUT" hidden="1">"c5341"</definedName>
    <definedName name="IQ_OPER_INC_NUM_EST_REUT" hidden="1">"c5344"</definedName>
    <definedName name="IQ_OPER_INC_STDDEV_EST_REUT" hidden="1">"c5345"</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MULTI_FAMILY_RESIDENTIAL_FDIC">"c6455"</definedName>
    <definedName name="IQ_OTHER_AMORT_BR" hidden="1">"c5566"</definedName>
    <definedName name="IQ_OTHER_ASSETS_BR" hidden="1">"c862"</definedName>
    <definedName name="IQ_OTHER_ASSETS_FDIC">"c6338"</definedName>
    <definedName name="IQ_OTHER_BORROWED_FUNDS_FDIC">"c6345"</definedName>
    <definedName name="IQ_OTHER_CA_SUPPL_BR" hidden="1">"c871"</definedName>
    <definedName name="IQ_OTHER_CL_SUPPL_BR" hidden="1">"c880"</definedName>
    <definedName name="IQ_OTHER_COMPREHENSIVE_INCOME_FDIC">"c6503"</definedName>
    <definedName name="IQ_OTHER_DEPOSITORY_INSTITUTIONS_LOANS_FDIC">"c6436"</definedName>
    <definedName name="IQ_OTHER_DEPOSITORY_INSTITUTIONS_TOTAL_LOANS_FOREIGN_FDIC">"c6442"</definedName>
    <definedName name="IQ_OTHER_DOMESTIC_DEBT_SECURITIES_FDIC">"c6302"</definedName>
    <definedName name="IQ_OTHER_EQUITY_BR" hidden="1">"c888"</definedName>
    <definedName name="IQ_OTHER_FINANCE_ACT_BR" hidden="1">"c895"</definedName>
    <definedName name="IQ_OTHER_FINANCE_ACT_SUPPL_BR" hidden="1">"c901"</definedName>
    <definedName name="IQ_OTHER_INSURANCE_FEES_FDIC">"c6672"</definedName>
    <definedName name="IQ_OTHER_INTAN_BR" hidden="1">"c909"</definedName>
    <definedName name="IQ_OTHER_INTANGIBLE_FDIC">"c6337"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"c6347"</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T_ASSETS_BR" hidden="1">"c948"</definedName>
    <definedName name="IQ_OTHER_MINING_REVENUE_COAL">"c15931"</definedName>
    <definedName name="IQ_OTHER_NON_INT_EXP_FDIC">"c6578"</definedName>
    <definedName name="IQ_OTHER_NON_INT_EXPENSE_FDIC">"c6679"</definedName>
    <definedName name="IQ_OTHER_NON_INT_INC_FDIC">"c6676"</definedName>
    <definedName name="IQ_OTHER_NON_OPER_EXP_BR" hidden="1">"c957"</definedName>
    <definedName name="IQ_OTHER_NON_OPER_EXP_SUPPL_BR" hidden="1">"c962"</definedName>
    <definedName name="IQ_OTHER_OFF_BS_LIAB_FDIC">"c6533"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"c6330"</definedName>
    <definedName name="IQ_OTHER_REV_BR" hidden="1">"c1011"</definedName>
    <definedName name="IQ_OTHER_REV_SUPPL_BR" hidden="1">"c1016"</definedName>
    <definedName name="IQ_OTHER_SAVINGS_DEPOSITS_FDIC">"c6554"</definedName>
    <definedName name="IQ_OTHER_TRANSACTIONS_FDIC">"c6504"</definedName>
    <definedName name="IQ_OTHER_UNUSED_COMMITMENTS_FDIC">"c6530"</definedName>
    <definedName name="IQ_OTHER_UNUSUAL_BR" hidden="1">"c1561"</definedName>
    <definedName name="IQ_OTHER_UNUSUAL_SUPPL_BR" hidden="1">"c1496"</definedName>
    <definedName name="IQ_OVER_FIFETEEN_YEAR_MORTGAGE_PASS_THROUGHS_FDIC">"c6416"</definedName>
    <definedName name="IQ_OVER_FIFTEEN_YEAR_FIXED_AND_FLOATING_RATE_FDIC">"c6424"</definedName>
    <definedName name="IQ_OVER_THREE_YEARS_FDIC">"c6418"</definedName>
    <definedName name="IQ_PARTICIPATION_POOLS_RESIDENTIAL_MORTGAGES_FDIC">"c6403"</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C_WRITTEN" hidden="1">"c1027"</definedName>
    <definedName name="IQ_PE_EXCL_FWD_REUT" hidden="1">"c4049"</definedName>
    <definedName name="IQ_PEG_FWD_REUT" hidden="1">"c4052"</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"c3965"</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INSURED_FDIC">"c6374"</definedName>
    <definedName name="IQ_PLEDGED_SECURITIES_FDIC">"c6401"</definedName>
    <definedName name="IQ_POTENTIAL_UPSIDE_REUT" hidden="1">"c3968"</definedName>
    <definedName name="IQ_PRE_TAX_ACT_OR_EST_REUT" hidden="1">"c5467"</definedName>
    <definedName name="IQ_PRE_TAX_INCOME_FDIC">"c6581"</definedName>
    <definedName name="IQ_PREF_ISSUED_BR" hidden="1">"c1047"</definedName>
    <definedName name="IQ_PREF_OTHER_BR" hidden="1">"c1055"</definedName>
    <definedName name="IQ_PREF_REP_BR" hidden="1">"c1062"</definedName>
    <definedName name="IQ_PREFERRED_FDIC">"c6349"</definedName>
    <definedName name="IQ_PREMISES_EQUIPMENT_FDIC">"c6577"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"c6731"</definedName>
    <definedName name="IQ_PRICE_CFPS_FWD_REUT" hidden="1">"c4053"</definedName>
    <definedName name="IQ_PRICE_OVER_EPS_EST" hidden="1">"IQ_PRICE_OVER_EPS_EST"</definedName>
    <definedName name="IQ_PRICE_OVER_EPS_EST_1" hidden="1">"IQ_PRICE_OVER_EPS_EST_1"</definedName>
    <definedName name="IQ_PRICE_TARGET_BOTTOM_UP_REUT" hidden="1">"c5494"</definedName>
    <definedName name="IQ_PRICE_TARGET_REUT" hidden="1">"c3631"</definedName>
    <definedName name="IQ_PRICEDATETIME" hidden="1">"IQ_PRICEDATETIME"</definedName>
    <definedName name="IQ_PRIMARY_EPS_TYPE_REUT" hidden="1">"c5481"</definedName>
    <definedName name="IQ_PRIMARY_EPS_TYPE_THOM" hidden="1">"c5297"</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IVATELY_ISSUED_MORTGAGE_BACKED_SECURITIES_FDIC">"c6407"</definedName>
    <definedName name="IQ_PRIVATELY_ISSUED_MORTGAGE_PASS_THROUGHS_FDIC">"c6405"</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QTD" hidden="1">750000</definedName>
    <definedName name="IQ_RE_FORECLOSURE_FDIC">"c6332"</definedName>
    <definedName name="IQ_RE_INVEST_FDIC">"c6331"</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LATED_PLANS_FDIC">"c6320"</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IDENTIAL_LOANS" hidden="1">"c1102"</definedName>
    <definedName name="IQ_RESTATEMENTS_NET_FDIC">"c6500"</definedName>
    <definedName name="IQ_RESTRUCTURE_BR" hidden="1">"c1106"</definedName>
    <definedName name="IQ_RESTRUCTURED_LOANS_1_4_RESIDENTIAL_FDIC">"c6378"</definedName>
    <definedName name="IQ_RESTRUCTURED_LOANS_LEASES_FDIC">"c6377"</definedName>
    <definedName name="IQ_RESTRUCTURED_LOANS_NON_1_4_FDIC">"c6379"</definedName>
    <definedName name="IQ_RETAIL_DEPOSITS_FDIC">"c6488"</definedName>
    <definedName name="IQ_RETAINED_EARNINGS_AVERAGE_EQUITY_FDIC">"c6733"</definedName>
    <definedName name="IQ_RETURN_ASSETS_ACT_OR_EST_REUT" hidden="1">"c5475"</definedName>
    <definedName name="IQ_RETURN_ASSETS_BROK" hidden="1">"c1115"</definedName>
    <definedName name="IQ_RETURN_ASSETS_EST_REUT" hidden="1">"c3990"</definedName>
    <definedName name="IQ_RETURN_ASSETS_FDIC">"c6730"</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EQUITY_ACT_OR_EST_REUT" hidden="1">"c5476"</definedName>
    <definedName name="IQ_RETURN_EQUITY_BROK" hidden="1">"c1120"</definedName>
    <definedName name="IQ_RETURN_EQUITY_EST_REUT" hidden="1">"c3983"</definedName>
    <definedName name="IQ_RETURN_EQUITY_FDIC">"c6732"</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V_STDDEV_EST_REUT" hidden="1">"c3639"</definedName>
    <definedName name="IQ_REVALUATION_GAINS_FDIC">"c6428"</definedName>
    <definedName name="IQ_REVALUATION_LOSSES_FDIC">"c6429"</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_1" hidden="1">"IQ_REVENUE_EST_1"</definedName>
    <definedName name="IQ_REVENUE_EST_BOTTOM_UP_REUT" hidden="1">"c5496"</definedName>
    <definedName name="IQ_REVENUE_EST_REUT" hidden="1">"c3634"</definedName>
    <definedName name="IQ_REVENUE_GROWTH_1" hidden="1">"IQ_REVENUE_GROWTH_1"</definedName>
    <definedName name="IQ_REVENUE_GROWTH_2" hidden="1">"IQ_REVENUE_GROWTH_2"</definedName>
    <definedName name="IQ_REVENUE_HIGH_EST_REUT" hidden="1">"c3636"</definedName>
    <definedName name="IQ_REVENUE_LOW_EST_REUT" hidden="1">"c3637"</definedName>
    <definedName name="IQ_REVENUE_MEDIAN_EST_REUT" hidden="1">"c3635"</definedName>
    <definedName name="IQ_REVENUE_NUM_EST_REUT" hidden="1">"c3638"</definedName>
    <definedName name="IQ_RISK_WEIGHTED_ASSETS_FDIC">"c6370"</definedName>
    <definedName name="IQ_ROYALTY_REVENUE_COAL">"c15932"</definedName>
    <definedName name="IQ_SALARY_FDIC">"c6576"</definedName>
    <definedName name="IQ_SALE_CONVERSION_RETIREMENT_STOCK_FDIC">"c6661"</definedName>
    <definedName name="IQ_SALE_INTAN_CF_BR" hidden="1">"c1133"</definedName>
    <definedName name="IQ_SALE_PPE_CF_BR" hidden="1">"c1139"</definedName>
    <definedName name="IQ_SALE_REAL_ESTATE_CF_BR" hidden="1">"c1145"</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UNDERWRITING_FDIC">"c6529"</definedName>
    <definedName name="IQ_SERVICE_CHARGES_FDIC">"c6572"</definedName>
    <definedName name="IQ_SHAREOUTSTANDING" hidden="1">"c1347"</definedName>
    <definedName name="IQ_SP_ISSUE_LC_ACTION" hidden="1">"c2644"</definedName>
    <definedName name="IQ_SP_ISSUE_LC_DATE" hidden="1">"c2643"</definedName>
    <definedName name="IQ_SP_ISSUE_LC_LT" hidden="1">"c2645"</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"c6547"</definedName>
    <definedName name="IQ_STATES_TOTAL_DEPOSITS_FDIC">"c6473"</definedName>
    <definedName name="IQ_STATES_TRANSACTION_ACCOUNTS_FDIC">"c6539"</definedName>
    <definedName name="IQ_SUB_DEBT_FDIC">"c6346"</definedName>
    <definedName name="IQ_SURPLUS_FDIC">"c6351"</definedName>
    <definedName name="IQ_TARGET_PRICE_NUM_REUT" hidden="1">"c5319"</definedName>
    <definedName name="IQ_TARGET_PRICE_STDDEV_REUT" hidden="1">"c5320"</definedName>
    <definedName name="IQ_TEV_EBIT_FWD_REUT" hidden="1">"c4054"</definedName>
    <definedName name="IQ_TEV_EBITDA_FWD_REUT" hidden="1">"c4050"</definedName>
    <definedName name="IQ_TEV_TOTAL_REV_FWD_REUT" hidden="1">"c4051"</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FDIC">"c6369"</definedName>
    <definedName name="IQ_TIME_DEPOSITS_LESS_THAN_100K_FDIC">"c6465"</definedName>
    <definedName name="IQ_TIME_DEPOSITS_MORE_THAN_100K_FDIC">"c6470"</definedName>
    <definedName name="IQ_TODAY" hidden="1">0</definedName>
    <definedName name="IQ_TOTAL_AR_BR" hidden="1">"c1231"</definedName>
    <definedName name="IQ_TOTAL_ASSETS_FDIC">"c6339"</definedName>
    <definedName name="IQ_TOTAL_CHARGE_OFFS_FDIC">"c6603"</definedName>
    <definedName name="IQ_TOTAL_DEBT_ISSUED_BR" hidden="1">"c1253"</definedName>
    <definedName name="IQ_TOTAL_DEBT_REPAID_BR" hidden="1">"c1260"</definedName>
    <definedName name="IQ_TOTAL_DEBT_SECURITIES_FDIC">"c6410"</definedName>
    <definedName name="IQ_TOTAL_DEPOSITS_FDIC">"c6342"</definedName>
    <definedName name="IQ_TOTAL_EMPLOYEES_FDIC">"c6355"</definedName>
    <definedName name="IQ_TOTAL_LIAB_BR" hidden="1">"c1278"</definedName>
    <definedName name="IQ_TOTAL_LIAB_EQUITY_FDIC">"c6354"</definedName>
    <definedName name="IQ_TOTAL_LIABILITIES_FDIC">"c6348"</definedName>
    <definedName name="IQ_TOTAL_OPER_EXP_BR" hidden="1">"c1284"</definedName>
    <definedName name="IQ_TOTAL_PENSION_OBLIGATION" hidden="1">"c1292"</definedName>
    <definedName name="IQ_TOTAL_RECOVERIES_FDIC">"c6622"</definedName>
    <definedName name="IQ_TOTAL_REV_BNK_FDIC">"c6786"</definedName>
    <definedName name="IQ_TOTAL_REV_BR" hidden="1">"c1303"</definedName>
    <definedName name="IQ_TOTAL_RISK_BASED_CAPITAL_RATIO_FDIC">"c6747"</definedName>
    <definedName name="IQ_TOTAL_SECURITIES_FDIC">"c6306"</definedName>
    <definedName name="IQ_TOTAL_TIME_DEPOSITS_FDIC">"c6497"</definedName>
    <definedName name="IQ_TOTAL_TIME_SAVINGS_DEPOSITS_FDIC">"c6498"</definedName>
    <definedName name="IQ_TOTAL_UNUSED_COMMITMENTS_FDIC">"c6536"</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ING_ACCOUNT_GAINS_FEES_FDIC">"c6573"</definedName>
    <definedName name="IQ_TRADING_ASSETS_FDIC">"c6328"</definedName>
    <definedName name="IQ_TRADING_LIABILITIES_FDIC">"c6344"</definedName>
    <definedName name="IQ_TRANSACTION_ACCOUNTS_FDIC">"c6544"</definedName>
    <definedName name="IQ_TREASURY_OTHER_EQUITY_BR" hidden="1">"c1314"</definedName>
    <definedName name="IQ_TREASURY_STOCK_TRANSACTIONS_FDIC">"c6501"</definedName>
    <definedName name="IQ_TWELVE_MONTHS_FIXED_AND_FLOATING_FDIC">"c6420"</definedName>
    <definedName name="IQ_TWELVE_MONTHS_MORTGAGE_PASS_THROUGHS_FDIC">"c6412"</definedName>
    <definedName name="IQ_UNDIVIDED_PROFITS_FDIC">"c6352"</definedName>
    <definedName name="IQ_UNEARN_REV_CURRENT_BR" hidden="1">"c1324"</definedName>
    <definedName name="IQ_UNEARNED_INCOME_FDIC">"c6324"</definedName>
    <definedName name="IQ_UNEARNED_INCOME_FOREIGN_FDIC">"c6385"</definedName>
    <definedName name="IQ_UNPROFITABLE_INSTITUTIONS_FDIC">"c6722"</definedName>
    <definedName name="IQ_UNUSED_LOAN_COMMITMENTS_FDIC">"c6368"</definedName>
    <definedName name="IQ_US_BRANCHES_FOREIGN_BANK_LOANS_FDIC">"c6435"</definedName>
    <definedName name="IQ_US_BRANCHES_FOREIGN_BANKS_FDIC">"c6390"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TREASURY_SECURITIES_FDIC">"c6298"</definedName>
    <definedName name="IQ_VALUATION_ALLOWANCES_FDIC">"c6400"</definedName>
    <definedName name="IQ_VC_REVENUE_FDIC">"c6667"</definedName>
    <definedName name="IQ_VOLATILE_LIABILITIES_FDIC">"c6364"</definedName>
    <definedName name="IQ_WEEK">50000</definedName>
    <definedName name="IQ_WRITTEN_OPTION_CONTRACTS_FDIC">"c6509"</definedName>
    <definedName name="IQ_WRITTEN_OPTION_CONTRACTS_FX_RISK_FDIC">"c6514"</definedName>
    <definedName name="IQ_WRITTEN_OPTION_CONTRACTS_NON_FX_IR_FDIC">"c6519"</definedName>
    <definedName name="IQ_YTD">3000</definedName>
    <definedName name="IQ_YTDMONTH" hidden="1">130000</definedName>
    <definedName name="IQB_BOOKMARK_COUNT" hidden="1">1</definedName>
    <definedName name="IQB_BOOKMARK_LOCATION_0" hidden="1">#REF!</definedName>
    <definedName name="IQRA10" hidden="1">"$A$11:$A$262"</definedName>
    <definedName name="IQRA38" hidden="1">"$A$39:$A$48"</definedName>
    <definedName name="IQRA5" hidden="1">"$A$6:$A$20"</definedName>
    <definedName name="IQRA6" hidden="1">"$A$7:$A$21"</definedName>
    <definedName name="IQRA60" hidden="1">"$A$61:$A$75"</definedName>
    <definedName name="IQRA7" hidden="1">"$A$8:$A$21"</definedName>
    <definedName name="IQRA8" hidden="1">"$A$9:$A$19"</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8" hidden="1">"$B$39:$B$48"</definedName>
    <definedName name="IQRB5" hidden="1">"$B$6:$B$20"</definedName>
    <definedName name="IQRB6" hidden="1">"$B$7:$B$21"</definedName>
    <definedName name="IQRB8" hidden="1">"$B$9:$B$19"</definedName>
    <definedName name="IQRC15" hidden="1">"$C$16:$C$20"</definedName>
    <definedName name="IQRC24" hidden="1">"$C$25:$C$29"</definedName>
    <definedName name="IQRC5" hidden="1">"$C$6:$C$20"</definedName>
    <definedName name="IQRC6" hidden="1">"$C$7:$C$21"</definedName>
    <definedName name="IQRC8" hidden="1">"$C$9:$C$19"</definedName>
    <definedName name="IQRD15" hidden="1">"$D$16:$D$17"</definedName>
    <definedName name="IQRD8" hidden="1">"$D$9:$D$19"</definedName>
    <definedName name="IQRE8" hidden="1">"$E$9:$E$19"</definedName>
    <definedName name="Irbe" hidden="1">{#N/A,#N/A,FALSE,"Pharm";#N/A,#N/A,FALSE,"WWCM"}</definedName>
    <definedName name="IRIMS">#REF!</definedName>
    <definedName name="IRR_File">"IRR_Calc"</definedName>
    <definedName name="irr_switch">#REF!</definedName>
    <definedName name="IRRarea">"t(IRR!$B$102):t(IRR!$E$102)"</definedName>
    <definedName name="IS">#REF!</definedName>
    <definedName name="ISblnHideRow">#N/A</definedName>
    <definedName name="IsColHidden" hidden="1">FALSE</definedName>
    <definedName name="IsLTMColHidden" hidden="1">FALSE</definedName>
    <definedName name="Issue" hidden="1">"BL7FKFTY6NDALOTZZF8PFRAS6"</definedName>
    <definedName name="Issue2" hidden="1">{#N/A,#N/A,FALSE,"CDA Plan"}</definedName>
    <definedName name="italianmarbler_1">NA()</definedName>
    <definedName name="ItemNum_2">"#REF!"</definedName>
    <definedName name="ItemNum_3">"#REF!"</definedName>
    <definedName name="ItemNum_4">"#REF!"</definedName>
    <definedName name="ItemNum_5">"#REF!"</definedName>
    <definedName name="ItemNum_6">"#REF!"</definedName>
    <definedName name="ItemNum_7">"#REF!"</definedName>
    <definedName name="iu" hidden="1">{#N/A,#N/A,TRUE,"Staffnos &amp; cost"}</definedName>
    <definedName name="iuh">"#REF!"</definedName>
    <definedName name="iuh_1">"#REF!"</definedName>
    <definedName name="iuh_2">"#REF!"</definedName>
    <definedName name="iuh_3">"#REF!"</definedName>
    <definedName name="iuh_4">"#REF!"</definedName>
    <definedName name="iuh_5">"#REF!"</definedName>
    <definedName name="iungds" hidden="1">{"detail",#N/A,FALSE,"mfg";"summary",#N/A,FALSE,"mfg"}</definedName>
    <definedName name="iuoi" hidden="1">{#N/A,#N/A,FALSE,"Balance Sheet";#N/A,#N/A,FALSE,"Income Statement";#N/A,#N/A,FALSE,"Changes in Financial Position"}</definedName>
    <definedName name="iuyt" hidden="1">{"AS REP",#N/A,FALSE,"EEFSNAP2";"PROP",#N/A,FALSE,"EEFSNAP2";"RISKS",#N/A,FALSE,"EEFSNAP2";"VIEW ALL",#N/A,FALSE,"EEFSNAP2"}</definedName>
    <definedName name="iven">#REF!</definedName>
    <definedName name="iw">#REF!</definedName>
    <definedName name="iy" hidden="1">{"AS REP",#N/A,FALSE,"EEFSNAP2";"PROP",#N/A,FALSE,"EEFSNAP2";"RISKS",#N/A,FALSE,"EEFSNAP2";"VIEW ALL",#N/A,FALSE,"EEFSNAP2"}</definedName>
    <definedName name="j" hidden="1">{#N/A,#N/A,FALSE,"REPORT"}</definedName>
    <definedName name="J_2">"#REF!"</definedName>
    <definedName name="J_3">"#REF!"</definedName>
    <definedName name="J_4">"#REF!"</definedName>
    <definedName name="J_5">"#REF!"</definedName>
    <definedName name="J_6">"#REF!"</definedName>
    <definedName name="J_7">"#REF!"</definedName>
    <definedName name="Jan">"Walldorf_CY_BS"</definedName>
    <definedName name="Jani_CY01">#REF!</definedName>
    <definedName name="Jani_Expense">#REF!</definedName>
    <definedName name="Jani_Provision">#REF!</definedName>
    <definedName name="Jani_Total">#REF!</definedName>
    <definedName name="JANPLAN">#REF!</definedName>
    <definedName name="JANV" hidden="1">{#N/A,#N/A,FALSE,"Tabl. H1";#N/A,#N/A,FALSE,"Tabl. H2"}</definedName>
    <definedName name="japafx">" "</definedName>
    <definedName name="Jay" hidden="1">{#N/A,#N/A,FALSE,"gc (2)"}</definedName>
    <definedName name="jcb">#REF!</definedName>
    <definedName name="jdarea">#REF!</definedName>
    <definedName name="jdk" hidden="1">{"Geo - Detail Detail",#N/A,FALSE,"Geo View";"Geo - Detail",#N/A,FALSE,"Geo View";"Dept - Detail Detail",#N/A,FALSE,"Dept View";"Dept - Detail",#N/A,FALSE,"Dept View"}</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udi" hidden="1">{#N/A,#N/A,FALSE,"Tabl. A1";#N/A,#N/A,FALSE,"Tabl. A1 b";#N/A,#N/A,FALSE,"Tabl. A2";#N/A,#N/A,FALSE,"Tabl. A2-1";#N/A,#N/A,FALSE,"Tabl. A2-2"}</definedName>
    <definedName name="jf" hidden="1">{"Geo - Detail Detail",#N/A,FALSE,"Geo View";"Geo - Detail",#N/A,FALSE,"Geo View";"Dept - Detail Detail",#N/A,FALSE,"Dept View";"Dept - Detail",#N/A,FALSE,"Dept View"}</definedName>
    <definedName name="jfdsir" hidden="1">{"YTD",#N/A,FALSE,"SUM"}</definedName>
    <definedName name="jffhd" hidden="1">{#N/A,#N/A,TRUE,"Staffnos &amp; cost"}</definedName>
    <definedName name="jg"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hjg" hidden="1">{#N/A,#N/A,FALSE,"Produkte Erw.";#N/A,#N/A,FALSE,"Produkte Plan";#N/A,#N/A,FALSE,"Leistungen Erw.";#N/A,#N/A,FALSE,"Leistungen Plan";#N/A,#N/A,FALSE,"KA Allg.Kosten (2)";#N/A,#N/A,FALSE,"KA All.Kosten"}</definedName>
    <definedName name="jghjhlldc" hidden="1">{#N/A,#N/A,FALSE,"Umsatz CH";#N/A,#N/A,FALSE,"ER CH";#N/A,#N/A,FALSE,"EA CH (2) ";#N/A,#N/A,FALSE,"EA CH";#N/A,#N/A,FALSE,"EA CH (3) ";#N/A,#N/A,FALSE,"EA CH (4)";#N/A,#N/A,FALSE,"KA CH";#N/A,#N/A,FALSE,"KA CH  (2)";#N/A,#N/A,FALSE,"KA CH  (3)";#N/A,#N/A,FALSE,"KA CH (4)"}</definedName>
    <definedName name="JHDFJDHFDHFDHF" hidden="1">{#N/A,#N/A,FALSE,"Aging Summary";#N/A,#N/A,FALSE,"Ratio Analysis";#N/A,#N/A,FALSE,"Test 120 Day Accts";#N/A,#N/A,FALSE,"Tickmarks"}</definedName>
    <definedName name="jhfjhfhjf" hidden="1">{#N/A,#N/A,FALSE,"PMTABB";#N/A,#N/A,FALSE,"PMTABB"}</definedName>
    <definedName name="jhgbggvjb">{#N/A,#N/A,TRUE,"Staffnos &amp; cost"}</definedName>
    <definedName name="JHGF" hidden="1">{#N/A,#N/A,FALSE,"Tabl. A1";#N/A,#N/A,FALSE,"Tabl. A1 b";#N/A,#N/A,FALSE,"Tabl. A2";#N/A,#N/A,FALSE,"Tabl. A2-1";#N/A,#N/A,FALSE,"Tabl. A2-2"}</definedName>
    <definedName name="JHGFDS" hidden="1">{#N/A,#N/A,FALSE,"Tabl. G1";#N/A,#N/A,FALSE,"Tabl. G2"}</definedName>
    <definedName name="jhgfes" hidden="1">{"'7'!$B$15:$D$32"}</definedName>
    <definedName name="jhhgjh" hidden="1">{#N/A,#N/A,FALSE,"KA CH  (2)"}</definedName>
    <definedName name="jh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dhfgfdhfg" hidden="1">{#N/A,#N/A,FALSE,"Aging Summary";#N/A,#N/A,FALSE,"Ratio Analysis";#N/A,#N/A,FALSE,"Test 120 Day Accts";#N/A,#N/A,FALSE,"Tickmarks"}</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k" hidden="1">{#N/A,#N/A,FALSE,"Tabl. D1";#N/A,#N/A,FALSE,"Tabl. D1 b";#N/A,#N/A,FALSE,"Tabl. D2";#N/A,#N/A,FALSE,"Tabl. D2 b";#N/A,#N/A,FALSE,"Tabl. D3";#N/A,#N/A,FALSE,"Tabl. D4";#N/A,#N/A,FALSE,"Tabl. D5"}</definedName>
    <definedName name="jhll" hidden="1">{#N/A,#N/A,FALSE,"PMW Gruppe 99_98";#N/A,#N/A,FALSE,"PMW KG 98_99";#N/A,#N/A,FALSE,"PMW Inc. 99_98";#N/A,#N/A,FALSE,"PMW VTECH 99_98";#N/A,#N/A,FALSE,"PMW Thail. 99_98";#N/A,#N/A,FALSE,"PMW Canada 99_98";#N/A,#N/A,FALSE,"Währungsabw. 99_98"}</definedName>
    <definedName name="jhsk" hidden="1">{#N/A,#N/A,FALSE,"COMP"}</definedName>
    <definedName name="jhu" hidden="1">{#N/A,"PURADD",FALSE,"Business Analysis";#N/A,"PURSPP",FALSE,"Business Analysis";#N/A,"CTGIND",FALSE,"Business Analysis";#N/A,"PURCHM",FALSE,"Business Analysis";#N/A,"SPADD",FALSE,"Business Analysis";#N/A,"EPOXY",FALSE,"Business Analysis";#N/A,"PURPER",FALSE,"Business Analysis"}</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j" hidden="1">{#N/A,#N/A,FALSE,"Rohstoffnotierungen";#N/A,#N/A,FALSE,"ER HCST Erw. 99";#N/A,#N/A,FALSE,"ER HCST Plan 00";#N/A,#N/A,FALSE,"Umsatz KG";#N/A,#N/A,FALSE,"ER HCST";#N/A,#N/A,FALSE,"EA ST (2)";#N/A,#N/A,FALSE,"EA ST";#N/A,#N/A,FALSE,"EA ST (3)";#N/A,#N/A,FALSE,"EA ST (4)";#N/A,#N/A,FALSE,"KA ST  (2)";#N/A,#N/A,FALSE,"KA ST";#N/A,#N/A,FALSE,"KA ST  (3)";#N/A,#N/A,FALSE,"KA ST (4)"}</definedName>
    <definedName name="jj.l" hidden="1">{#N/A,#N/A,FALSE,"Umsatz EO BP";#N/A,#N/A,FALSE,"Umsatz EO OP";#N/A,#N/A,FALSE,"ER EO BP";#N/A,#N/A,FALSE,"ER EO OP";#N/A,#N/A,FALSE,"EA EO (2)";#N/A,#N/A,FALSE,"EA EO";#N/A,#N/A,FALSE,"EA EO (3)";#N/A,#N/A,FALSE,"EA EO (4)";#N/A,#N/A,FALSE,"KA EO  (2)";#N/A,#N/A,FALSE,"KA EO";#N/A,#N/A,FALSE,"KA EO  (3)";#N/A,#N/A,FALSE,"KA EO (4)"}</definedName>
    <definedName name="jj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g.lllll" hidden="1">{#N/A,#N/A,FALSE,"Umsatz HM";#N/A,#N/A,FALSE,"ER HM";#N/A,#N/A,FALSE,"EA HM  (2)";#N/A,#N/A,FALSE,"EA HM ";#N/A,#N/A,FALSE,"EA HM  (4)";#N/A,#N/A,FALSE,"EA HM  (3)";#N/A,#N/A,FALSE,"KA HM  (2)";#N/A,#N/A,FALSE,"KA HM";#N/A,#N/A,FALSE,"KA HM  (3)";#N/A,#N/A,FALSE,"KA HM (4)"}</definedName>
    <definedName name="jjj" hidden="1">{#N/A,#N/A,FALSE,"REPORT"}</definedName>
    <definedName name="jjjj" hidden="1">{#N/A,#N/A,FALSE,"Staffnos &amp; cost"}</definedName>
    <definedName name="jjjj_1" hidden="1">{#N/A,#N/A,FALSE,"Staffnos &amp; cost"}</definedName>
    <definedName name="jjkk" hidden="1">{#N/A,#N/A,TRUE,"Summary - 1";#N/A,#N/A,TRUE,"Summary - 2";#N/A,#N/A,TRUE,"Group Analysis";#N/A,#N/A,TRUE,"FM Analysis";#N/A,#N/A,TRUE,"T&amp;M-Onsite";#N/A,#N/A,TRUE,"FP-Onsite";#N/A,#N/A,TRUE,"NB-Onsite";#N/A,#N/A,TRUE,"T&amp;M-Offshore";#N/A,#N/A,TRUE,"FP-Offshore";#N/A,#N/A,TRUE,"Appendix-A";#N/A,#N/A,TRUE,"Appendix-B"}</definedName>
    <definedName name="jk" hidden="1">{#N/A,#N/A,FALSE,"FY97";#N/A,#N/A,FALSE,"FY98";#N/A,#N/A,FALSE,"FY99";#N/A,#N/A,FALSE,"FY00";#N/A,#N/A,FALSE,"FY01"}</definedName>
    <definedName name="jkdflgidjlkp">City&amp;" "&amp;State</definedName>
    <definedName name="jkdsfkasf" hidden="1">{#N/A,#N/A,FALSE,"Aging Summary";#N/A,#N/A,FALSE,"Ratio Analysis";#N/A,#N/A,FALSE,"Test 120 Day Accts";#N/A,#N/A,FALSE,"Tickmarks"}</definedName>
    <definedName name="jkfgdfa"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jkiu" hidden="1">{#N/A,"PURCHM",FALSE,"Business Analysis";#N/A,"SPADD",FALSE,"Business Analysis"}</definedName>
    <definedName name="jkjhk" hidden="1">{#N/A,#N/A,FALSE,"Produkte Erw.";#N/A,#N/A,FALSE,"Produkte Plan";#N/A,#N/A,FALSE,"Leistungen Erw.";#N/A,#N/A,FALSE,"Leistungen Plan";#N/A,#N/A,FALSE,"KA Allg.Kosten (2)";#N/A,#N/A,FALSE,"KA All.Kosten"}</definedName>
    <definedName name="jkj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jkj_1">"#REF!"</definedName>
    <definedName name="jkjkjkj_2">"#REF!"</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l" hidden="1">{#N/A,#N/A,FALSE,"REPORT"}</definedName>
    <definedName name="jklj" hidden="1">{"TOTAL",#N/A,FALSE,"A";"FISCAL94",#N/A,FALSE,"A";"FISCAL95",#N/A,FALSE,"A";"FISCAL96",#N/A,FALSE,"A";"misc page",#N/A,FALSE,"A"}</definedName>
    <definedName name="jklk" hidden="1">{#N/A,#N/A,FALSE,"Umsatz OK";#N/A,#N/A,FALSE,"ER OK ";#N/A,#N/A,FALSE,"EA OK (2)";#N/A,#N/A,FALSE,"EA OK";#N/A,#N/A,FALSE,"EA OK (3)";#N/A,#N/A,FALSE,"EA OK (4)";#N/A,#N/A,FALSE,"KA OK  (2)";#N/A,#N/A,FALSE,"KA OK";#N/A,#N/A,FALSE,"KA OK  (3)";#N/A,#N/A,FALSE,"KA OK (4)"}</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m" hidden="1">{"'7'!$B$15:$D$32"}</definedName>
    <definedName name="jkwsd" hidden="1">{"detail",#N/A,FALSE,"mfg";"summary",#N/A,FALSE,"mfg"}</definedName>
    <definedName name="jlg">#REF!</definedName>
    <definedName name="JLW">#REF!</definedName>
    <definedName name="jnbid" hidden="1">{"detail",#N/A,FALSE,"mfg";"summary",#N/A,FALSE,"mfg"}</definedName>
    <definedName name="Job.NoAKD1" hidden="1">{#N/A,#N/A,FALSE,"CMN_FE"}</definedName>
    <definedName name="Job_code">#REF!</definedName>
    <definedName name="JobID_2">"#REF!"</definedName>
    <definedName name="JobID_3">"#REF!"</definedName>
    <definedName name="JobID_4">"#REF!"</definedName>
    <definedName name="JobID_5">"#REF!"</definedName>
    <definedName name="JobID_6">"#REF!"</definedName>
    <definedName name="JobID_7">"#REF!"</definedName>
    <definedName name="jomn" hidden="1">{"pro_view",#N/A,FALSE,"EEFSNAP2";"rep_view",#N/A,FALSE,"EEFSNAP2"}</definedName>
    <definedName name="jöuiuiuzi" hidden="1">{#N/A,#N/A,FALSE,"Umsatz 99";#N/A,#N/A,FALSE,"ER 99 "}</definedName>
    <definedName name="JRN" hidden="1">{#N/A,#N/A,FALSE,"Tabl. FB300";#N/A,#N/A,FALSE,"Tabl. FB350";#N/A,#N/A,FALSE,"Tabl. FB400";#N/A,#N/A,FALSE,"Tabl. FB500";#N/A,#N/A,FALSE,"Tabl. FS090"}</definedName>
    <definedName name="ju" hidden="1">{#N/A,#N/A,TRUE,"Front";#N/A,#N/A,TRUE,"Simple Letter";#N/A,#N/A,TRUE,"Inside";#N/A,#N/A,TRUE,"Contents";#N/A,#N/A,TRUE,"Basis";#N/A,#N/A,TRUE,"Inclusions";#N/A,#N/A,TRUE,"Exclusions";#N/A,#N/A,TRUE,"Areas";#N/A,#N/A,TRUE,"Summary";#N/A,#N/A,TRUE,"Detail"}</definedName>
    <definedName name="juddf" hidden="1">{#N/A,#N/A,FALSE,"Staffnos &amp; cost"}</definedName>
    <definedName name="judy" hidden="1">{#N/A,#N/A,FALSE,"Pharm";#N/A,#N/A,FALSE,"WWCM"}</definedName>
    <definedName name="judy1" hidden="1">{#N/A,#N/A,FALSE,"Pharm";#N/A,#N/A,FALSE,"WWCM"}</definedName>
    <definedName name="jui" hidden="1">{"YD OTHER",#N/A,FALSE,"YTD"}</definedName>
    <definedName name="juio" hidden="1">{"Page 1",#N/A,FALSE,"OpExJanVsPY";"Page 2",#N/A,FALSE,"OpExJanVsPY"}</definedName>
    <definedName name="JUL">#REF!</definedName>
    <definedName name="Jully">#REF!</definedName>
    <definedName name="JULPLAN">#REF!</definedName>
    <definedName name="JULYREPORT">#N/A</definedName>
    <definedName name="jun">#REF!</definedName>
    <definedName name="JUNPLAN">#REF!</definedName>
    <definedName name="JY" hidden="1">{#N/A,#N/A,FALSE,"Part ABC"}</definedName>
    <definedName name="k"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1_table_2">"#REF!"</definedName>
    <definedName name="k1_table_3">"#REF!"</definedName>
    <definedName name="k1_table_4">"#REF!"</definedName>
    <definedName name="k1_table_5">"#REF!"</definedName>
    <definedName name="k1_table_6">"#REF!"</definedName>
    <definedName name="k1_table_7">"#REF!"</definedName>
    <definedName name="k1x_1">NA()</definedName>
    <definedName name="k1x_2">NA()</definedName>
    <definedName name="k1x_3">NA()</definedName>
    <definedName name="k1x_4">NA()</definedName>
    <definedName name="k1x_5">NA()</definedName>
    <definedName name="k1x_6">NA()</definedName>
    <definedName name="k1x_7">NA()</definedName>
    <definedName name="k1y_1">NA()</definedName>
    <definedName name="k1y_2">NA()</definedName>
    <definedName name="k1y_3">NA()</definedName>
    <definedName name="k1y_4">NA()</definedName>
    <definedName name="k1y_5">NA()</definedName>
    <definedName name="k1y_6">NA()</definedName>
    <definedName name="k1y_7">NA()</definedName>
    <definedName name="K2_WBEVMODE" hidden="1">-1</definedName>
    <definedName name="k2x_1">NA()</definedName>
    <definedName name="k2x_2">NA()</definedName>
    <definedName name="k2x_3">NA()</definedName>
    <definedName name="k2x_4">NA()</definedName>
    <definedName name="k2x_5">NA()</definedName>
    <definedName name="k2y_1">NA()</definedName>
    <definedName name="k2y_2">NA()</definedName>
    <definedName name="k2y_3">NA()</definedName>
    <definedName name="k2y_4">NA()</definedName>
    <definedName name="k2y_5">NA()</definedName>
    <definedName name="kajsdkjfkajsdfjasdfkjasjdkf" hidden="1">3</definedName>
    <definedName name="kamal" hidden="1">{#N/A,#N/A,FALSE,"Staffnos &amp; cost"}</definedName>
    <definedName name="kamlesh.xls"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kaori">#REF!</definedName>
    <definedName name="kazuyo">#REF!</definedName>
    <definedName name="kcong">#REF!</definedName>
    <definedName name="kcuf" hidden="1">{"SUMMARY",#N/A,TRUE,"SUMMARY";"compare",#N/A,TRUE,"Vs. Bus Plan";"ratios",#N/A,TRUE,"Ratios";"REVENUE",#N/A,TRUE,"Revenue";"expenses",#N/A,TRUE,"1996 budget";"payroll",#N/A,TRUE,"Payroll"}</definedName>
    <definedName name="KD_date_1">#REF!</definedName>
    <definedName name="KD_date_2">#REF!</definedName>
    <definedName name="KD_date_3">#REF!</definedName>
    <definedName name="KD_date_4">#REF!</definedName>
    <definedName name="KD_date_5">#REF!</definedName>
    <definedName name="KD_date_6">#REF!</definedName>
    <definedName name="KD_date_7">#REF!</definedName>
    <definedName name="KD_date_8">#REF!</definedName>
    <definedName name="KD_desc_1">#REF!</definedName>
    <definedName name="KD_desc_2">#REF!</definedName>
    <definedName name="KD_desc_3">#REF!</definedName>
    <definedName name="KD_desc_4">#REF!</definedName>
    <definedName name="KD_desc_5">#REF!</definedName>
    <definedName name="KD_desc_6">#REF!</definedName>
    <definedName name="KD_desc_7">#REF!</definedName>
    <definedName name="KD_desc_8">#REF!</definedName>
    <definedName name="kda">#N/A</definedName>
    <definedName name="KDAMA">#N/A</definedName>
    <definedName name="kdjfkasf" hidden="1">"AS2DocumentBrowse"</definedName>
    <definedName name="kdl" hidden="1">{#N/A,#N/A,FALSE,"COMP"}</definedName>
    <definedName name="keith">#N/A</definedName>
    <definedName name="keith1">#N/A</definedName>
    <definedName name="keith2">#N/A</definedName>
    <definedName name="KEY">#REF!</definedName>
    <definedName name="kh"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ac">2</definedName>
    <definedName name="KHJ">City&amp;" "&amp;State</definedName>
    <definedName name="Kiem_tra_trung_ten">#REF!</definedName>
    <definedName name="kil" hidden="1">{#N/A,#N/A,TRUE,"Front";#N/A,#N/A,TRUE,"Simple Letter";#N/A,#N/A,TRUE,"Inside";#N/A,#N/A,TRUE,"Contents";#N/A,#N/A,TRUE,"Basis";#N/A,#N/A,TRUE,"Inclusions";#N/A,#N/A,TRUE,"Exclusions";#N/A,#N/A,TRUE,"Areas";#N/A,#N/A,TRUE,"Summary";#N/A,#N/A,TRUE,"Detail"}</definedName>
    <definedName name="king_1">NA()</definedName>
    <definedName name="king_2">NA()</definedName>
    <definedName name="king_3">NA()</definedName>
    <definedName name="kinjs" hidden="1">{"detail",#N/A,FALSE,"mfg";"summary",#N/A,FALSE,"mfg"}</definedName>
    <definedName name="kip" hidden="1">{"detail",#N/A,FALSE,"mfg";"summary",#N/A,FALSE,"mfg"}</definedName>
    <definedName name="kjf" hidden="1">{#N/A,#N/A,TRUE,"Staffnos &amp; cost"}</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NA()</definedName>
    <definedName name="kjh_1">NA()</definedName>
    <definedName name="kjh_2">NA()</definedName>
    <definedName name="kjh_3">NA()</definedName>
    <definedName name="kjhg" hidden="1">{"ICD Details",#N/A,FALSE,"Current Yr";"ICD Details",#N/A,FALSE,"Budget";"ICD Details",#N/A,FALSE,"Prior Year"}</definedName>
    <definedName name="kjip" hidden="1">{"detail",#N/A,FALSE,"mfg";"summary",#N/A,FALSE,"mfg"}</definedName>
    <definedName name="kjk.l" hidden="1">{#N/A,#N/A,FALSE,"Produkte Erw.";#N/A,#N/A,FALSE,"Produkte Plan";#N/A,#N/A,FALSE,"Leistungen Erw.";#N/A,#N/A,FALSE,"Leistungen Plan";#N/A,#N/A,FALSE,"KA Allg.Kosten (2)";#N/A,#N/A,FALSE,"KA All.Kosten"}</definedName>
    <definedName name="kjkjgjhfydydhfdh">#N/A</definedName>
    <definedName name="kjljkölhklh" hidden="1">{#N/A,#N/A,FALSE,"Produkte Erw.";#N/A,#N/A,FALSE,"Produkte Plan";#N/A,#N/A,FALSE,"Leistungen Erw.";#N/A,#N/A,FALSE,"Leistungen Plan";#N/A,#N/A,FALSE,"KA Allg.Kosten (2)";#N/A,#N/A,FALSE,"KA All.Kosten"}</definedName>
    <definedName name="kju" hidden="1">{#N/A,#N/A,TRUE,"Front";#N/A,#N/A,TRUE,"Simple Letter";#N/A,#N/A,TRUE,"Inside";#N/A,#N/A,TRUE,"Contents";#N/A,#N/A,TRUE,"Basis";#N/A,#N/A,TRUE,"Inclusions";#N/A,#N/A,TRUE,"Exclusions";#N/A,#N/A,TRUE,"Areas";#N/A,#N/A,TRUE,"Summary";#N/A,#N/A,TRUE,"Detail"}</definedName>
    <definedName name="KK" hidden="1">{#N/A,"PURCHM",FALSE,"Business Analysis";#N/A,"SPADD",FALSE,"Business Analysis"}</definedName>
    <definedName name="kk.l" hidden="1">{#N/A,#N/A,FALSE,"Produkte Erw.";#N/A,#N/A,FALSE,"Produkte Plan";#N/A,#N/A,FALSE,"Leistungen Erw.";#N/A,#N/A,FALSE,"Leistungen Plan";#N/A,#N/A,FALSE,"KA Allg.Kosten (2)";#N/A,#N/A,FALSE,"KA All.Kosten"}</definedName>
    <definedName name="kk_2">"#REF!"</definedName>
    <definedName name="kk_3">"#REF!"</definedName>
    <definedName name="kk_4">"#REF!"</definedName>
    <definedName name="kk_5">"#REF!"</definedName>
    <definedName name="kk_6">"#REF!"</definedName>
    <definedName name="kk_7">"#REF!"</definedName>
    <definedName name="kkk" hidden="1">{#N/A,#N/A,FALSE,"Pharm";#N/A,#N/A,FALSE,"WWCM"}</definedName>
    <definedName name="kkk.llll" hidden="1">{#N/A,#N/A,FALSE,"Umsatz CH";#N/A,#N/A,FALSE,"ER CH";#N/A,#N/A,FALSE,"EA CH (2) ";#N/A,#N/A,FALSE,"EA CH";#N/A,#N/A,FALSE,"EA CH (3) ";#N/A,#N/A,FALSE,"EA CH (4)";#N/A,#N/A,FALSE,"KA CH";#N/A,#N/A,FALSE,"KA CH  (2)";#N/A,#N/A,FALSE,"KA CH  (3)";#N/A,#N/A,FALSE,"KA CH (4)"}</definedName>
    <definedName name="kkkk.llll" hidden="1">{#N/A,#N/A,FALSE,"Umsatz 99";#N/A,#N/A,FALSE,"ER 99 "}</definedName>
    <definedName name="kkkkkkk"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kl" hidden="1">{#N/A,#N/A,FALSE,"FY97";#N/A,#N/A,FALSE,"FY98";#N/A,#N/A,FALSE,"FY99";#N/A,#N/A,FALSE,"FY00";#N/A,#N/A,FALSE,"FY01"}</definedName>
    <definedName name="KLD" hidden="1">{#N/A,#N/A,FALSE,"Tabl. A1";#N/A,#N/A,FALSE,"Tabl. A1 b";#N/A,#N/A,FALSE,"Tabl. A2";#N/A,#N/A,FALSE,"Tabl. A2-1";#N/A,#N/A,FALSE,"Tabl. A2-2"}</definedName>
    <definedName name="KLE" hidden="1">{#N/A,#N/A,FALSE,"Tabl. H1";#N/A,#N/A,FALSE,"Tabl. H2"}</definedName>
    <definedName name="kljk" hidden="1">{#N/A,#N/A,FALSE,"Umsatz CH";#N/A,#N/A,FALSE,"ER CH";#N/A,#N/A,FALSE,"EA CH (2) ";#N/A,#N/A,FALSE,"EA CH";#N/A,#N/A,FALSE,"EA CH (3) ";#N/A,#N/A,FALSE,"EA CH (4)";#N/A,#N/A,FALSE,"KA CH";#N/A,#N/A,FALSE,"KA CH  (2)";#N/A,#N/A,FALSE,"KA CH  (3)";#N/A,#N/A,FALSE,"KA CH (4)"}</definedName>
    <definedName name="kljklkj" hidden="1">{#N/A,#N/A,FALSE,"KA CH  (2)"}</definedName>
    <definedName name="klk" hidden="1">{#N/A,#N/A,FALSE,"Umsatz CH";#N/A,#N/A,FALSE,"ER CH";#N/A,#N/A,FALSE,"EA CH (2) ";#N/A,#N/A,FALSE,"EA CH";#N/A,#N/A,FALSE,"EA CH (3) ";#N/A,#N/A,FALSE,"EA CH (4)";#N/A,#N/A,FALSE,"KA CH";#N/A,#N/A,FALSE,"KA CH  (2)";#N/A,#N/A,FALSE,"KA CH  (3)";#N/A,#N/A,FALSE,"KA CH (4)"}</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K" hidden="1">{#N/A,#N/A,FALSE,"OSBL"}</definedName>
    <definedName name="KLKK_1" hidden="1">{#N/A,#N/A,FALSE,"OSBL"}</definedName>
    <definedName name="KLKK_2" hidden="1">{#N/A,#N/A,FALSE,"OSBL"}</definedName>
    <definedName name="KLKK_3" hidden="1">{#N/A,#N/A,FALSE,"OSBL"}</definedName>
    <definedName name="KLKK_4" hidden="1">{#N/A,#N/A,FALSE,"OSBL"}</definedName>
    <definedName name="klklkl" hidden="1">{#N/A,#N/A,FALSE,"Umsatz 99";#N/A,#N/A,FALSE,"ER 99 "}</definedName>
    <definedName name="klñ" hidden="1">{"AS REP",#N/A,FALSE,"EEFSNAP2";"PROP",#N/A,FALSE,"EEFSNAP2";"RISKS",#N/A,FALSE,"EEFSNAP2";"VIEW ALL",#N/A,FALSE,"EEFSNAP2"}</definedName>
    <definedName name="km" hidden="1">{"pro_view",#N/A,FALSE,"EEFSNAP2";"rep_view",#N/A,FALSE,"EEFSNAP2"}</definedName>
    <definedName name="kmjnh" hidden="1">{#N/A,#N/A,FALSE,"COMP"}</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l" hidden="1">{#N/A,#N/A,FALSE,"Staffnos &amp; cost"}</definedName>
    <definedName name="kota_2">NA()</definedName>
    <definedName name="kota_3">NA()</definedName>
    <definedName name="kotahr_2">"#REF!"</definedName>
    <definedName name="kotahr_3">"#REF!"</definedName>
    <definedName name="kotahr_4">"#REF!"</definedName>
    <definedName name="kotahr_5">"#REF!"</definedName>
    <definedName name="kotahr_6">"#REF!"</definedName>
    <definedName name="kotahr_7">"#REF!"</definedName>
    <definedName name="kotaunpolr_2">NA()</definedName>
    <definedName name="kotaunpolr_3">NA()</definedName>
    <definedName name="kotaunpolr_4">NA()</definedName>
    <definedName name="kotaunpolr_5">NA()</definedName>
    <definedName name="kotaunpolr_6">NA()</definedName>
    <definedName name="kotaunpolr_7">NA()</definedName>
    <definedName name="kou" hidden="1">{"detail",#N/A,FALSE,"mfg";"summary",#N/A,FALSE,"mfg"}</definedName>
    <definedName name="kp">#N/A</definedName>
    <definedName name="kp_16">#N/A</definedName>
    <definedName name="kp_3">#N/A</definedName>
    <definedName name="kppl">#REF!</definedName>
    <definedName name="kpplratio">#REF!</definedName>
    <definedName name="kr">#N/A</definedName>
    <definedName name="kslkjkjlkjd" hidden="1">{#N/A,#N/A,FALSE,"REPORT"}</definedName>
    <definedName name="KUULSD" hidden="1">{#N/A,#N/A,FALSE,"COMP"}</definedName>
    <definedName name="Kuyan">{"Client Name or Project Name"}</definedName>
    <definedName name="L" hidden="1">{"PAGE 1",#N/A,FALSE,"COS Excluding Geismar";"PAGE 2",#N/A,FALSE,"COS Excluding Geismar";"PAGE 3",#N/A,FALSE,"COS Excluding Geismar"}</definedName>
    <definedName name="L_2">"#REF!"</definedName>
    <definedName name="L_3">"#REF!"</definedName>
    <definedName name="L_4">"#REF!"</definedName>
    <definedName name="L_5">"#REF!"</definedName>
    <definedName name="L_6">"#REF!"</definedName>
    <definedName name="L_7">"#REF!"</definedName>
    <definedName name="L_AcctDes">#REF!</definedName>
    <definedName name="L_Adjust">#REF!</definedName>
    <definedName name="L_Adjust_GT">#REF!</definedName>
    <definedName name="L_AJE_Tot">#REF!</definedName>
    <definedName name="L_AJE_Tot_GT">#REF!</definedName>
    <definedName name="L_CompNum">#REF!</definedName>
    <definedName name="L_CY_Beg">#REF!</definedName>
    <definedName name="L_CY_Beg_GT">#REF!</definedName>
    <definedName name="L_CY_End">#REF!</definedName>
    <definedName name="L_CY_End_GT">#REF!</definedName>
    <definedName name="L_GrpNum">#REF!</definedName>
    <definedName name="L_Headings">#REF!</definedName>
    <definedName name="L_KeyValue">#REF!</definedName>
    <definedName name="L_PY_End">#REF!</definedName>
    <definedName name="L_PY_End_GT">#REF!</definedName>
    <definedName name="L_RJE_Tot">#REF!</definedName>
    <definedName name="L_RJE_Tot_GT">#REF!</definedName>
    <definedName name="L_RowNum">#REF!</definedName>
    <definedName name="LAComms">#REF!</definedName>
    <definedName name="LADepr">#REF!</definedName>
    <definedName name="LADP">#REF!</definedName>
    <definedName name="LAIncent">#REF!</definedName>
    <definedName name="LAIncentives">#REF!</definedName>
    <definedName name="lakh">1/100000</definedName>
    <definedName name="LAKHS">1/100000</definedName>
    <definedName name="LAMaint">#REF!</definedName>
    <definedName name="lan">#REF!</definedName>
    <definedName name="Land_adv_2">"#REF!"</definedName>
    <definedName name="Land_adv_3">"#REF!"</definedName>
    <definedName name="Land_adv_4">"#REF!"</definedName>
    <definedName name="Land_adv_5">"#REF!"</definedName>
    <definedName name="Land_adv_6">"#REF!"</definedName>
    <definedName name="Land_adv_7">"#REF!"</definedName>
    <definedName name="Land_details">#REF!</definedName>
    <definedName name="lanes">#REF!</definedName>
    <definedName name="lapf_2">NA()</definedName>
    <definedName name="lapf_3">NA()</definedName>
    <definedName name="lapf_4">NA()</definedName>
    <definedName name="lapf_5">NA()</definedName>
    <definedName name="lapf_6">NA()</definedName>
    <definedName name="lapf_7">NA()</definedName>
    <definedName name="lapst_2">"#REF!"</definedName>
    <definedName name="lapst_3">"#REF!"</definedName>
    <definedName name="lapst_4">"#REF!"</definedName>
    <definedName name="lapst_5">"#REF!"</definedName>
    <definedName name="lapst_6">"#REF!"</definedName>
    <definedName name="lapst_7">"#REF!"</definedName>
    <definedName name="LAS" hidden="1">"(GMT+02:00)08/11/2011 10:59:44"</definedName>
    <definedName name="last">#REF!</definedName>
    <definedName name="Last_quality_result">#REF!</definedName>
    <definedName name="Last_quality_review">#REF!</definedName>
    <definedName name="Last_Row">IF(Values_Entered,Header_Row+Number_of_Payments,Header_Row)</definedName>
    <definedName name="LBODATE">#REF!</definedName>
    <definedName name="LBODATE1">#REF!</definedName>
    <definedName name="LC" hidden="1">{#N/A,#N/A,FALSE,"PMTABB";#N/A,#N/A,FALSE,"PMTABB"}</definedName>
    <definedName name="LC_2">"#REF!"</definedName>
    <definedName name="LC_3">"#REF!"</definedName>
    <definedName name="LC_4">"#REF!"</definedName>
    <definedName name="LC_5">"#REF!"</definedName>
    <definedName name="LC_6">"#REF!"</definedName>
    <definedName name="LC_7">"#REF!"</definedName>
    <definedName name="LC5_total">#REF!</definedName>
    <definedName name="LC6_total">#REF!</definedName>
    <definedName name="ldkeir" hidden="1">{#N/A,"PURCHM",FALSE,"Business Analysis";#N/A,"SPADD",FALSE,"Business Analysis"}</definedName>
    <definedName name="ldskfjsl" hidden="1">{#N/A,#N/A,FALSE,"Model";#N/A,#N/A,FALSE,"Division"}</definedName>
    <definedName name="LEAD">#REF!</definedName>
    <definedName name="Lead_Source">#REF!</definedName>
    <definedName name="Lease">#REF!</definedName>
    <definedName name="lee" hidden="1">{#N/A,#N/A,FALSE,"Pharm";#N/A,#N/A,FALSE,"WWCM"}</definedName>
    <definedName name="lef_2">"#REF!"</definedName>
    <definedName name="lef_3">"#REF!"</definedName>
    <definedName name="lef_4">"#REF!"</definedName>
    <definedName name="lef_5">"#REF!"</definedName>
    <definedName name="lef_6">"#REF!"</definedName>
    <definedName name="lef_7">"#REF!"</definedName>
    <definedName name="LeistungKostenstelle">#REF!</definedName>
    <definedName name="LeisureFees">#REF!</definedName>
    <definedName name="lel_2">"#REF!"</definedName>
    <definedName name="lel_3">"#REF!"</definedName>
    <definedName name="lel_4">"#REF!"</definedName>
    <definedName name="lel_5">"#REF!"</definedName>
    <definedName name="lel_6">"#REF!"</definedName>
    <definedName name="lel_7">"#REF!"</definedName>
    <definedName name="LEMON" hidden="1">{#N/A,#N/A,FALSE,"CDA Plan"}</definedName>
    <definedName name="LF">#REF!</definedName>
    <definedName name="LG">#REF!</definedName>
    <definedName name="LGE_WACC">#REF!</definedName>
    <definedName name="lhjlkjlhklhljl" hidden="1">{#N/A,#N/A,FALSE,"PMW Gruppe 99_98";#N/A,#N/A,FALSE,"PMW KG 98_99";#N/A,#N/A,FALSE,"PMW Inc. 99_98";#N/A,#N/A,FALSE,"PMW VTECH 99_98";#N/A,#N/A,FALSE,"PMW Thail. 99_98";#N/A,#N/A,FALSE,"PMW Canada 99_98";#N/A,#N/A,FALSE,"Währungsabw. 99_98"}</definedName>
    <definedName name="liab\inc\intt">#REF!</definedName>
    <definedName name="LIABS">#REF!</definedName>
    <definedName name="licfees">#REF!</definedName>
    <definedName name="limcount" hidden="1">2</definedName>
    <definedName name="limey" hidden="1">{#N/A,#N/A,FALSE,"Calc";#N/A,#N/A,FALSE,"Sensitivity";#N/A,#N/A,FALSE,"LT Earn.Dil.";#N/A,#N/A,FALSE,"Dil. AVP"}</definedName>
    <definedName name="list">#REF!</definedName>
    <definedName name="List_People_Excluded">#REF!</definedName>
    <definedName name="ListA1">#REF!</definedName>
    <definedName name="ListB1">#REF!</definedName>
    <definedName name="ListBT">#REF!</definedName>
    <definedName name="ListCL">#REF!</definedName>
    <definedName name="ListFA">#REF!</definedName>
    <definedName name="ListOffset">4</definedName>
    <definedName name="ListRS">#REF!</definedName>
    <definedName name="ListSheetsMacroButton">#REF!</definedName>
    <definedName name="ListTM">#REF!</definedName>
    <definedName name="ListTP">#REF!</definedName>
    <definedName name="ListTY">#REF!</definedName>
    <definedName name="ListUN">#REF!</definedName>
    <definedName name="ListUR">#REF!</definedName>
    <definedName name="ListUV">#REF!</definedName>
    <definedName name="ListUX">#REF!</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kl" hidden="1">{#N/A,#N/A,FALSE,"Umsatz HM";#N/A,#N/A,FALSE,"ER HM";#N/A,#N/A,FALSE,"EA HM  (2)";#N/A,#N/A,FALSE,"EA HM ";#N/A,#N/A,FALSE,"EA HM  (4)";#N/A,#N/A,FALSE,"EA HM  (3)";#N/A,#N/A,FALSE,"KA HM  (2)";#N/A,#N/A,FALSE,"KA HM";#N/A,#N/A,FALSE,"KA HM  (3)";#N/A,#N/A,FALSE,"KA HM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LJJ" hidden="1">{#N/A,#N/A,FALSE,"FREE"}</definedName>
    <definedName name="LJLJJ_1" hidden="1">{#N/A,#N/A,FALSE,"FREE"}</definedName>
    <definedName name="LJLJJ_2" hidden="1">{#N/A,#N/A,FALSE,"FREE"}</definedName>
    <definedName name="LJLJJ_3" hidden="1">{#N/A,#N/A,FALSE,"FREE"}</definedName>
    <definedName name="LJLJJ_4" hidden="1">{#N/A,#N/A,FALSE,"FREE"}</definedName>
    <definedName name="LK" hidden="1">{#N/A,#N/A,FALSE,"CDA Plan"}</definedName>
    <definedName name="LKG" hidden="1">{#N/A,#N/A,FALSE,"Tabl. G1";#N/A,#N/A,FALSE,"Tabl. G2"}</definedName>
    <definedName name="LKI"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lkj" hidden="1">{"detail",#N/A,FALSE,"mfg";"summary",#N/A,FALSE,"mfg"}</definedName>
    <definedName name="lkjjh"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lkjlkj" hidden="1">{"Final",#N/A,FALSE,"Feb-96"}</definedName>
    <definedName name="lkl" hidden="1">{#N/A,#N/A,TRUE,"Front";#N/A,#N/A,TRUE,"Simple Letter";#N/A,#N/A,TRUE,"Inside";#N/A,#N/A,TRUE,"Contents";#N/A,#N/A,TRUE,"Basis";#N/A,#N/A,TRUE,"Inclusions";#N/A,#N/A,TRUE,"Exclusions";#N/A,#N/A,TRUE,"Areas";#N/A,#N/A,TRUE,"Summary";#N/A,#N/A,TRUE,"Detail"}</definedName>
    <definedName name="lklk" hidden="1">{#N/A,"PURADD",FALSE,"Business Analysis";#N/A,"PURSPP",FALSE,"Business Analysis";#N/A,"CTGIND",FALSE,"Business Analysis";#N/A,"PURCHM",FALSE,"Business Analysis";#N/A,"SPADD",FALSE,"Business Analysis";#N/A,"EPOXY",FALSE,"Business Analysis";#N/A,"PURPER",FALSE,"Business Analysis"}</definedName>
    <definedName name="lklkl" hidden="1">{"consolidated",#N/A,FALSE,"Sheet1";"cms",#N/A,FALSE,"Sheet1";"fse",#N/A,FALSE,"Sheet1"}</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hidden="1">{#N/A,#N/A,FALSE,"PMW Gruppe 99_98";#N/A,#N/A,FALSE,"PMW KG 98_99";#N/A,#N/A,FALSE,"PMW Inc. 99_98";#N/A,#N/A,FALSE,"PMW VTECH 99_98";#N/A,#N/A,FALSE,"PMW Thail. 99_98";#N/A,#N/A,FALSE,"PMW Canada 99_98";#N/A,#N/A,FALSE,"Währungsabw. 99_98"}</definedName>
    <definedName name="LL">City&amp;" "&amp;State</definedName>
    <definedName name="ll.l" hidden="1">{#N/A,#N/A,FALSE,"Produkte Erw.";#N/A,#N/A,FALSE,"Produkte Plan";#N/A,#N/A,FALSE,"Leistungen Erw.";#N/A,#N/A,FALSE,"Leistungen Plan";#N/A,#N/A,FALSE,"KA Allg.Kosten (2)";#N/A,#N/A,FALSE,"KA All.Kosten"}</definedName>
    <definedName name="llk" hidden="1">{"pro_view",#N/A,FALSE,"EEFSNAP2";"rep_view",#N/A,FALSE,"EEFSNAP2"}</definedName>
    <definedName name="lll">City&amp;" "&amp;State</definedName>
    <definedName name="LLLA" hidden="1">{#N/A,#N/A,FALSE,"U_SUBS-97";#N/A,#N/A,FALSE,"S_BARIMP-97";#N/A,#N/A,FALSE,"S_SUBS20-97";#N/A,#N/A,FALSE,"S_VUAIMP-97";#N/A,#N/A,FALSE,"S_WTKDEV-97"}</definedName>
    <definedName name="llllll" hidden="1">{"detail",#N/A,FALSE,"mfg";"summary",#N/A,FALSE,"mfg"}</definedName>
    <definedName name="LLO229UK" hidden="1">{"Geo - Detail Detail",#N/A,FALSE,"Geo View";"Geo - Detail",#N/A,FALSE,"Geo View";"Dept - Detail Detail",#N/A,FALSE,"Dept View";"Dept - Detail",#N/A,FALSE,"Dept View"}</definedName>
    <definedName name="LLo229UK_2" hidden="1">{"Geo - Detail Detail",#N/A,FALSE,"Geo View";"Geo - Detail",#N/A,FALSE,"Geo View";"Dept - Detail Detail",#N/A,FALSE,"Dept View";"Dept - Detail",#N/A,FALSE,"Dept View"}</definedName>
    <definedName name="LLo229UK_a" hidden="1">{"Geo - Detail Detail",#N/A,FALSE,"Geo View";"Geo - Detail",#N/A,FALSE,"Geo View";"Dept - Detail Detail",#N/A,FALSE,"Dept View";"Dept - Detail",#N/A,FALSE,"Dept View"}</definedName>
    <definedName name="LLO258UK" hidden="1">{"Geo - Detail Detail",#N/A,FALSE,"Geo View";"Geo - Detail",#N/A,FALSE,"Geo View";"Dept - Detail Detail",#N/A,FALSE,"Dept View";"Dept - Detail",#N/A,FALSE,"Dept View"}</definedName>
    <definedName name="LLO258UK_2" hidden="1">{"Geo - Detail Detail",#N/A,FALSE,"Geo View";"Geo - Detail",#N/A,FALSE,"Geo View";"Dept - Detail Detail",#N/A,FALSE,"Dept View";"Dept - Detail",#N/A,FALSE,"Dept View"}</definedName>
    <definedName name="llp" hidden="1">{"YD LPH2",#N/A,FALSE,"YTD"}</definedName>
    <definedName name="lmp" hidden="1">{#N/A,#N/A,FALSE,"CDA Plan"}</definedName>
    <definedName name="lñ" hidden="1">{"sales growth",#N/A,FALSE,"summary";"oper income",#N/A,FALSE,"summary";"oros rank",#N/A,FALSE,"summary";"net assets",#N/A,FALSE,"summary";"asset turnover",#N/A,FALSE,"summary";"orona",#N/A,FALSE,"summary"}</definedName>
    <definedName name="Loan">IF(Payment_Number&lt;=Number_of_Payments,1,0)</definedName>
    <definedName name="Loan_Amount">#REF!</definedName>
    <definedName name="Loan_Not_Paid">IF(Payment_Number&lt;=Number_of_Payments,1,0)</definedName>
    <definedName name="Loan_Start">#REF!</definedName>
    <definedName name="loan_table1">#REF!</definedName>
    <definedName name="loan_table2">#REF!</definedName>
    <definedName name="loan_table3">#REF!</definedName>
    <definedName name="loan_table4">#REF!</definedName>
    <definedName name="loan_table5">#REF!</definedName>
    <definedName name="loan_table6">#REF!</definedName>
    <definedName name="Loan_Years">#REF!</definedName>
    <definedName name="LOAN1">#N/A</definedName>
    <definedName name="LOAN12">#N/A</definedName>
    <definedName name="LOAN14">#N/A</definedName>
    <definedName name="LOAN17">#N/A</definedName>
    <definedName name="LOAN18">#N/A</definedName>
    <definedName name="LOAN19">#N/A</definedName>
    <definedName name="LOAN21">#N/A</definedName>
    <definedName name="LOAN23">#N/A</definedName>
    <definedName name="LOAN24">#N/A</definedName>
    <definedName name="LOAN25">#N/A</definedName>
    <definedName name="LOAN26">#N/A</definedName>
    <definedName name="LOAN27">#N/A</definedName>
    <definedName name="LOAN28">#N/A</definedName>
    <definedName name="LOAN29">#N/A</definedName>
    <definedName name="LOAN32">#N/A</definedName>
    <definedName name="LOAN33">#N/A</definedName>
    <definedName name="LOAN35">#N/A</definedName>
    <definedName name="LOAN36">#N/A</definedName>
    <definedName name="LOAN38">#N/A</definedName>
    <definedName name="LOAN39">#N/A</definedName>
    <definedName name="LOAN4">#N/A</definedName>
    <definedName name="LOAN41">#N/A</definedName>
    <definedName name="LOAN43">#N/A</definedName>
    <definedName name="LOAN44">#N/A</definedName>
    <definedName name="LOAN46">#N/A</definedName>
    <definedName name="LOAN47">#N/A</definedName>
    <definedName name="LOAN48">#N/A</definedName>
    <definedName name="LOAN49">#N/A</definedName>
    <definedName name="LOAN5">#N/A</definedName>
    <definedName name="LOAN50">#N/A</definedName>
    <definedName name="LOAN54">#N/A</definedName>
    <definedName name="LOAN55">#N/A</definedName>
    <definedName name="LOAN56">#N/A</definedName>
    <definedName name="LOAN58">#N/A</definedName>
    <definedName name="LOAN62">#N/A</definedName>
    <definedName name="LOAN63">#N/A</definedName>
    <definedName name="LOAN65">#N/A</definedName>
    <definedName name="LOAN66">#N/A</definedName>
    <definedName name="LOAN67">#N/A</definedName>
    <definedName name="LOAN68">#N/A</definedName>
    <definedName name="LOAN70">#N/A</definedName>
    <definedName name="LOAN72">#N/A</definedName>
    <definedName name="LOAN73">#N/A</definedName>
    <definedName name="LOAN74">#N/A</definedName>
    <definedName name="LOAN75">#N/A</definedName>
    <definedName name="LOAN76">#N/A</definedName>
    <definedName name="LOAN77">#N/A</definedName>
    <definedName name="LOAN78">#N/A</definedName>
    <definedName name="LOAN79">#N/A</definedName>
    <definedName name="loanint">#REF!</definedName>
    <definedName name="loanrepay">#REF!</definedName>
    <definedName name="loans_adv_2">"#REF!"</definedName>
    <definedName name="loans_adv_3">"#REF!"</definedName>
    <definedName name="loans_adv_4">"#REF!"</definedName>
    <definedName name="loans_adv_5">"#REF!"</definedName>
    <definedName name="loans_adv_6">"#REF!"</definedName>
    <definedName name="loans_adv_7">"#REF!"</definedName>
    <definedName name="Loc">#REF!</definedName>
    <definedName name="loc1_16">City&amp;" "&amp;#NAME?</definedName>
    <definedName name="loc1_17">City&amp;" "&amp;#NAME?</definedName>
    <definedName name="loc1_18">City&amp;" "&amp;#NAME?</definedName>
    <definedName name="loc1_19">City&amp;" "&amp;#NAME?</definedName>
    <definedName name="loc1_21">City&amp;" "&amp;#NAME?</definedName>
    <definedName name="LOCAL_MYSQL_DATE_FORMAT" hidden="1">REPT(#REF!,4)&amp;#REF!&amp;REPT(#REF!,2)&amp;#REF!&amp;REPT(#REF!,2)&amp;" "&amp;REPT(#REF!,2)&amp;#REF!&amp;REPT(#REF!,2)&amp;#REF!&amp;REPT(#REF!,2)</definedName>
    <definedName name="Location">City&amp;" "&amp;State</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ation_1">NA()</definedName>
    <definedName name="Location_16">City&amp;" "&amp;#NAME?</definedName>
    <definedName name="Location_17">City&amp;" "&amp;#NAME?</definedName>
    <definedName name="Location_18">City&amp;" "&amp;#NAME?</definedName>
    <definedName name="Location_19">City&amp;" "&amp;#NAME?</definedName>
    <definedName name="Location_2">"city"&amp;" "&amp;"state"</definedName>
    <definedName name="Location_21">City&amp;" "&amp;#NAME?</definedName>
    <definedName name="Location_3">"city"&amp;" "&amp;"state"</definedName>
    <definedName name="Location_4">"city"&amp;" "&amp;"state"</definedName>
    <definedName name="Location_5">"city"&amp;" "&amp;"state"</definedName>
    <definedName name="Location_6">"city"&amp;" "&amp;"state"</definedName>
    <definedName name="Location_7">"city"&amp;" "&amp;"state"</definedName>
    <definedName name="Location_Annual">#REF!</definedName>
    <definedName name="locations">City&amp;" "&amp;State</definedName>
    <definedName name="loge">#REF!</definedName>
    <definedName name="logesh">#REF!</definedName>
    <definedName name="Long_Term_Growth_Rate">#REF!</definedName>
    <definedName name="lop" hidden="1">{"detail",#N/A,FALSE,"mfg";"summary",#N/A,FALSE,"mfg"}</definedName>
    <definedName name="Lotta" hidden="1">#REF!</definedName>
    <definedName name="Lotta2" hidden="1">#REF!</definedName>
    <definedName name="Lotta3" hidden="1">#REF!</definedName>
    <definedName name="love" hidden="1">{"PAGE 1",#N/A,FALSE,"ES-01-XX";"PAGE 2",#N/A,FALSE,"ES-01-XX"}</definedName>
    <definedName name="Low_case_Dis">#REF!</definedName>
    <definedName name="Low_COGS">#REF!</definedName>
    <definedName name="lpok" hidden="1">{#N/A,"PURADD",FALSE,"Business Analysis";#N/A,"PURSPP",FALSE,"Business Analysis";#N/A,"CTGIND",FALSE,"Business Analysis";#N/A,"PURCHM",FALSE,"Business Analysis";#N/A,"SPADD",FALSE,"Business Analysis";#N/A,"EPOXY",FALSE,"Business Analysis";#N/A,"PURPER",FALSE,"Business Analysis"}</definedName>
    <definedName name="lrg">#REF!</definedName>
    <definedName name="LSPivot_Changeover">#REF!</definedName>
    <definedName name="LSPivot_Current">#REF!</definedName>
    <definedName name="LSPivot_Prior">#REF!</definedName>
    <definedName name="LSTriggers">#REF!</definedName>
    <definedName name="LT_RATINGS">#N/A</definedName>
    <definedName name="LTM">#REF!</definedName>
    <definedName name="lundi" hidden="1">{#N/A,#N/A,FALSE,"Tabl. G1";#N/A,#N/A,FALSE,"Tabl. G2"}</definedName>
    <definedName name="luyit" hidden="1">{#N/A,#N/A,FALSE,"Staffnos &amp; cost"}</definedName>
    <definedName name="lvuvfvyuv" hidden="1">{#N/A,#N/A,FALSE,"COMP"}</definedName>
    <definedName name="LYN">#REF!</definedName>
    <definedName name="lysls">#REF!</definedName>
    <definedName name="m" hidden="1">{#N/A,#N/A,FALSE,"CNS";#N/A,#N/A,FALSE,"Serz";#N/A,#N/A,FALSE,"Ace"}</definedName>
    <definedName name="m_2">"#REF!"</definedName>
    <definedName name="m_3">"#REF!"</definedName>
    <definedName name="m_4">"#REF!"</definedName>
    <definedName name="m_5">"#REF!"</definedName>
    <definedName name="m_6">"#REF!"</definedName>
    <definedName name="m_7">"#REF!"</definedName>
    <definedName name="M1x_1">NA()</definedName>
    <definedName name="M1x_2">NA()</definedName>
    <definedName name="M1x_3">NA()</definedName>
    <definedName name="M1x_4">NA()</definedName>
    <definedName name="M1x_5">NA()</definedName>
    <definedName name="M1x_6">NA()</definedName>
    <definedName name="M1x_7">NA()</definedName>
    <definedName name="M1y_1">NA()</definedName>
    <definedName name="M1y_2">NA()</definedName>
    <definedName name="M1y_3">NA()</definedName>
    <definedName name="M1y_4">NA()</definedName>
    <definedName name="M1y_5">NA()</definedName>
    <definedName name="M1y_6">NA()</definedName>
    <definedName name="M1y_7">NA()</definedName>
    <definedName name="M2x_1">NA()</definedName>
    <definedName name="M2x_2">NA()</definedName>
    <definedName name="M2x_3">NA()</definedName>
    <definedName name="M2x_4">NA()</definedName>
    <definedName name="M2x_5">NA()</definedName>
    <definedName name="M2x_6">NA()</definedName>
    <definedName name="M2x_7">NA()</definedName>
    <definedName name="M2y_1">NA()</definedName>
    <definedName name="M2y_2">NA()</definedName>
    <definedName name="M2y_3">NA()</definedName>
    <definedName name="M2y_4">NA()</definedName>
    <definedName name="M2y_5">NA()</definedName>
    <definedName name="M2y_6">NA()</definedName>
    <definedName name="M2y_7">NA()</definedName>
    <definedName name="MA" hidden="1">{#N/A,#N/A,FALSE,"COMP"}</definedName>
    <definedName name="MACROS">#REF!</definedName>
    <definedName name="main">#REF!</definedName>
    <definedName name="main_comp">#REF!</definedName>
    <definedName name="Main_File">"LBOB_1"</definedName>
    <definedName name="MAINCOMP">#REF!</definedName>
    <definedName name="MainHeader">#REF!</definedName>
    <definedName name="MainHeader_11">"#REF!"</definedName>
    <definedName name="MainHeader_15">"#REF!"</definedName>
    <definedName name="MainHeader_2">"#REF!"</definedName>
    <definedName name="MainHeader_8">"#REF!"</definedName>
    <definedName name="MainHeader_9">"#REF!"</definedName>
    <definedName name="Maint">3</definedName>
    <definedName name="maintfees">#REF!</definedName>
    <definedName name="MAJ_CON_EQP">#REF!</definedName>
    <definedName name="maji" hidden="1">{"detail",#N/A,FALSE,"mfg";"summary",#N/A,FALSE,"mfg"}</definedName>
    <definedName name="MAJOR">City&amp;" "&amp;State</definedName>
    <definedName name="mall">#REF!</definedName>
    <definedName name="mallutl">#REF!</definedName>
    <definedName name="maneeshw12s12" hidden="1">{#N/A,#N/A,FALSE,"CMN_FE"}</definedName>
    <definedName name="Manpower">#REF!</definedName>
    <definedName name="MAR">#N/A</definedName>
    <definedName name="MARCH" hidden="1">{#N/A,#N/A,TRUE,"Sheet1"}</definedName>
    <definedName name="march06" hidden="1">{#N/A,#N/A,FALSE,"Aging Summary";#N/A,#N/A,FALSE,"Ratio Analysis";#N/A,#N/A,FALSE,"Test 120 Day Accts";#N/A,#N/A,FALSE,"Tickmarks"}</definedName>
    <definedName name="march06topsheet" hidden="1">{#N/A,#N/A,FALSE,"Aging Summary";#N/A,#N/A,FALSE,"Ratio Analysis";#N/A,#N/A,FALSE,"Test 120 Day Accts";#N/A,#N/A,FALSE,"Tickmarks"}</definedName>
    <definedName name="mardi" hidden="1">{#N/A,#N/A,FALSE,"Tabl. H1";#N/A,#N/A,FALSE,"Tabl. H2"}</definedName>
    <definedName name="margin" hidden="1">{#N/A,#N/A,FALSE,"Aging Summary";#N/A,#N/A,FALSE,"Ratio Analysis";#N/A,#N/A,FALSE,"Test 120 Day Accts";#N/A,#N/A,FALSE,"Tickmarks"}</definedName>
    <definedName name="Margin_delivered">#REF!</definedName>
    <definedName name="margin_delivered_eac">#REF!</definedName>
    <definedName name="Margin_Percent">#REF!</definedName>
    <definedName name="Margin_sold">#REF!</definedName>
    <definedName name="MarginCalc">#N/A</definedName>
    <definedName name="MARGRT">#N/A</definedName>
    <definedName name="maricel" hidden="1">1</definedName>
    <definedName name="MARINE">#N/A</definedName>
    <definedName name="marketing">#REF!</definedName>
    <definedName name="MarketShareGrowth">#REF!</definedName>
    <definedName name="MARPLAN">#REF!</definedName>
    <definedName name="mas">City&amp;" "&amp;State</definedName>
    <definedName name="masaru">#REF!</definedName>
    <definedName name="mass">{#N/A,#N/A,FALSE,"PMTABB";#N/A,#N/A,FALSE,"PMTABB"}</definedName>
    <definedName name="mat" hidden="1">{#N/A,#N/A,FALSE,"Aging Summary";#N/A,#N/A,FALSE,"Ratio Analysis";#N/A,#N/A,FALSE,"Test 120 Day Accts";#N/A,#N/A,FALSE,"Tickmarks"}</definedName>
    <definedName name="Material_efficiency">#REF!</definedName>
    <definedName name="may">#REF!</definedName>
    <definedName name="MAYPLAN">#REF!</definedName>
    <definedName name="mayumi">#REF!</definedName>
    <definedName name="mbangtai10">#REF!</definedName>
    <definedName name="mbangtai100">#REF!</definedName>
    <definedName name="mbangtai15">#REF!</definedName>
    <definedName name="mbangtai150">#REF!</definedName>
    <definedName name="mbangtai25">#REF!</definedName>
    <definedName name="mbombtth50">#REF!</definedName>
    <definedName name="mbombtth60">#REF!</definedName>
    <definedName name="mbomdien0.55">#REF!</definedName>
    <definedName name="mbomdien0.75">#REF!</definedName>
    <definedName name="mbomdien1.1">#REF!</definedName>
    <definedName name="mbomdien1.5">#REF!</definedName>
    <definedName name="mbomdien10">#REF!</definedName>
    <definedName name="mbomdien113">#REF!</definedName>
    <definedName name="mbomdien14">#REF!</definedName>
    <definedName name="mbomdien2">#REF!</definedName>
    <definedName name="mbomdien2.8">#REF!</definedName>
    <definedName name="mbomdien20">#REF!</definedName>
    <definedName name="mbomdien22">#REF!</definedName>
    <definedName name="mbomdien28">#REF!</definedName>
    <definedName name="mbomdien30">#REF!</definedName>
    <definedName name="mbomdien4">#REF!</definedName>
    <definedName name="mbomdien4.5">#REF!</definedName>
    <definedName name="mbomdien40">#REF!</definedName>
    <definedName name="mbomdien50">#REF!</definedName>
    <definedName name="mbomdien55">#REF!</definedName>
    <definedName name="mbomdien7">#REF!</definedName>
    <definedName name="mbomdien75">#REF!</definedName>
    <definedName name="mbomth10">#REF!</definedName>
    <definedName name="mbomth100">#REF!</definedName>
    <definedName name="mbomth15">#REF!</definedName>
    <definedName name="mbomth150">#REF!</definedName>
    <definedName name="mbomth20">#REF!</definedName>
    <definedName name="mbomth37">#REF!</definedName>
    <definedName name="mbomth45">#REF!</definedName>
    <definedName name="mbomth5">#REF!</definedName>
    <definedName name="mbomth5.5">#REF!</definedName>
    <definedName name="mbomth7">#REF!</definedName>
    <definedName name="mbomth7.5">#REF!</definedName>
    <definedName name="mbomth75">#REF!</definedName>
    <definedName name="mbomthxang3">#REF!</definedName>
    <definedName name="mbomthxang4">#REF!</definedName>
    <definedName name="mbomthxang6">#REF!</definedName>
    <definedName name="mbomthxang7">#REF!</definedName>
    <definedName name="mbomthxang8">#REF!</definedName>
    <definedName name="mbomvua2">#REF!</definedName>
    <definedName name="mbomvua4">#REF!</definedName>
    <definedName name="mbomvua6">#REF!</definedName>
    <definedName name="mbomvua9">#REF!</definedName>
    <definedName name="mbs.margin">#REF!</definedName>
    <definedName name="mbuacankhi1.5">#REF!</definedName>
    <definedName name="mbuadcocnoi2.5">#REF!</definedName>
    <definedName name="mbuadray1.2">#REF!</definedName>
    <definedName name="mbuadray1.8">#REF!</definedName>
    <definedName name="mbuadray2.2">#REF!</definedName>
    <definedName name="mbuadray2.5">#REF!</definedName>
    <definedName name="mbuadray3.5">#REF!</definedName>
    <definedName name="mbuarung170">#REF!</definedName>
    <definedName name="mbuarung40">#REF!</definedName>
    <definedName name="mbuarung50">#REF!</definedName>
    <definedName name="mbuarungccatth60">#REF!</definedName>
    <definedName name="mbuathbx0.6">#REF!</definedName>
    <definedName name="mbuathbx1.2">#REF!</definedName>
    <definedName name="mbuathbx1.8">#REF!</definedName>
    <definedName name="mbuathbx3.5">#REF!</definedName>
    <definedName name="mbuathbx4.5">#REF!</definedName>
    <definedName name="mc">#REF!</definedName>
    <definedName name="mcambactham1">#REF!</definedName>
    <definedName name="mcano30">#REF!</definedName>
    <definedName name="mcano75">#REF!</definedName>
    <definedName name="mcap1g10">#REF!</definedName>
    <definedName name="mcap1g16">#REF!</definedName>
    <definedName name="mcap1g25">#REF!</definedName>
    <definedName name="mcap1g9">#REF!</definedName>
    <definedName name="mcatdot2.8">#REF!</definedName>
    <definedName name="mcatong5">#REF!</definedName>
    <definedName name="mcatton15">#REF!</definedName>
    <definedName name="mcatuonthep5">#REF!</definedName>
    <definedName name="mcaulongmon10">#REF!</definedName>
    <definedName name="mcaulongmon30">#REF!</definedName>
    <definedName name="mcaulongmon60">#REF!</definedName>
    <definedName name="mcauray20">#REF!</definedName>
    <definedName name="mcauray25">#REF!</definedName>
    <definedName name="mcayxoidk108">#REF!</definedName>
    <definedName name="mcayxoidk60">#REF!</definedName>
    <definedName name="mcayxoidk80">#REF!</definedName>
    <definedName name="mccaubh10">#REF!</definedName>
    <definedName name="mccaubh16">#REF!</definedName>
    <definedName name="mccaubh25">#REF!</definedName>
    <definedName name="mccaubh3">#REF!</definedName>
    <definedName name="mccaubh4">#REF!</definedName>
    <definedName name="mccaubh40">#REF!</definedName>
    <definedName name="mccaubh5">#REF!</definedName>
    <definedName name="mccaubh6">#REF!</definedName>
    <definedName name="mccaubh65">#REF!</definedName>
    <definedName name="mccaubh7">#REF!</definedName>
    <definedName name="mccaubh8">#REF!</definedName>
    <definedName name="mccaubh90">#REF!</definedName>
    <definedName name="mccaubx10">#REF!</definedName>
    <definedName name="mccaubx100">#REF!</definedName>
    <definedName name="mccaubx16">#REF!</definedName>
    <definedName name="mccaubx25">#REF!</definedName>
    <definedName name="mccaubx28">#REF!</definedName>
    <definedName name="mccaubx40">#REF!</definedName>
    <definedName name="mccaubx5">#REF!</definedName>
    <definedName name="mccaubx50">#REF!</definedName>
    <definedName name="mccaubx63">#REF!</definedName>
    <definedName name="mccaubx7">#REF!</definedName>
    <definedName name="mccauladam60">#REF!</definedName>
    <definedName name="mccaunoi100">#REF!</definedName>
    <definedName name="mccaunoi30">#REF!</definedName>
    <definedName name="mccauthap10">#REF!</definedName>
    <definedName name="mccauthap12">#REF!</definedName>
    <definedName name="mccauthap15">#REF!</definedName>
    <definedName name="mccauthap20">#REF!</definedName>
    <definedName name="mccauthap25">#REF!</definedName>
    <definedName name="mccauthap3">#REF!</definedName>
    <definedName name="mccauthap30">#REF!</definedName>
    <definedName name="mccauthap40">#REF!</definedName>
    <definedName name="mccauthap5">#REF!</definedName>
    <definedName name="mccauthap50">#REF!</definedName>
    <definedName name="mccauthap8">#REF!</definedName>
    <definedName name="mccautnhi0.5">#REF!</definedName>
    <definedName name="mcuakl1.7">#REF!</definedName>
    <definedName name="md" hidden="1">{#N/A,#N/A,FALSE,"CDA Plan"}</definedName>
    <definedName name="mdamban0.4">#REF!</definedName>
    <definedName name="mdamban0.6">#REF!</definedName>
    <definedName name="mdamban0.8">#REF!</definedName>
    <definedName name="mdamban1">#REF!</definedName>
    <definedName name="mdambhdkbx12.5">#REF!</definedName>
    <definedName name="mdambhdkbx18">#REF!</definedName>
    <definedName name="mdambhdkbx25">#REF!</definedName>
    <definedName name="mdambhdkbx26.5">#REF!</definedName>
    <definedName name="mdambhdkbx9">#REF!</definedName>
    <definedName name="mdambhth16">#REF!</definedName>
    <definedName name="mdambhth17.5">#REF!</definedName>
    <definedName name="mdambhth25">#REF!</definedName>
    <definedName name="mdambthepth10">#REF!</definedName>
    <definedName name="mdambthepth12.2">#REF!</definedName>
    <definedName name="mdambthepth13">#REF!</definedName>
    <definedName name="mdambthepth14.5">#REF!</definedName>
    <definedName name="mdambthepth15.5">#REF!</definedName>
    <definedName name="mdambthepth8.5">#REF!</definedName>
    <definedName name="mdamcanh1">#REF!</definedName>
    <definedName name="mdamccdk5.5">#REF!</definedName>
    <definedName name="mdamccdk9">#REF!</definedName>
    <definedName name="mdamdatct60">#REF!</definedName>
    <definedName name="mdamdatct80">#REF!</definedName>
    <definedName name="mdamdui0.6">#REF!</definedName>
    <definedName name="mdamdui0.8">#REF!</definedName>
    <definedName name="mdamdui1">#REF!</definedName>
    <definedName name="mdamdui1.5">#REF!</definedName>
    <definedName name="mdamdui2.8">#REF!</definedName>
    <definedName name="mdamrung15">#REF!</definedName>
    <definedName name="mdamrung18">#REF!</definedName>
    <definedName name="mdamrung8">#REF!</definedName>
    <definedName name="mdao1gbh0.15">#REF!</definedName>
    <definedName name="mdao1gbh0.25">#REF!</definedName>
    <definedName name="mdao1gbh0.30">#REF!</definedName>
    <definedName name="mdao1gbh0.35">#REF!</definedName>
    <definedName name="mdao1gbh0.40">#REF!</definedName>
    <definedName name="mdao1gbh0.65">#REF!</definedName>
    <definedName name="mdao1gbh0.75">#REF!</definedName>
    <definedName name="mdao1gbh1.25">#REF!</definedName>
    <definedName name="mdao1gbx0.22">#REF!</definedName>
    <definedName name="mdao1gbx0.25">#REF!</definedName>
    <definedName name="mdao1gbx0.30">#REF!</definedName>
    <definedName name="mdao1gbx0.35">#REF!</definedName>
    <definedName name="mdao1gbx0.40">#REF!</definedName>
    <definedName name="mdao1gbx0.50">#REF!</definedName>
    <definedName name="mdao1gbx0.65">#REF!</definedName>
    <definedName name="mdao1gbx1.00">#REF!</definedName>
    <definedName name="mdao1gbx1.20">#REF!</definedName>
    <definedName name="mdao1gbx1.25">#REF!</definedName>
    <definedName name="mdao1gbx1.60">#REF!</definedName>
    <definedName name="mdao1gbx2.00">#REF!</definedName>
    <definedName name="mdao1gbx2.50">#REF!</definedName>
    <definedName name="mdao1gbx4.00">#REF!</definedName>
    <definedName name="mdao1gbx4.60">#REF!</definedName>
    <definedName name="mdao1gbx5.00">#REF!</definedName>
    <definedName name="MDNTUC">#REF!</definedName>
    <definedName name="MDUC">#REF!</definedName>
    <definedName name="MDUXUC">#REF!</definedName>
    <definedName name="me">#REF!</definedName>
    <definedName name="MECHANICAL_1">"#REF!"</definedName>
    <definedName name="MECHANICAL_2">"#REF!"</definedName>
    <definedName name="med">#REF!</definedName>
    <definedName name="megha">#REF!</definedName>
    <definedName name="megha1">#REF!</definedName>
    <definedName name="Menu_Level">#REF!</definedName>
    <definedName name="mepcocsau1">#REF!</definedName>
    <definedName name="mepcoctr100">#REF!</definedName>
    <definedName name="mepcoctr60">#REF!</definedName>
    <definedName name="metal1r_1">NA()</definedName>
    <definedName name="metal2r_1">NA()</definedName>
    <definedName name="Metrics" hidden="1">{"provision",#N/A,FALSE;"reserve analysis",#N/A,FALSE}</definedName>
    <definedName name="metro" hidden="1">{#N/A,#N/A,FALSE,"CDA Plan"}</definedName>
    <definedName name="MEWarning">1</definedName>
    <definedName name="mezz_costs">#REF!</definedName>
    <definedName name="mfoew" hidden="1">{#N/A,"PURCHM",FALSE,"Business Analysis";#N/A,"SPADD",FALSE,"Business Analysis"}</definedName>
    <definedName name="MG_A">#REF!</definedName>
    <definedName name="mgmt">#REF!</definedName>
    <definedName name="mgmt_11">"#REF!"</definedName>
    <definedName name="mgmt_15">"#REF!"</definedName>
    <definedName name="mgmt_8">"#REF!"</definedName>
    <definedName name="mgmt_9">"#REF!"</definedName>
    <definedName name="Mgmt_New">#REF!</definedName>
    <definedName name="mgmt1">#REF!</definedName>
    <definedName name="mgmt1_11">"#REF!"</definedName>
    <definedName name="mgmt1_15">"#REF!"</definedName>
    <definedName name="mgmt1_8">"#REF!"</definedName>
    <definedName name="mgmt1_9">"#REF!"</definedName>
    <definedName name="MGTEQ">#REF!</definedName>
    <definedName name="MGTEQ1">#REF!</definedName>
    <definedName name="mhan1chieu40">#REF!</definedName>
    <definedName name="mhan1chieu50">#REF!</definedName>
    <definedName name="mhancatnuoc124">#REF!</definedName>
    <definedName name="mhand10.2">#REF!</definedName>
    <definedName name="mhand27.5">#REF!</definedName>
    <definedName name="mhand4">#REF!</definedName>
    <definedName name="mhanhoi1000">#REF!</definedName>
    <definedName name="mhanhoi2000">#REF!</definedName>
    <definedName name="mhanxang20">#REF!</definedName>
    <definedName name="mhanxang9">#REF!</definedName>
    <definedName name="mhanxchieu23">#REF!</definedName>
    <definedName name="mhanxchieu29.2">#REF!</definedName>
    <definedName name="mhanxchieu33.5">#REF!</definedName>
    <definedName name="MHGMGH" hidden="1">{#N/A,#N/A,FALSE,"ISBL"}</definedName>
    <definedName name="MHGMGH_1" hidden="1">{#N/A,#N/A,FALSE,"ISBL"}</definedName>
    <definedName name="MHGMGH_2" hidden="1">{#N/A,#N/A,FALSE,"ISBL"}</definedName>
    <definedName name="MHGMGH_3" hidden="1">{#N/A,#N/A,FALSE,"ISBL"}</definedName>
    <definedName name="MHGMGH_4" hidden="1">{#N/A,#N/A,FALSE,"ISBL"}</definedName>
    <definedName name="MICHELE" hidden="1">{#N/A,#N/A,FALSE,"Tabl. FB300";#N/A,#N/A,FALSE,"Tabl. FB350";#N/A,#N/A,FALSE,"Tabl. FB400";#N/A,#N/A,FALSE,"Tabl. FB500";#N/A,#N/A,FALSE,"Tabl. FS090"}</definedName>
    <definedName name="MICON">#N/A</definedName>
    <definedName name="MIDBURGH">#N/A</definedName>
    <definedName name="Milano" hidden="1">{#N/A,#N/A,FALSE,"Cipta-All";#N/A,#N/A,FALSE,"Individual"}</definedName>
    <definedName name="MILI">#N/A</definedName>
    <definedName name="Milli">1/1000000</definedName>
    <definedName name="Million">1000000</definedName>
    <definedName name="min" hidden="1">{#N/A,#N/A,FALSE,"REPORT"}</definedName>
    <definedName name="mina" hidden="1">{#N/A,#N/A,FALSE,"REPORT"}</definedName>
    <definedName name="minicase1">#REF!</definedName>
    <definedName name="Minicase1a">#REF!</definedName>
    <definedName name="minicase2">#REF!</definedName>
    <definedName name="minicase3">#REF!</definedName>
    <definedName name="minority">#REF!</definedName>
    <definedName name="MIP">#REF!</definedName>
    <definedName name="misc">#REF!</definedName>
    <definedName name="miu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wukls" hidden="1">{"detail",#N/A,FALSE,"mfg";"summary",#N/A,FALSE,"mfg"}</definedName>
    <definedName name="mix_2">NA()</definedName>
    <definedName name="mix_3">NA()</definedName>
    <definedName name="mix_4">NA()</definedName>
    <definedName name="mix_5">NA()</definedName>
    <definedName name="mix_6">NA()</definedName>
    <definedName name="mix_7">NA()</definedName>
    <definedName name="mj" hidden="1">{#N/A,#N/A,FALSE,"FY97";#N/A,#N/A,FALSE,"FY98";#N/A,#N/A,FALSE,"FY99";#N/A,#N/A,FALSE,"FY00";#N/A,#N/A,FALSE,"FY01"}</definedName>
    <definedName name="mjkkk"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mjr">#REF!</definedName>
    <definedName name="mk" hidden="1">{"detail",#N/A,FALSE,"mfg";"summary",#N/A,FALSE,"mfg"}</definedName>
    <definedName name="mkcnGPS15">#REF!</definedName>
    <definedName name="mkcnTRC15">#REF!</definedName>
    <definedName name="mkcnVRM">#REF!</definedName>
    <definedName name="mkeobh165">#REF!</definedName>
    <definedName name="mkeobh215">#REF!</definedName>
    <definedName name="mkeobh28">#REF!</definedName>
    <definedName name="mkeobh40">#REF!</definedName>
    <definedName name="mkeobh50">#REF!</definedName>
    <definedName name="mkeobh55">#REF!</definedName>
    <definedName name="mkeobh60">#REF!</definedName>
    <definedName name="mkeobh80">#REF!</definedName>
    <definedName name="mkeobx108">#REF!</definedName>
    <definedName name="mkeobx130">#REF!</definedName>
    <definedName name="mkeobx45">#REF!</definedName>
    <definedName name="mkeobx54">#REF!</definedName>
    <definedName name="mkeobx60">#REF!</definedName>
    <definedName name="mkeobx75">#REF!</definedName>
    <definedName name="mkg">#REF!</definedName>
    <definedName name="mkhoanbttay24">#REF!</definedName>
    <definedName name="mkhoanbttay30">#REF!</definedName>
    <definedName name="mkhoanbttay38">#REF!</definedName>
    <definedName name="mkhoanbttay40">#REF!</definedName>
    <definedName name="mkhoandatay30">#REF!</definedName>
    <definedName name="mkhoandatay42">#REF!</definedName>
    <definedName name="mkhoandung4.5">#REF!</definedName>
    <definedName name="mkhoansattay13">#REF!</definedName>
    <definedName name="mkhoanxoayth110">#REF!</definedName>
    <definedName name="mkhoanxoayth95">#REF!</definedName>
    <definedName name="mkichck18">#REF!</definedName>
    <definedName name="mkichck250">#REF!</definedName>
    <definedName name="mkichday60">#REF!</definedName>
    <definedName name="mkichnang100">#REF!</definedName>
    <definedName name="mkichnang250">#REF!</definedName>
    <definedName name="mkichnang500">#REF!</definedName>
    <definedName name="MKJ"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mkl" hidden="1">{"pro_view",#N/A,FALSE,"EEFSNAP2";"rep_view",#N/A,FALSE,"EEFSNAP2"}</definedName>
    <definedName name="mkllkkl" hidden="1">#N/A</definedName>
    <definedName name="Mktg">#REF!</definedName>
    <definedName name="mlkdksdlasld" hidden="1">{#N/A,#N/A,FALSE,"COMP"}</definedName>
    <definedName name="MLKJH" hidden="1">{#N/A,#N/A,FALSE,"Tabl. G1";#N/A,#N/A,FALSE,"Tabl. G2"}</definedName>
    <definedName name="mlll">#N/A</definedName>
    <definedName name="mluoncap15">#REF!</definedName>
    <definedName name="mlw" hidden="1">{#N/A,#N/A,FALSE,"Pharm";#N/A,#N/A,FALSE,"WWCM"}</definedName>
    <definedName name="mm">City&amp;" "&amp;State</definedName>
    <definedName name="mm_1">NA()</definedName>
    <definedName name="mm_16">City&amp;" "&amp;#NAME?</definedName>
    <definedName name="mm_17">City&amp;" "&amp;#NAME?</definedName>
    <definedName name="mm_18">City&amp;" "&amp;#NAME?</definedName>
    <definedName name="mm_19">City&amp;" "&amp;#NAME?</definedName>
    <definedName name="mm_2">"city"&amp;" "&amp;"state"</definedName>
    <definedName name="mm_21">City&amp;" "&amp;#NAME?</definedName>
    <definedName name="mm_3">"city"&amp;" "&amp;"state"</definedName>
    <definedName name="mm_4">"city"&amp;" "&amp;"state"</definedName>
    <definedName name="mm_5">"city"&amp;" "&amp;"state"</definedName>
    <definedName name="mm_6">"city"&amp;" "&amp;"state"</definedName>
    <definedName name="mm_7">"city"&amp;" "&amp;"state"</definedName>
    <definedName name="mmai2.7">#REF!</definedName>
    <definedName name="MmExcelLinker_79712511_90BC_4923_ABF4_AC6012547D02">#REF!</definedName>
    <definedName name="mmk" hidden="1">{"Pg1",#N/A,FALSE,"OpExYTDvsBud";"Pg2",#N/A,FALSE,"OpExYTDvsBud"}</definedName>
    <definedName name="mmkkll" hidden="1">{#N/A,#N/A,FALSE,"CDA Plan"}</definedName>
    <definedName name="mmm" hidden="1">{#N/A,"PURCHM",FALSE,"Business Analysis";#N/A,"SPADD",FALSE,"Business Analysis"}</definedName>
    <definedName name="mmmm"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mmmmm" hidden="1">{#N/A,#N/A,FALSE,"Calc";#N/A,#N/A,FALSE,"Sensitivity";#N/A,#N/A,FALSE,"LT Earn.Dil.";#N/A,#N/A,FALSE,"Dil. AVP"}</definedName>
    <definedName name="mmmmmmmmmmmmmmmmmmmmmmmmmmmmmmm" hidden="1">{#N/A,#N/A,FALSE,"Staffnos &amp; cost"}</definedName>
    <definedName name="mmp" hidden="1">{"detail",#N/A,FALSE,"mfg";"summary",#N/A,FALSE,"mfg"}</definedName>
    <definedName name="mn" hidden="1">{"detail",#N/A,FALSE,"mfg";"summary",#N/A,FALSE,"mfg"}</definedName>
    <definedName name="mnbv" hidden="1">{"Month Summary",#N/A,FALSE,"Summary";"Total Details",#N/A,FALSE,"Current Yr";"Polymers Details",#N/A,FALSE,"Current Yr";"Performance Details",#N/A,FALSE,"Current Yr";"ICD Details",#N/A,FALSE,"Current Yr"}</definedName>
    <definedName name="MNDORUC">#REF!</definedName>
    <definedName name="mnenkhid102">#REF!</definedName>
    <definedName name="mnenkhid120">#REF!</definedName>
    <definedName name="mnenkhid1200">#REF!</definedName>
    <definedName name="mnenkhid200">#REF!</definedName>
    <definedName name="mnenkhid240">#REF!</definedName>
    <definedName name="mnenkhid300">#REF!</definedName>
    <definedName name="mnenkhid360">#REF!</definedName>
    <definedName name="mnenkhid5.5">#REF!</definedName>
    <definedName name="mnenkhid540">#REF!</definedName>
    <definedName name="mnenkhid600">#REF!</definedName>
    <definedName name="mnenkhid660">#REF!</definedName>
    <definedName name="mnenkhid75">#REF!</definedName>
    <definedName name="mnenkhidien10">#REF!</definedName>
    <definedName name="mnenkhidien150">#REF!</definedName>
    <definedName name="mnenkhidien216">#REF!</definedName>
    <definedName name="mnenkhidien22">#REF!</definedName>
    <definedName name="mnenkhidien270">#REF!</definedName>
    <definedName name="mnenkhidien30">#REF!</definedName>
    <definedName name="mnenkhidien300">#REF!</definedName>
    <definedName name="mnenkhidien5">#REF!</definedName>
    <definedName name="mnenkhidien56">#REF!</definedName>
    <definedName name="mnenkhidien600">#REF!</definedName>
    <definedName name="mnenkhixang11">#REF!</definedName>
    <definedName name="mnenkhixang120">#REF!</definedName>
    <definedName name="mnenkhixang200">#REF!</definedName>
    <definedName name="mnenkhixang25">#REF!</definedName>
    <definedName name="mnenkhixang3">#REF!</definedName>
    <definedName name="mnenkhixang300">#REF!</definedName>
    <definedName name="mnenkhixang40">#REF!</definedName>
    <definedName name="mnenkhixang600">#REF!</definedName>
    <definedName name="mnghiendad25">#REF!</definedName>
    <definedName name="mnghiendadd20">#REF!</definedName>
    <definedName name="mnghiendadd6">#REF!</definedName>
    <definedName name="mnghiendatho14">#REF!</definedName>
    <definedName name="mnghiendatho200">#REF!</definedName>
    <definedName name="mnhogcaydk100">#REF!</definedName>
    <definedName name="mnhogcaydk54">#REF!</definedName>
    <definedName name="mnhogcaydk75">#REF!</definedName>
    <definedName name="mnmn" hidden="1">{"detail",#N/A,FALSE,"mfg";"summary",#N/A,FALSE,"mfg"}</definedName>
    <definedName name="mnnb" hidden="1">{#N/A,#N/A,FALSE,"PMW Gruppe 99_98";#N/A,#N/A,FALSE,"PMW KG 98_99";#N/A,#N/A,FALSE,"PMW Inc. 99_98";#N/A,#N/A,FALSE,"PMW VTECH 99_98";#N/A,#N/A,FALSE,"PMW Thail. 99_98";#N/A,#N/A,FALSE,"PMW Canada 99_98";#N/A,#N/A,FALSE,"Währungsabw. 99_98"}</definedName>
    <definedName name="mno" hidden="1">{#N/A,#N/A,FALSE,"Tabl. H1";#N/A,#N/A,FALSE,"Tabl. H2"}</definedName>
    <definedName name="MNT">#REF!</definedName>
    <definedName name="MnthCF_Group">#REF!</definedName>
    <definedName name="MnthCF_India">#REF!</definedName>
    <definedName name="MnthCF_NA">#REF!</definedName>
    <definedName name="MnthCF_UK">#REF!</definedName>
    <definedName name="MNWPGUC">#REF!</definedName>
    <definedName name="MODEL">#N/A</definedName>
    <definedName name="Module1.summary">#N/A</definedName>
    <definedName name="MOHDR">#N/A</definedName>
    <definedName name="mokp" hidden="1">{"QTD_LPO2N2",#N/A,FALSE,"QTD"}</definedName>
    <definedName name="MONAME">#REF!</definedName>
    <definedName name="Monat1Kostenstelle">#REF!</definedName>
    <definedName name="MONTH">#REF!</definedName>
    <definedName name="monthdates">#N/A</definedName>
    <definedName name="Monthly_Report">#REF!</definedName>
    <definedName name="MonthlyBudget">#REF!</definedName>
    <definedName name="monthprice">#REF!</definedName>
    <definedName name="months">#REF!</definedName>
    <definedName name="Months_Remaining">#REF!</definedName>
    <definedName name="months1">#REF!</definedName>
    <definedName name="MOPRIOR">#REF!</definedName>
    <definedName name="morita">#REF!</definedName>
    <definedName name="moritavn">#REF!</definedName>
    <definedName name="mortor">#N/A</definedName>
    <definedName name="Motiv_Bonus">#REF!</definedName>
    <definedName name="motodk150">#REF!</definedName>
    <definedName name="motodk180">#REF!</definedName>
    <definedName name="motodk200">#REF!</definedName>
    <definedName name="motodk240">#REF!</definedName>
    <definedName name="motodk255">#REF!</definedName>
    <definedName name="motodk272">#REF!</definedName>
    <definedName name="motothung10">#REF!</definedName>
    <definedName name="motothung12">#REF!</definedName>
    <definedName name="motothung12.5">#REF!</definedName>
    <definedName name="motothung2">#REF!</definedName>
    <definedName name="motothung2.5">#REF!</definedName>
    <definedName name="motothung20">#REF!</definedName>
    <definedName name="motothung4">#REF!</definedName>
    <definedName name="motothung5">#REF!</definedName>
    <definedName name="motothung6">#REF!</definedName>
    <definedName name="motothung7">#REF!</definedName>
    <definedName name="mototnuoc4">#REF!</definedName>
    <definedName name="mototnuoc5">#REF!</definedName>
    <definedName name="mototnuoc6">#REF!</definedName>
    <definedName name="mototnuoc7">#REF!</definedName>
    <definedName name="mototudo10">#REF!</definedName>
    <definedName name="mototudo12">#REF!</definedName>
    <definedName name="mototudo15">#REF!</definedName>
    <definedName name="mototudo2.5">#REF!</definedName>
    <definedName name="mototudo20">#REF!</definedName>
    <definedName name="mototudo25">#REF!</definedName>
    <definedName name="mototudo27">#REF!</definedName>
    <definedName name="mototudo3.5">#REF!</definedName>
    <definedName name="mototudo4">#REF!</definedName>
    <definedName name="mototudo5">#REF!</definedName>
    <definedName name="mototudo6">#REF!</definedName>
    <definedName name="mototudo7">#REF!</definedName>
    <definedName name="mototudo9">#REF!</definedName>
    <definedName name="motovcbt6">#REF!</definedName>
    <definedName name="MOVE">#REF!</definedName>
    <definedName name="MPBOH">#N/A</definedName>
    <definedName name="MPEOH">#N/A</definedName>
    <definedName name="mpha250">#REF!</definedName>
    <definedName name="mphaothep10">#REF!</definedName>
    <definedName name="mphaothep15">#REF!</definedName>
    <definedName name="mphatdienld10">#REF!</definedName>
    <definedName name="mphatdienld112">#REF!</definedName>
    <definedName name="mphatdienld122">#REF!</definedName>
    <definedName name="mphatdienld15">#REF!</definedName>
    <definedName name="mphatdienld20">#REF!</definedName>
    <definedName name="mphatdienld25">#REF!</definedName>
    <definedName name="mphatdienld30">#REF!</definedName>
    <definedName name="mphatdienld38">#REF!</definedName>
    <definedName name="mphatdienld45">#REF!</definedName>
    <definedName name="mphatdienld5.2">#REF!</definedName>
    <definedName name="mphatdienld50">#REF!</definedName>
    <definedName name="mphatdienld60">#REF!</definedName>
    <definedName name="mphatdienld75">#REF!</definedName>
    <definedName name="mphatdienld8">#REF!</definedName>
    <definedName name="mphunson400">#REF!</definedName>
    <definedName name="mphunvua2">#REF!</definedName>
    <definedName name="mphunvua4">#REF!</definedName>
    <definedName name="mqg" hidden="1">{#N/A,#N/A,FALSE,"Tabl. H1";#N/A,#N/A,FALSE,"Tabl. H2"}</definedName>
    <definedName name="mraibtsp500">#REF!</definedName>
    <definedName name="mraintn100">#REF!</definedName>
    <definedName name="mraintn65">#REF!</definedName>
    <definedName name="mromooc14">#REF!</definedName>
    <definedName name="mromooc15">#REF!</definedName>
    <definedName name="mromooc2">#REF!</definedName>
    <definedName name="mromooc21">#REF!</definedName>
    <definedName name="mromooc4">#REF!</definedName>
    <definedName name="mromooc7.5">#REF!</definedName>
    <definedName name="ms">#REF!</definedName>
    <definedName name="msangbentontie1">#REF!</definedName>
    <definedName name="msangruada11">#REF!</definedName>
    <definedName name="msangruada35">#REF!</definedName>
    <definedName name="msangruada45">#REF!</definedName>
    <definedName name="msanth108">#REF!</definedName>
    <definedName name="msanth180">#REF!</definedName>
    <definedName name="msanth250">#REF!</definedName>
    <definedName name="msanth54">#REF!</definedName>
    <definedName name="msanth90">#REF!</definedName>
    <definedName name="mtaukeo150">#REF!</definedName>
    <definedName name="mtaukeo360">#REF!</definedName>
    <definedName name="mtaukeo600">#REF!</definedName>
    <definedName name="mtb">#REF!</definedName>
    <definedName name="mtbipvlan150">#REF!</definedName>
    <definedName name="mth">{0.1;0;0.382758620689655;0;0;0;0.258620689655172;0;0.258620689655172}</definedName>
    <definedName name="mthungcapdkbx2.5">#REF!</definedName>
    <definedName name="mthungcapdkbx2.75">#REF!</definedName>
    <definedName name="mthungcapdkbx3">#REF!</definedName>
    <definedName name="mthungcapdkbx4.5">#REF!</definedName>
    <definedName name="mthungcapdkbx5">#REF!</definedName>
    <definedName name="mthungcapdkbx8">#REF!</definedName>
    <definedName name="mthungcapdkbx9">#REF!</definedName>
    <definedName name="mtien4.5">#REF!</definedName>
    <definedName name="mtk" hidden="1">{#N/A,#N/A,FALSE,"Tabl. FB300";#N/A,#N/A,FALSE,"Tabl. FB350";#N/A,#N/A,FALSE,"Tabl. FB400";#N/A,#N/A,FALSE,"Tabl. FB500";#N/A,#N/A,FALSE,"Tabl. FS090"}</definedName>
    <definedName name="mtoidien0.5">#REF!</definedName>
    <definedName name="mtoidien1">#REF!</definedName>
    <definedName name="mtoidien1.5">#REF!</definedName>
    <definedName name="mtoidien2">#REF!</definedName>
    <definedName name="mtoidien2.5">#REF!</definedName>
    <definedName name="mtoidien3">#REF!</definedName>
    <definedName name="mtoidien4">#REF!</definedName>
    <definedName name="mtoidien5">#REF!</definedName>
    <definedName name="mtrambomdau40">#REF!</definedName>
    <definedName name="mtrambomdau50">#REF!</definedName>
    <definedName name="mtramtronbt20">#REF!</definedName>
    <definedName name="mtramtronbt22">#REF!</definedName>
    <definedName name="mtramtronbt30">#REF!</definedName>
    <definedName name="mtramtronbt60">#REF!</definedName>
    <definedName name="mtramtronbtn25">#REF!</definedName>
    <definedName name="mtramtronbtn30">#REF!</definedName>
    <definedName name="mtramtronbtn40">#REF!</definedName>
    <definedName name="mtramtronbtn50">#REF!</definedName>
    <definedName name="mtramtronbtn60">#REF!</definedName>
    <definedName name="mtramtronbtn80">#REF!</definedName>
    <definedName name="mtrk" hidden="1">{#N/A,#N/A,FALSE,"Tabl. FB300";#N/A,#N/A,FALSE,"Tabl. FB350";#N/A,#N/A,FALSE,"Tabl. FB400";#N/A,#N/A,FALSE,"Tabl. FB500";#N/A,#N/A,FALSE,"Tabl. FS090"}</definedName>
    <definedName name="mtronbentonite1">#REF!</definedName>
    <definedName name="mtronbt100">#REF!</definedName>
    <definedName name="mtronbt1150">#REF!</definedName>
    <definedName name="mtronbt150">#REF!</definedName>
    <definedName name="mtronbt1600">#REF!</definedName>
    <definedName name="mtronbt200">#REF!</definedName>
    <definedName name="mtronbt250">#REF!</definedName>
    <definedName name="mtronbt425">#REF!</definedName>
    <definedName name="mtronbt500">#REF!</definedName>
    <definedName name="mtronbt800">#REF!</definedName>
    <definedName name="mtronvua110">#REF!</definedName>
    <definedName name="mtronvua150">#REF!</definedName>
    <definedName name="mtronvua200">#REF!</definedName>
    <definedName name="mtronvua250">#REF!</definedName>
    <definedName name="mtronvua325">#REF!</definedName>
    <definedName name="mtronvua80">#REF!</definedName>
    <definedName name="mucwip" hidden="1">{#N/A,#N/A,TRUE,"RM-June"}</definedName>
    <definedName name="Mullions" hidden="1">{#N/A,#N/A,TRUE,"Front";#N/A,#N/A,TRUE,"Simple Letter";#N/A,#N/A,TRUE,"Inside";#N/A,#N/A,TRUE,"Contents";#N/A,#N/A,TRUE,"Basis";#N/A,#N/A,TRUE,"Inclusions";#N/A,#N/A,TRUE,"Exclusions";#N/A,#N/A,TRUE,"Areas";#N/A,#N/A,TRUE,"Summary";#N/A,#N/A,TRUE,"Detail"}</definedName>
    <definedName name="MULTIPLES">#REF!</definedName>
    <definedName name="muonong2.8">#REF!</definedName>
    <definedName name="mus.xls"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Music_CS_Email">#REF!</definedName>
    <definedName name="Music_CS_Phone">#REF!</definedName>
    <definedName name="Music_Saves_Email">#REF!</definedName>
    <definedName name="Music_Saves_Phone">#REF!</definedName>
    <definedName name="Music_TS_Email">#REF!</definedName>
    <definedName name="Music_TS_Phone">#REF!</definedName>
    <definedName name="mustafa"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mustafa.saifuddi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ustafa.xls"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mvanthang0.3">#REF!</definedName>
    <definedName name="mvanthang0.5">#REF!</definedName>
    <definedName name="mvanthang2">#REF!</definedName>
    <definedName name="mw" hidden="1">{#N/A,#N/A,FALSE,"Pharm";#N/A,#N/A,FALSE,"WWCM"}</definedName>
    <definedName name="mxebombt90">#REF!</definedName>
    <definedName name="mxenanghang1.5">#REF!</definedName>
    <definedName name="mxenanghang12">#REF!</definedName>
    <definedName name="mxenanghang3">#REF!</definedName>
    <definedName name="mxenanghang3.2">#REF!</definedName>
    <definedName name="mxenanghang3.5">#REF!</definedName>
    <definedName name="mxenanghang5">#REF!</definedName>
    <definedName name="mxetuoinhua190">#REF!</definedName>
    <definedName name="mxuclat0.40">#REF!</definedName>
    <definedName name="mxuclat1.00">#REF!</definedName>
    <definedName name="mxuclat1.65">#REF!</definedName>
    <definedName name="mxuclat2.00">#REF!</definedName>
    <definedName name="mxuclat2.80">#REF!</definedName>
    <definedName name="MyBegOfYEar">#N/A</definedName>
    <definedName name="MyBookIncome">IF(BookIncome = "","",BookIncome)</definedName>
    <definedName name="MyFEIN">IF(FEIN="","",FEIN)</definedName>
    <definedName name="MyLastYear">#N/A</definedName>
    <definedName name="myle">#REF!</definedName>
    <definedName name="MyName">#N/A</definedName>
    <definedName name="MyNextYear">#N/A</definedName>
    <definedName name="MyTaxYear">#N/A</definedName>
    <definedName name="MYUJTG" hidden="1">{#N/A,#N/A,FALSE,"EW"}</definedName>
    <definedName name="MYUJTG_1" hidden="1">{#N/A,#N/A,FALSE,"EW"}</definedName>
    <definedName name="MYUJTG_2" hidden="1">{#N/A,#N/A,FALSE,"EW"}</definedName>
    <definedName name="MYUJTG_3" hidden="1">{#N/A,#N/A,FALSE,"EW"}</definedName>
    <definedName name="MYUJTG_4" hidden="1">{#N/A,#N/A,FALSE,"EW"}</definedName>
    <definedName name="mzb" hidden="1">{#N/A,#N/A,FALSE,"Tabl. D1";#N/A,#N/A,FALSE,"Tabl. D1 b";#N/A,#N/A,FALSE,"Tabl. D2";#N/A,#N/A,FALSE,"Tabl. D2 b";#N/A,#N/A,FALSE,"Tabl. D3";#N/A,#N/A,FALSE,"Tabl. D4";#N/A,#N/A,FALSE,"Tabl. D5"}</definedName>
    <definedName name="N" hidden="1">{"by departments",#N/A,TRUE,"FORECAST";"cap_headcount",#N/A,TRUE,"FORECAST";"summary",#N/A,TRUE,"FORECAST"}</definedName>
    <definedName name="N_2">"#REF!"</definedName>
    <definedName name="N_3">"#REF!"</definedName>
    <definedName name="N_4">"#REF!"</definedName>
    <definedName name="N_5">"#REF!"</definedName>
    <definedName name="N_6">"#REF!"</definedName>
    <definedName name="N_7">"#REF!"</definedName>
    <definedName name="NA_BS">#REF!</definedName>
    <definedName name="NAComms">#REF!</definedName>
    <definedName name="NADepr">#REF!</definedName>
    <definedName name="NADP">#REF!</definedName>
    <definedName name="NAIncent">#REF!</definedName>
    <definedName name="NAIncentives">#REF!</definedName>
    <definedName name="nam90ng" hidden="1">{"detail",#N/A,FALSE,"mfg";"summary",#N/A,FALSE,"mfg"}</definedName>
    <definedName name="nam9njk" hidden="1">{"detail",#N/A,FALSE,"mfg";"summary",#N/A,FALSE,"mfg"}</definedName>
    <definedName name="NAMaint">#REF!</definedName>
    <definedName name="Name">"Newco"</definedName>
    <definedName name="Name_1">"'file://Bks/D/draftfinancialsbymanojindushyd/BANDHAN-NBFC-_Fin_Statatement-2009-Ver-1-27.04.2009.xlsx'#$''.$B$2"</definedName>
    <definedName name="name1" hidden="1">{"detail",#N/A,FALSE,"mfg";"summary",#N/A,FALSE,"mfg"}</definedName>
    <definedName name="name10" hidden="1">{"detail",#N/A,FALSE,"mfg";"summary",#N/A,FALSE,"mfg"}</definedName>
    <definedName name="name101" hidden="1">{"detail",#N/A,FALSE,"mfg";"summary",#N/A,FALSE,"mfg"}</definedName>
    <definedName name="name102" hidden="1">{"detail",#N/A,FALSE,"mfg";"summary",#N/A,FALSE,"mfg"}</definedName>
    <definedName name="name11" hidden="1">{"detail",#N/A,FALSE,"mfg";"summary",#N/A,FALSE,"mfg"}</definedName>
    <definedName name="name12" hidden="1">{"detail",#N/A,FALSE,"mfg";"summary",#N/A,FALSE,"mfg"}</definedName>
    <definedName name="name2" hidden="1">{"detail",#N/A,FALSE,"mfg";"summary",#N/A,FALSE,"mfg"}</definedName>
    <definedName name="name202" hidden="1">{"detail",#N/A,FALSE,"mfg";"summary",#N/A,FALSE,"mfg"}</definedName>
    <definedName name="name203" hidden="1">{"detail",#N/A,FALSE,"mfg";"summary",#N/A,FALSE,"mfg"}</definedName>
    <definedName name="name212" hidden="1">{"detail",#N/A,FALSE,"mfg";"summary",#N/A,FALSE,"mfg"}</definedName>
    <definedName name="name213" hidden="1">{"detail",#N/A,FALSE,"mfg";"summary",#N/A,FALSE,"mfg"}</definedName>
    <definedName name="name31" hidden="1">{"detail",#N/A,FALSE,"mfg";"summary",#N/A,FALSE,"mfg"}</definedName>
    <definedName name="name32" hidden="1">{"detail",#N/A,FALSE,"mfg";"summary",#N/A,FALSE,"mfg"}</definedName>
    <definedName name="name34" hidden="1">{"detail",#N/A,FALSE,"mfg";"summary",#N/A,FALSE,"mfg"}</definedName>
    <definedName name="name35" hidden="1">{"detail",#N/A,FALSE,"mfg";"summary",#N/A,FALSE,"mfg"}</definedName>
    <definedName name="NAME41" hidden="1">{"detail",#N/A,FALSE,"mfg";"summary",#N/A,FALSE,"mfg"}</definedName>
    <definedName name="name412" hidden="1">{"detail",#N/A,FALSE,"mfg";"summary",#N/A,FALSE,"mfg"}</definedName>
    <definedName name="name413" hidden="1">{"detail",#N/A,FALSE,"mfg";"summary",#N/A,FALSE,"mfg"}</definedName>
    <definedName name="name42" hidden="1">{"detail",#N/A,FALSE,"mfg";"summary",#N/A,FALSE,"mfg"}</definedName>
    <definedName name="name45" hidden="1">{"detail",#N/A,FALSE,"mfg";"summary",#N/A,FALSE,"mfg"}</definedName>
    <definedName name="name51" hidden="1">{"detail",#N/A,FALSE,"mfg";"summary",#N/A,FALSE,"mfg"}</definedName>
    <definedName name="name54ghs" hidden="1">{"detail",#N/A,FALSE,"mfg";"summary",#N/A,FALSE,"mfg"}</definedName>
    <definedName name="name56a" hidden="1">{"detail",#N/A,FALSE,"mfg";"summary",#N/A,FALSE,"mfg"}</definedName>
    <definedName name="name56a56" hidden="1">{"detail",#N/A,FALSE,"mfg";"summary",#N/A,FALSE,"mfg"}</definedName>
    <definedName name="name61" hidden="1">{"detail",#N/A,FALSE,"mfg";"summary",#N/A,FALSE,"mfg"}</definedName>
    <definedName name="name71" hidden="1">{"detail",#N/A,FALSE,"mfg";"summary",#N/A,FALSE,"mfg"}</definedName>
    <definedName name="name89shj" hidden="1">{"detail",#N/A,FALSE,"mfg";"summary",#N/A,FALSE,"mfg"}</definedName>
    <definedName name="namea101" hidden="1">{"detail",#N/A,FALSE,"mfg";"summary",#N/A,FALSE,"mfg"}</definedName>
    <definedName name="nameb45" hidden="1">{"detail",#N/A,FALSE,"mfg";"summary",#N/A,FALSE,"mfg"}</definedName>
    <definedName name="nameiges" hidden="1">{"detail",#N/A,FALSE,"mfg";"summary",#N/A,FALSE,"mfg"}</definedName>
    <definedName name="nanda" hidden="1">{#N/A,#N/A,FALSE,"Staffnos &amp; cost"}</definedName>
    <definedName name="narayan" hidden="1">{"SUMMARY",#N/A,FALSE,"Summary"}</definedName>
    <definedName name="navneet" hidden="1">{"'Sheet3'!$A$1:$B$30"}</definedName>
    <definedName name="NBCost">#REF!</definedName>
    <definedName name="nbh" hidden="1">{#N/A,#N/A,FALSE,"Staffnos &amp; cost"}</definedName>
    <definedName name="nbhj" hidden="1">{"QTD_LPO2N2",#N/A,FALSE,"QTD";"QTD_HYCO",#N/A,FALSE,"QTD";"QTD_LOUISIANA",#N/A,FALSE,"QTD";"QTD_GENERALH2",#N/A,FALSE,"QTD";"QTD_PACKAGE",#N/A,FALSE,"QTD";"QTD_PRS",#N/A,FALSE,"QTD";"QTD_OTHER",#N/A,FALSE,"QTD"}</definedName>
    <definedName name="NBPL" hidden="1">{TRUE,TRUE,-1.25,-15.5,480.75,272.25,FALSE,TRUE,TRUE,TRUE,0,1,#N/A,1,#N/A,13.1904761904762,23.5384615384615,1,FALSE,FALSE,3,TRUE,1,FALSE,75,"Swvu.FAX.","ACwvu.FAX.",#N/A,FALSE,FALSE,0.25,0.25,1,1,1,"","",TRUE,FALSE,FALSE,TRUE,1,#N/A,1,1,"=R1C1:R16C13",FALSE,#N/A,#N/A,FALSE,FALSE,FALSE,9,300,300,FALSE,FALSE,TRUE,TRUE,TRUE}</definedName>
    <definedName name="NBPL." hidden="1">{TRUE,TRUE,-1.25,-15.5,480.75,272.25,FALSE,TRUE,TRUE,TRUE,0,1,#N/A,1,#N/A,13.1904761904762,23.5384615384615,1,FALSE,FALSE,3,TRUE,1,FALSE,75,"Swvu.FAX.","ACwvu.FAX.",#N/A,FALSE,FALSE,0.25,0.25,1,1,1,"","",TRUE,FALSE,FALSE,TRUE,1,#N/A,1,1,"=R1C1:R16C13",FALSE,#N/A,#N/A,FALSE,FALSE,FALSE,9,300,300,FALSE,FALSE,TRUE,TRUE,TRUE}</definedName>
    <definedName name="nbv" hidden="1">{"Polymers Details",#N/A,FALSE,"Current Yr";"Polymer Details",#N/A,FALSE,"Budget";"Polymer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gh" hidden="1">{#N/A,#N/A,FALSE,"PMTABB";#N/A,#N/A,FALSE,"PMTABB"}</definedName>
    <definedName name="nbvgh_2" hidden="1">{#N/A,#N/A,FALSE,"PMTABB";#N/A,#N/A,FALSE,"PMTABB"}</definedName>
    <definedName name="nbvgh_3" hidden="1">{#N/A,#N/A,FALSE,"PMTABB";#N/A,#N/A,FALSE,"PMTABB"}</definedName>
    <definedName name="nbvgh_4" hidden="1">{#N/A,#N/A,FALSE,"PMTABB";#N/A,#N/A,FALSE,"PMTABB"}</definedName>
    <definedName name="nc">#REF!</definedName>
    <definedName name="NCC">#REF!</definedName>
    <definedName name="ncdjanc" hidden="1">{"'Sheet1'!$L$16"}</definedName>
    <definedName name="ncong">#REF!</definedName>
    <definedName name="ndmmdms">#N/A</definedName>
    <definedName name="NET">#REF!</definedName>
    <definedName name="NET_1">#REF!</definedName>
    <definedName name="NET_ANA">#REF!</definedName>
    <definedName name="NET_ANA_1">#REF!</definedName>
    <definedName name="NET_ANA_2">#REF!</definedName>
    <definedName name="Net_Current_Assets">#REF!</definedName>
    <definedName name="Net_Long_Term_Assets">#REF!</definedName>
    <definedName name="Net_Total_Assets">#REF!</definedName>
    <definedName name="NetCapex">OFFSET(#REF!,1,0,COUNTA(OFFSET(#REF!,1,0,100,1)))</definedName>
    <definedName name="NetDebt">CASH-TotalDebt</definedName>
    <definedName name="NetInterest">InterestIncome-InterestExpense</definedName>
    <definedName name="new" hidden="1">{#N/A,#N/A,FALSE,"Pharm";#N/A,#N/A,FALSE,"WWCM"}</definedName>
    <definedName name="New_product">#REF!</definedName>
    <definedName name="New_Salaries">#REF!</definedName>
    <definedName name="newack2">#REF!</definedName>
    <definedName name="Newco">#REF!</definedName>
    <definedName name="NEWColton" hidden="1">{#N/A,#N/A,FALSE,"U_SUBS-97";#N/A,#N/A,FALSE,"S_BARIMP-97";#N/A,#N/A,FALSE,"S_SUBS20-97";#N/A,#N/A,FALSE,"S_VUAIMP-97";#N/A,#N/A,FALSE,"S_WTKDEV-97"}</definedName>
    <definedName name="NewComparison" hidden="1">{#N/A,#N/A,FALSE,"Aging Summary";#N/A,#N/A,FALSE,"Ratio Analysis";#N/A,#N/A,FALSE,"Test 120 Day Accts";#N/A,#N/A,FALSE,"Tickmarks"}</definedName>
    <definedName name="newdec">#N/A</definedName>
    <definedName name="newname" hidden="1">{"CTCp1",#N/A,FALSE,"CTC Report";"CTCp2",#N/A,FALSE,"CTC Report";"CTCp3",#N/A,FALSE,"CTC Report";"CTCp4",#N/A,FALSE,"CTC Report"}</definedName>
    <definedName name="NewNetCapex">OFFSET(#REF!,0,1)</definedName>
    <definedName name="newnewnew" hidden="1">{#N/A,#N/A,FALSE,"Pharm";#N/A,#N/A,FALSE,"WWCM"}</definedName>
    <definedName name="newslabs">#REF!</definedName>
    <definedName name="newwrn.full" hidden="1">{"balance",#N/A,FALSE,"Remedy-model";"calendar quarterly",#N/A,FALSE,"Remedy-model";"cash flow",#N/A,FALSE,"Remedy-model";"fiscal quarter",#N/A,FALSE,"Remedy-model";"income",#N/A,FALSE,"Remedy-model";"percentage",#N/A,FALSE,"Remedy-model"}</definedName>
    <definedName name="newwrn.quarterly" hidden="1">{"Calenquart",#N/A,FALSE,"Remedy-model";"fiscquarter",#N/A,FALSE,"Remedy-model"}</definedName>
    <definedName name="next_qtr_eps">#REF!</definedName>
    <definedName name="nf" hidden="1">{#N/A,#N/A,FALSE,"Staffnos &amp; cost"}</definedName>
    <definedName name="nfj" hidden="1">{#N/A,#N/A,FALSE,"Staffnos &amp; cost"}</definedName>
    <definedName name="NG">#REF!</definedName>
    <definedName name="NGFHFG" hidden="1">{#N/A,#N/A,FALSE,"PGW"}</definedName>
    <definedName name="NGFHFG_1" hidden="1">{#N/A,#N/A,FALSE,"PGW"}</definedName>
    <definedName name="NGFHFG_2" hidden="1">{#N/A,#N/A,FALSE,"PGW"}</definedName>
    <definedName name="NGFHFG_3" hidden="1">{#N/A,#N/A,FALSE,"PGW"}</definedName>
    <definedName name="NGFHFG_4" hidden="1">{#N/A,#N/A,FALSE,"PGW"}</definedName>
    <definedName name="nh" hidden="1">{"AS REP",#N/A,FALSE,"EEFSNAP2";"PROP",#N/A,FALSE,"EEFSNAP2";"RISKS",#N/A,FALSE,"EEFSNAP2";"VIEW ALL",#N/A,FALSE,"EEFSNAP2"}</definedName>
    <definedName name="NHot">#REF!</definedName>
    <definedName name="nhu" hidden="1">{#N/A,"PURADD",FALSE,"Business Analysis";#N/A,"PURSPP",FALSE,"Business Analysis";#N/A,"CTGIND",FALSE,"Business Analysis";#N/A,"PURCHM",FALSE,"Business Analysis";#N/A,"SPADD",FALSE,"Business Analysis";#N/A,"EPOXY",FALSE,"Business Analysis";#N/A,"PURPER",FALSE,"Business Analysis"}</definedName>
    <definedName name="NI">#REF!</definedName>
    <definedName name="nihar">Scheduled_Payment+Extra_Payment</definedName>
    <definedName name="nijnsh" hidden="1">{"detail",#N/A,FALSE,"mfg";"summary",#N/A,FALSE,"mfg"}</definedName>
    <definedName name="NIrate">12.2/100</definedName>
    <definedName name="NIRate_1">11.9%</definedName>
    <definedName name="NIRate_2">10.75%</definedName>
    <definedName name="nit" hidden="1">{#N/A,#N/A,FALSE,"Tabl. D1";#N/A,#N/A,FALSE,"Tabl. D1 b";#N/A,#N/A,FALSE,"Tabl. D2";#N/A,#N/A,FALSE,"Tabl. D2 b";#N/A,#N/A,FALSE,"Tabl. D3";#N/A,#N/A,FALSE,"Tabl. D4";#N/A,#N/A,FALSE,"Tabl. D5"}</definedName>
    <definedName name="nitru" hidden="1">{#N/A,#N/A,FALSE,"Tabl. G1";#N/A,#N/A,FALSE,"Tabl. G2"}</definedName>
    <definedName name="nj9km" hidden="1">{"detail",#N/A,FALSE,"mfg";"summary",#N/A,FALSE,"mfg"}</definedName>
    <definedName name="njhfds" hidden="1">{#N/A,"PURCHM",FALSE,"Business Analysis";#N/A,"SPADD",FALSE,"Business Analysis"}</definedName>
    <definedName name="njis76" hidden="1">{"detail",#N/A,FALSE,"mfg";"summary",#N/A,FALSE,"mfg"}</definedName>
    <definedName name="njkjsh" hidden="1">{"detail",#N/A,FALSE,"mfg";"summary",#N/A,FALSE,"mfg"}</definedName>
    <definedName name="nkmi9c" hidden="1">{#N/A,"PURCHM",FALSE,"Business Analysis";#N/A,"SPADD",FALSE,"Business Analysis"}</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hidden="1">{"pro_view",#N/A,FALSE,"EEFSNAP2";"rep_view",#N/A,FALSE,"EEFSNAP2"}</definedName>
    <definedName name="nmk">#N/A</definedName>
    <definedName name="nmkjhu" hidden="1">{#N/A,#N/A,FALSE,"COMP"}</definedName>
    <definedName name="nmkjioujhyhhs" hidden="1">{#N/A,#N/A,FALSE,"COMP"}</definedName>
    <definedName name="nmkjunh" hidden="1">{#N/A,#N/A,FALSE,"COMP"}</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n" hidden="1">{#N/A,#N/A,FALSE,"PRJCTED QTRLY $'s"}</definedName>
    <definedName name="nngg">City&amp;" "&amp;State</definedName>
    <definedName name="nnh" hidden="1">{"Pa1",#N/A,FALSE,"OpExYTDvsPY";"Pa2",#N/A,FALSE,"OpExYTDvsPY"}</definedName>
    <definedName name="nnn_1">"#REF!"</definedName>
    <definedName name="nnn_2">"#REF!"</definedName>
    <definedName name="nnnb" hidden="1">{"consolidated",#N/A,FALSE,"Sheet1";"cms",#N/A,FALSE,"Sheet1";"fse",#N/A,FALSE,"Sheet1"}</definedName>
    <definedName name="nnnnm_1">"#REF!"</definedName>
    <definedName name="nnnnm_2">"#REF!"</definedName>
    <definedName name="nnnnn" hidden="1">{"eingeklappt",#N/A,FALSE,"TOTAL SHARED";"ausgeklappt",#N/A,FALSE,"TOTAL SHARED"}</definedName>
    <definedName name="nnnnnnnnnn" hidden="1">{#N/A,#N/A,FALSE,"Status of Projects";#N/A,#N/A,FALSE,"CEA-TEC";#N/A,#N/A,FALSE,"U-Constr.";#N/A,#N/A,FALSE,"summary";#N/A,#N/A,FALSE,"PPP-3 yrs"}</definedName>
    <definedName name="nnnnnnnnnnnnnnnnnnnnnnnnnnnnnnnnnnnnnnnnnnnnnnnnnnnnnnnnnnnnnnnnnnnnnnnnnnnnnnnn" hidden="1">{#N/A,#N/A,FALSE,"Staffnos &amp; cost"}</definedName>
    <definedName name="No">#REF!</definedName>
    <definedName name="No_resources">#REF!</definedName>
    <definedName name="NOAH" hidden="1">{#N/A,#N/A,FALSE,"Quarterly";#N/A,#N/A,FALSE,"Quarterly Other";#N/A,#N/A,FALSE,"Prod Rev";#N/A,#N/A,FALSE,"Balance Sheet Tracking";#N/A,#N/A,FALSE,"Annual";#N/A,#N/A,FALSE,"Balance Sheet"}</definedName>
    <definedName name="noidea" hidden="1">{#N/A,#N/A,FALSE,"Calc";#N/A,#N/A,FALSE,"Sensitivity";#N/A,#N/A,FALSE,"LT Earn.Dil.";#N/A,#N/A,FALSE,"Dil. AVP"}</definedName>
    <definedName name="nol" hidden="1">{#N/A,#N/A,FALSE,"91NOLCB";#N/A,#N/A,FALSE,"92NOLCB";#N/A,#N/A,FALSE,"93NOLCB"}</definedName>
    <definedName name="nop">#N/A</definedName>
    <definedName name="NORIN">#N/A</definedName>
    <definedName name="note_1_2">#REF!</definedName>
    <definedName name="note_2">#REF!</definedName>
    <definedName name="NOTE_234c">#REF!</definedName>
    <definedName name="NOTE_3">#REF!</definedName>
    <definedName name="NOTE_4">#REF!</definedName>
    <definedName name="NOTE_4_5">#REF!</definedName>
    <definedName name="Note_Cap_Crit">#REF!</definedName>
    <definedName name="Note_inc_Exp">#REF!</definedName>
    <definedName name="Note_to_Auditors">#REF!</definedName>
    <definedName name="NOTE1_2">#REF!</definedName>
    <definedName name="notes"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uv" hidden="1">{#N/A,#N/A,FALSE,"Pharm";#N/A,#N/A,FALSE,"WWCM"}</definedName>
    <definedName name="NOV">#REF!</definedName>
    <definedName name="Nov_YTD_Options">#REF!</definedName>
    <definedName name="Nov_YTD_Plan_Options">#REF!</definedName>
    <definedName name="November_Options">#REF!</definedName>
    <definedName name="NOVPLAN">#REF!</definedName>
    <definedName name="ñp" hidden="1">{#N/A,"PURCHM",FALSE,"Business Analysis";#N/A,"SPADD",FALSE,"Business Analysis"}</definedName>
    <definedName name="NRI_MKT1">#REF!</definedName>
    <definedName name="nska" hidden="1">{#N/A,#N/A,FALSE,"COMP"}</definedName>
    <definedName name="nSkip">15</definedName>
    <definedName name="nslka" hidden="1">{#N/A,#N/A,FALSE,"COMP"}</definedName>
    <definedName name="NSS_Capex_Details" hidden="1">{#N/A,#N/A,FALSE,"Staffnos &amp; cost"}</definedName>
    <definedName name="nte" hidden="1">{"'7'!$B$15:$D$32"}</definedName>
    <definedName name="nuijh467" hidden="1">{"detail",#N/A,FALSE,"mfg";"summary",#N/A,FALSE,"mfg"}</definedName>
    <definedName name="Num_Pmt_Per_Year">#REF!</definedName>
    <definedName name="Number_of_Payments">MATCH(0.01,End_Bal,-1)+1</definedName>
    <definedName name="nuMonth">4</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us">#REF!</definedName>
    <definedName name="NvEndtime">37371.09103125</definedName>
    <definedName name="NvsASD">"V2008-01-31"</definedName>
    <definedName name="NvsASD_1">"V2005-08-31"</definedName>
    <definedName name="nvsasd1">"V2002-07-31"</definedName>
    <definedName name="NvsAutoDrillOk">"VN"</definedName>
    <definedName name="NvsDrillHyperLink_1">"http://dldv2.del.techbooks.com:31691/psp/psfsuat_newwin/EMPLOYEE/ERP/c/REPORT_BOOKS.IC_RUN_DRILLDOWN.GBL?Action=A&amp;NVS_INSTANCE=371096_321813"</definedName>
    <definedName name="NvsElapsedTime">0.0000231481535593048</definedName>
    <definedName name="NvsElapsedTime_1">0.0000462962998426519</definedName>
    <definedName name="NvsElapTime">0.0000292824042844586</definedName>
    <definedName name="NvsEndTime">39484.6601736111</definedName>
    <definedName name="NvsEndTime_1">38603.7155555556</definedName>
    <definedName name="NvsImportActivity">"Import Journals from nVision"</definedName>
    <definedName name="NvsInstanceHook">"Module1.ClientSort"</definedName>
    <definedName name="NvsInstLang">"VENG"</definedName>
    <definedName name="NvsInstSpec">"%,FDEPTID,V1608"</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"%,X,RZF.ACCOUNT.,CZF.."</definedName>
    <definedName name="NvsPanelBusUnit">"V"</definedName>
    <definedName name="NvsPanelEffdt">"V1998-01-16"</definedName>
    <definedName name="NvsPanelSetid">"VBISG"</definedName>
    <definedName name="NvsReqBU">"VWILCO"</definedName>
    <definedName name="NvsReqBUOnly">"VY"</definedName>
    <definedName name="NvsSheetType_1">"M"</definedName>
    <definedName name="NvsTransLed">"VN"</definedName>
    <definedName name="NvsTreeASD">"V1999-07-15"</definedName>
    <definedName name="NvsTreeASD_1">"V2005-08-31"</definedName>
    <definedName name="NvsValTbl.ACCOUNT">"GL_ACCOUNT_TBL"</definedName>
    <definedName name="NvsValTbl.AON_BK_IND">"AON_BK_IND_TBL"</definedName>
    <definedName name="NvsValTbl.BOOK_CODE">"BOOK_CODE_TBL"</definedName>
    <definedName name="NvsValTbl.BUSINESS_UNIT">"BUS_UNIT_TBL_GL"</definedName>
    <definedName name="NvsValTbl.CHARTFIELD1">"CHARTFIELD1_TBL"</definedName>
    <definedName name="NvsValTbl.CURRENCY_CD">"CURRENCY_CD_TBL"</definedName>
    <definedName name="NvsValTbl.DEPTID">"DEPARTMENT_TBL"</definedName>
    <definedName name="NvsValTbl.FUNCTION_MP">"FUNCTION_MP_TBL"</definedName>
    <definedName name="NvsValTbl.OPERATING_UNIT">"OPER_UNIT_TBL"</definedName>
    <definedName name="NvsValTbl.PRODUCT">"PRODUCT_TBL"</definedName>
    <definedName name="NvsValTbl.PROJECT_ID">"PROJECT"</definedName>
    <definedName name="NvsValTbl.STATISTICS_CODE">"STAT_TBL"</definedName>
    <definedName name="NWSM_new" hidden="1">{#N/A,#N/A,TRUE,"Staffnos &amp; cost"}</definedName>
    <definedName name="o" hidden="1">{"detail",#N/A,FALSE,"mfg";"summary",#N/A,FALSE,"mfg"}</definedName>
    <definedName name="o_2" hidden="1">{"Geo - Detail Detail",#N/A,FALSE,"Geo View";"Geo - Detail",#N/A,FALSE,"Geo View";"Dept - Detail Detail",#N/A,FALSE,"Dept View";"Dept - Detail",#N/A,FALSE,"Dept View"}</definedName>
    <definedName name="obgI">#REF!</definedName>
    <definedName name="obpl_2">"#REF!"</definedName>
    <definedName name="obpl_3">"#REF!"</definedName>
    <definedName name="obpl_4">"#REF!"</definedName>
    <definedName name="obpl_5">"#REF!"</definedName>
    <definedName name="obpl_6">"#REF!"</definedName>
    <definedName name="obpl_7">"#REF!"</definedName>
    <definedName name="OCC_SWITCH">#REF!</definedName>
    <definedName name="ocpl">#REF!</definedName>
    <definedName name="ocplratio">#REF!</definedName>
    <definedName name="OCT" hidden="1">{#N/A,#N/A,FALSE,"Tabl. G1";#N/A,#N/A,FALSE,"Tabl. G2"}</definedName>
    <definedName name="OCTLTM">#REF!</definedName>
    <definedName name="OCTPLAN">#REF!</definedName>
    <definedName name="offshore_11">"#REF!"</definedName>
    <definedName name="offshore_15">"#REF!"</definedName>
    <definedName name="offshore_8">"#REF!"</definedName>
    <definedName name="offshore_9">"#REF!"</definedName>
    <definedName name="ogcfour">#REF!</definedName>
    <definedName name="ogcI">#REF!</definedName>
    <definedName name="ogcII">#REF!</definedName>
    <definedName name="ogcIII">#REF!</definedName>
    <definedName name="ogcIV">#REF!</definedName>
    <definedName name="ogcone">#REF!</definedName>
    <definedName name="ogcthree">#REF!</definedName>
    <definedName name="ogctwo">#REF!</definedName>
    <definedName name="ogkvsfj" hidden="1">{#N/A,#N/A,FALSE,"Model";#N/A,#N/A,FALSE,"Division"}</definedName>
    <definedName name="Oher_services">#REF!</definedName>
    <definedName name="ohr_1">NA()</definedName>
    <definedName name="OIC">{#N/A,#N/A,FALSE,"PMTABB";#N/A,#N/A,FALSE,"PMTABB"}</definedName>
    <definedName name="OIC_1">{#N/A,#N/A,FALSE,"PMTABB";#N/A,#N/A,FALSE,"PMTABB"}</definedName>
    <definedName name="OIC_2">{#N/A,#N/A,FALSE,"PMTABB";#N/A,#N/A,FALSE,"PMTABB"}</definedName>
    <definedName name="OIC_3">{#N/A,#N/A,FALSE,"PMTABB";#N/A,#N/A,FALSE,"PMTABB"}</definedName>
    <definedName name="OIC_4">{#N/A,#N/A,FALSE,"PMTABB";#N/A,#N/A,FALSE,"PMTABB"}</definedName>
    <definedName name="oidd" hidden="1">{TRUE,TRUE,-1.25,-15.5,456.75,279.75,FALSE,FALSE,TRUE,TRUE,0,1,21,1,127,6,3,4,TRUE,TRUE,3,TRUE,1,TRUE,100,"Swvu.profits.","ACwvu.profits.",1,FALSE,FALSE,0.511811023622047,0.511811023622047,0.511811023622047,0.511811023622047,1,"","",FALSE,FALSE,FALSE,FALSE,1,#N/A,1,1,#DIV/0!,FALSE,"Rwvu.profits.",#N/A,FALSE,FALSE}</definedName>
    <definedName name="OIEIEWEURER" hidden="1">{#N/A,#N/A,FALSE,"Aging Summary";#N/A,#N/A,FALSE,"Ratio Analysis";#N/A,#N/A,FALSE,"Test 120 Day Accts";#N/A,#N/A,FALSE,"Tickmarks"}</definedName>
    <definedName name="oifd" hidden="1">{"detail",#N/A,FALSE,"mfg";"summary",#N/A,FALSE,"mfg"}</definedName>
    <definedName name="oiirx" hidden="1">{"net assets",#N/A,FALSE,"summary";"asset turnover",#N/A,FALSE,"summary";"orona",#N/A,FALSE,"summary"}</definedName>
    <definedName name="OILKULY" hidden="1">{#N/A,#N/A,FALSE,"PMTABB";#N/A,#N/A,FALSE,"PMTABB"}</definedName>
    <definedName name="oimn" hidden="1">{"QTD_PRS",#N/A,FALSE,"QTD"}</definedName>
    <definedName name="oink" hidden="1">{"TOTAL",#N/A,FALSE,"A";"FISCAL94",#N/A,FALSE,"A";"FISCAL95",#N/A,FALSE,"A";"FISCAL96",#N/A,FALSE,"A";"misc page",#N/A,FALSE,"A"}</definedName>
    <definedName name="oins" hidden="1">{"detail",#N/A,FALSE,"mfg";"summary",#N/A,FALSE,"mfg"}</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hidden="1">{"AS REP",#N/A,FALSE,"EEFSNAP2";"PROP",#N/A,FALSE,"EEFSNAP2";"RISKS",#N/A,FALSE,"EEFSNAP2";"VIEW ALL",#N/A,FALSE,"EEFSNAP2"}</definedName>
    <definedName name="oiup" hidden="1">{#N/A,"PURCHM",FALSE,"Business Analysis";#N/A,"SPADD",FALSE,"Business Analysis"}</definedName>
    <definedName name="oiuy" hidden="1">{"Polymers Details",#N/A,FALSE,"Current Yr";"Polymer Details",#N/A,FALSE,"Budget";"Polymer Details",#N/A,FALSE,"Prior Year"}</definedName>
    <definedName name="ok">{0;0;0;0;1;1;0;0;0.6;0.3;2;FALSE;FALSE;FALSE;FALSE;FALSE;#N/A;1;100;#N/A;#N/A;"";""}</definedName>
    <definedName name="ol" hidden="1">{"vol data",#N/A,FALSE,"Datasheet";"vol graph",#N/A,FALSE,"Volume";"price data",#N/A,FALSE,"Datasheet";"price graph",#N/A,FALSE,"Price";"dp data",#N/A,FALSE,"Datasheet";"dp graph",#N/A,FALSE,"DirectProfit"}</definedName>
    <definedName name="olan" hidden="1">5</definedName>
    <definedName name="old" hidden="1">3</definedName>
    <definedName name="OLE_LINK1">"$boq.$"</definedName>
    <definedName name="OLE_LINK2">"$boq.$"</definedName>
    <definedName name="om" hidden="1">{"BS",#N/A,FALSE,"BS";"BS trend",#N/A,FALSE,"BS";"KPI",#N/A,FALSE,"KPI";"KPI trend",#N/A,FALSE,"KPI";"CF trend",#N/A,FALSE,"CF";"CF",#N/A,FALSE,"CF";"P&amp;LC",#N/A,FALSE,"P&amp;L";"P&amp;LC trend",#N/A,FALSE,"P&amp;L";"traffic",#N/A,FALSE,"Traffic";"P&amp;LR",#N/A,FALSE,"P&amp;L";"P&amp;LR trend",#N/A,FALSE,"P&amp;L";#N/A,#N/A,FALSE,"Variance";"Debtors",#N/A,FALSE,"Deb"}</definedName>
    <definedName name="ompl">#REF!</definedName>
    <definedName name="on" hidden="1">{"overview",#N/A,FALSE,"summary";"net assets",#N/A,FALSE,"summary";"asset turnover",#N/A,FALSE,"summary";"orona",#N/A,FALSE,"summary"}</definedName>
    <definedName name="onj" hidden="1">{"Pa1",#N/A,FALSE,"OpExYTDvsPY";"Pa2",#N/A,FALSE,"OpExYTDvsPY"}</definedName>
    <definedName name="oo.ll" hidden="1">{#N/A,#N/A,FALSE,"Umsatz HM";#N/A,#N/A,FALSE,"ER HM";#N/A,#N/A,FALSE,"EA HM  (2)";#N/A,#N/A,FALSE,"EA HM ";#N/A,#N/A,FALSE,"EA HM  (4)";#N/A,#N/A,FALSE,"EA HM  (3)";#N/A,#N/A,FALSE,"KA HM  (2)";#N/A,#N/A,FALSE,"KA HM";#N/A,#N/A,FALSE,"KA HM  (3)";#N/A,#N/A,FALSE,"KA HM (4)"}</definedName>
    <definedName name="oojj" hidden="1">{#N/A,#N/A,FALSE,"CDA Plan"}</definedName>
    <definedName name="ööl" hidden="1">{#N/A,#N/A,FALSE,"KA CH  (2)"}</definedName>
    <definedName name="öölälkk" hidden="1">{#N/A,#N/A,FALSE,"Umsatz 99";#N/A,#N/A,FALSE,"ER 99 "}</definedName>
    <definedName name="öölkk" hidden="1">{#N/A,#N/A,FALSE,"Umsatz CH";#N/A,#N/A,FALSE,"ER CH";#N/A,#N/A,FALSE,"EA CH (2) ";#N/A,#N/A,FALSE,"EA CH";#N/A,#N/A,FALSE,"EA CH (3) ";#N/A,#N/A,FALSE,"EA CH (4)";#N/A,#N/A,FALSE,"KA CH";#N/A,#N/A,FALSE,"KA CH  (2)";#N/A,#N/A,FALSE,"KA CH  (3)";#N/A,#N/A,FALSE,"KA CH (4)"}</definedName>
    <definedName name="oolo.lll" hidden="1">{#N/A,#N/A,FALSE,"Umsatz 99";#N/A,#N/A,FALSE,"ER 99 "}</definedName>
    <definedName name="ooo" hidden="1">{#N/A,#N/A,FALSE,"REPORT"}</definedName>
    <definedName name="ööö" hidden="1">{#N/A,#N/A,FALSE,"Produkte Erw.";#N/A,#N/A,FALSE,"Produkte Plan";#N/A,#N/A,FALSE,"Leistungen Erw.";#N/A,#N/A,FALSE,"Leistungen Plan";#N/A,#N/A,FALSE,"KA Allg.Kosten (2)";#N/A,#N/A,FALSE,"KA All.Kosten"}</definedName>
    <definedName name="oooo" hidden="1">{#N/A,#N/A,FALSE,"Rohstoffnotierungen";#N/A,#N/A,FALSE,"ER HCST Erw. 99";#N/A,#N/A,FALSE,"ER HCST Plan 00";#N/A,#N/A,FALSE,"Umsatz KG";#N/A,#N/A,FALSE,"ER HCST";#N/A,#N/A,FALSE,"EA ST (2)";#N/A,#N/A,FALSE,"EA ST";#N/A,#N/A,FALSE,"EA ST (3)";#N/A,#N/A,FALSE,"EA ST (4)";#N/A,#N/A,FALSE,"KA ST  (2)";#N/A,#N/A,FALSE,"KA ST";#N/A,#N/A,FALSE,"KA ST  (3)";#N/A,#N/A,FALSE,"KA ST (4)"}</definedName>
    <definedName name="ooooo" hidden="1">{#N/A,#N/A,FALSE,"Calc";#N/A,#N/A,FALSE,"Sensitivity";#N/A,#N/A,FALSE,"LT Earn.Dil.";#N/A,#N/A,FALSE,"Dil. AVP"}</definedName>
    <definedName name="oooooooo" hidden="1">{#N/A,#N/A,FALSE,"Umsatz 99";#N/A,#N/A,FALSE,"ER 99 "}</definedName>
    <definedName name="oop_balance_sheet_summary">#REF!</definedName>
    <definedName name="oop_bookings">#REF!</definedName>
    <definedName name="oop_bookings_and_backlog_detail">#REF!</definedName>
    <definedName name="oop_bookings_summary">#REF!</definedName>
    <definedName name="oop_direct_margin_rate">#REF!</definedName>
    <definedName name="oop_gross_margin">#REF!</definedName>
    <definedName name="oop_gross_margin_percent">#REF!</definedName>
    <definedName name="oop_headcount">#REF!</definedName>
    <definedName name="oop_income_statement_detail">#REF!</definedName>
    <definedName name="oop_income_statement_variances">#REF!</definedName>
    <definedName name="oop_inventory">#REF!</definedName>
    <definedName name="oop_net_cash_position">#REF!</definedName>
    <definedName name="oop_operating_cash_flow">#REF!</definedName>
    <definedName name="oop_operating_measures">#REF!</definedName>
    <definedName name="oop_operating_summary">#REF!</definedName>
    <definedName name="oop_recaps">#REF!</definedName>
    <definedName name="oop_return_on_managed_assets">#REF!</definedName>
    <definedName name="oop_sales_and_margin">#REF!</definedName>
    <definedName name="oop_trade_accounts_payables">#REF!</definedName>
    <definedName name="oop_trade_accounts_receivables">#REF!</definedName>
    <definedName name="oop_trade_sales">#REF!</definedName>
    <definedName name="oop_working_capital">#REF!</definedName>
    <definedName name="op" hidden="1">{#N/A,#N/A,FALSE,"Staffnos &amp; cost"}</definedName>
    <definedName name="OP_Agt_AvgDay">2639</definedName>
    <definedName name="OP_Auto_AvgDay">2639</definedName>
    <definedName name="operating_print">#REF!</definedName>
    <definedName name="operations_11">"#REF!"</definedName>
    <definedName name="operations_15">"#REF!"</definedName>
    <definedName name="operations_8">"#REF!"</definedName>
    <definedName name="operations_9">"#REF!"</definedName>
    <definedName name="opiu" hidden="1">{"Comp_of_Price_Effect",#N/A,FALSE,"QTRDPVAR"}</definedName>
    <definedName name="oplk" hidden="1">{"Page1",#N/A,FALSE,"OpExJanvsBud";"Page2",#N/A,FALSE,"OpExJanvsBud"}</definedName>
    <definedName name="opndixm" hidden="1">{"detail",#N/A,FALSE,"mfg";"summary",#N/A,FALSE,"mfg"}</definedName>
    <definedName name="OPTexponents">"0 3 6"</definedName>
    <definedName name="OPTvec">"1 1 1 3 0 0 0 0 0 0 1 8 2 1 0 30 1 1 0 0 1 0 1 0 0 1 0 0 0 0 0 0 100 300 0 0 0 0 15 0 0 0 0"</definedName>
    <definedName name="Org" hidden="1">{#N/A,#N/A,TRUE,"Front";#N/A,#N/A,TRUE,"Simple Letter";#N/A,#N/A,TRUE,"Inside";#N/A,#N/A,TRUE,"Contents";#N/A,#N/A,TRUE,"Basis";#N/A,#N/A,TRUE,"Inclusions";#N/A,#N/A,TRUE,"Exclusions";#N/A,#N/A,TRUE,"Areas";#N/A,#N/A,TRUE,"Summary";#N/A,#N/A,TRUE,"Detail"}</definedName>
    <definedName name="ORG_Y1TTL">#REF!</definedName>
    <definedName name="ORG_Y2TTL">#REF!</definedName>
    <definedName name="ORG_Y3TTL">#REF!</definedName>
    <definedName name="ORG_Y4TTL">#REF!</definedName>
    <definedName name="ORG_Y5TTL">#REF!</definedName>
    <definedName name="orrr" hidden="1">{#N/A,#N/A,TRUE,"Front";#N/A,#N/A,TRUE,"Simple Letter";#N/A,#N/A,TRUE,"Inside";#N/A,#N/A,TRUE,"Contents";#N/A,#N/A,TRUE,"Basis";#N/A,#N/A,TRUE,"Inclusions";#N/A,#N/A,TRUE,"Exclusions";#N/A,#N/A,TRUE,"Areas";#N/A,#N/A,TRUE,"Summary";#N/A,#N/A,TRUE,"Detail"}</definedName>
    <definedName name="OT">#REF!</definedName>
    <definedName name="OTC_Products">#REF!</definedName>
    <definedName name="OTC_Report">#REF!</definedName>
    <definedName name="OTH_UC">#N/A</definedName>
    <definedName name="OTHAMT">#N/A</definedName>
    <definedName name="OTHBOH">#N/A</definedName>
    <definedName name="OTHEOH">#N/A</definedName>
    <definedName name="OTHER">#N/A</definedName>
    <definedName name="other33" hidden="1">{#N/A,#N/A,FALSE,"Pharm";#N/A,#N/A,FALSE,"WWCM"}</definedName>
    <definedName name="OTHERIN">#REF!</definedName>
    <definedName name="othermar" hidden="1">{#N/A,#N/A,FALSE,"Pharm";#N/A,#N/A,FALSE,"WWCM"}</definedName>
    <definedName name="OTHERREC">#REF!</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T_TOTAL">#N/A</definedName>
    <definedName name="OUTAMT">#N/A</definedName>
    <definedName name="OUTQTY">#N/A</definedName>
    <definedName name="owmkib" hidden="1">{"detail",#N/A,FALSE,"mfg";"summary",#N/A,FALSE,"mfg"}</definedName>
    <definedName name="oyuo" hidden="1">{#N/A,#N/A,TRUE,"Staffnos &amp; cost"}</definedName>
    <definedName name="p">#REF!</definedName>
    <definedName name="P?HG" hidden="1">{#N/A,#N/A,FALSE,"Tabl. D1";#N/A,#N/A,FALSE,"Tabl. D1 b";#N/A,#N/A,FALSE,"Tabl. D2";#N/A,#N/A,FALSE,"Tabl. D2 b";#N/A,#N/A,FALSE,"Tabl. D3";#N/A,#N/A,FALSE,"Tabl. D4";#N/A,#N/A,FALSE,"Tabl. D5"}</definedName>
    <definedName name="P_1999">#REF!</definedName>
    <definedName name="p_2">"#REF!"</definedName>
    <definedName name="P_2000">#REF!</definedName>
    <definedName name="P_2001">#REF!</definedName>
    <definedName name="p_3">"#REF!"</definedName>
    <definedName name="p_4">"#REF!"</definedName>
    <definedName name="p_5">"#REF!"</definedName>
    <definedName name="p_6">"#REF!"</definedName>
    <definedName name="p_7">"#REF!"</definedName>
    <definedName name="P_L">#REF!</definedName>
    <definedName name="P01_Print">#REF!</definedName>
    <definedName name="P02_PTD_Print">#REF!</definedName>
    <definedName name="P02_YTD_Print">#REF!</definedName>
    <definedName name="P03_PTD_Print">#REF!</definedName>
    <definedName name="P03_YTD_Print">#REF!</definedName>
    <definedName name="P04_PTD_Print">#REF!</definedName>
    <definedName name="P04_YTD_Print">#REF!</definedName>
    <definedName name="P05_PTD_Print">#REF!</definedName>
    <definedName name="P05_YTD_Print">#REF!</definedName>
    <definedName name="P06_PTD_Print">#REF!</definedName>
    <definedName name="P06_YTD_Print">#REF!</definedName>
    <definedName name="P07_PTD_Print">#REF!</definedName>
    <definedName name="P07_YTD_Print">#REF!</definedName>
    <definedName name="P08_PTD_Print">#REF!</definedName>
    <definedName name="p09i" hidden="1">{#N/A,"PURADD",FALSE,"Business Analysis";#N/A,"PURSPP",FALSE,"Business Analysis";#N/A,"CTGIND",FALSE,"Business Analysis";#N/A,"PURCHM",FALSE,"Business Analysis";#N/A,"SPADD",FALSE,"Business Analysis";#N/A,"EPOXY",FALSE,"Business Analysis";#N/A,"PURPER",FALSE,"Business Analysis"}</definedName>
    <definedName name="p0io" hidden="1">{#N/A,"PURCHM",FALSE,"Business Analysis";#N/A,"SPADD",FALSE,"Business Analysis"}</definedName>
    <definedName name="P11_PTD_Print">#REF!</definedName>
    <definedName name="P11_yTD_Print">#REF!</definedName>
    <definedName name="P1R_3">NA()</definedName>
    <definedName name="P1R_4">NA()</definedName>
    <definedName name="P1R_5">NA()</definedName>
    <definedName name="P1R_6">NA()</definedName>
    <definedName name="P1R_7">NA()</definedName>
    <definedName name="P2R_3">NA()</definedName>
    <definedName name="P2R_4">NA()</definedName>
    <definedName name="P2R_5">NA()</definedName>
    <definedName name="P2R_6">NA()</definedName>
    <definedName name="P2R_7">NA()</definedName>
    <definedName name="P3R_3">NA()</definedName>
    <definedName name="P3R_4">NA()</definedName>
    <definedName name="P3R_5">NA()</definedName>
    <definedName name="P4R_3">NA()</definedName>
    <definedName name="P4R_4">NA()</definedName>
    <definedName name="P4R_5">NA()</definedName>
    <definedName name="P5R_3">NA()</definedName>
    <definedName name="P5R_4">NA()</definedName>
    <definedName name="P5R_5">NA()</definedName>
    <definedName name="PA">#REF!</definedName>
    <definedName name="PA112SOC">#REF!</definedName>
    <definedName name="PA1M1">#REF!</definedName>
    <definedName name="PA1M1SOC">#REF!</definedName>
    <definedName name="PA1SOC">#REF!</definedName>
    <definedName name="pac" hidden="1">{TRUE,TRUE,-1.25,-15.5,456.75,279.75,FALSE,FALSE,TRUE,TRUE,0,1,18,1,199,6,3,4,TRUE,TRUE,3,TRUE,1,TRUE,100,"Swvu.cash.","ACwvu.cash.",1,FALSE,FALSE,0.511811023622047,0.511811023622047,0.511811023622047,0.511811023622047,1,"","",FALSE,FALSE,FALSE,FALSE,1,#N/A,1,1,#DIV/0!,FALSE,"Rwvu.cash.",#N/A,FALSE,FALSE}</definedName>
    <definedName name="PACTU">#REF!</definedName>
    <definedName name="PACTUSOC">#REF!</definedName>
    <definedName name="padm_2">"#REF!"</definedName>
    <definedName name="padm_3">"#REF!"</definedName>
    <definedName name="padm_4">"#REF!"</definedName>
    <definedName name="padm_5">"#REF!"</definedName>
    <definedName name="padm_6">"#REF!"</definedName>
    <definedName name="padm_7">"#REF!"</definedName>
    <definedName name="page_10">#REF!</definedName>
    <definedName name="page_11">#REF!</definedName>
    <definedName name="page_12">#REF!</definedName>
    <definedName name="page_13">#REF!</definedName>
    <definedName name="page_14">#REF!</definedName>
    <definedName name="page_7">#REF!</definedName>
    <definedName name="page_8">#REF!</definedName>
    <definedName name="page_9">#REF!</definedName>
    <definedName name="PAGE2">#REF!</definedName>
    <definedName name="PAGE3">#REF!</definedName>
    <definedName name="page4">#REF!</definedName>
    <definedName name="page5">#REF!</definedName>
    <definedName name="page6">#REF!</definedName>
    <definedName name="page6a">#REF!</definedName>
    <definedName name="page7">#REF!</definedName>
    <definedName name="page8">#REF!</definedName>
    <definedName name="pakhak" hidden="1">{#N/A,#N/A,FALSE,"PMTABB";#N/A,#N/A,FALSE,"PMTABB"}</definedName>
    <definedName name="pallav" hidden="1">{#N/A,#N/A,FALSE,"PMTABB";#N/A,#N/A,FALSE,"PMTABB"}</definedName>
    <definedName name="PAM1SOC">#REF!</definedName>
    <definedName name="Panyu">{"Client Name or Project Name"}</definedName>
    <definedName name="PAR">#N/A</definedName>
    <definedName name="park">#REF!</definedName>
    <definedName name="parkno">#REF!</definedName>
    <definedName name="parkrate">#REF!</definedName>
    <definedName name="PARr">#N/A</definedName>
    <definedName name="parse" hidden="1">#REF!</definedName>
    <definedName name="PARVEEN" hidden="1">{#N/A,#N/A,TRUE,"Staffnos &amp; cost"}</definedName>
    <definedName name="PASOC">#REF!</definedName>
    <definedName name="Passages" hidden="1">{#N/A,#N/A,FALSE,"Tabl. A1";#N/A,#N/A,FALSE,"Tabl. A1 b";#N/A,#N/A,FALSE,"Tabl. A2";#N/A,#N/A,FALSE,"Tabl. A2-1";#N/A,#N/A,FALSE,"Tabl. A2-2"}</definedName>
    <definedName name="paste_1">#REF!</definedName>
    <definedName name="paste_10">#REF!</definedName>
    <definedName name="paste_11">#REF!</definedName>
    <definedName name="paste_12">#REF!</definedName>
    <definedName name="paste_14">#REF!</definedName>
    <definedName name="paste_15">#REF!</definedName>
    <definedName name="paste_16">#REF!</definedName>
    <definedName name="paste_17">#REF!</definedName>
    <definedName name="paste_18">#REF!</definedName>
    <definedName name="paste_2">#REF!</definedName>
    <definedName name="paste_3">#REF!</definedName>
    <definedName name="paste_4">#REF!</definedName>
    <definedName name="paste_5">#REF!</definedName>
    <definedName name="paste_6">#REF!</definedName>
    <definedName name="PAWS_Basis">1</definedName>
    <definedName name="PAWS_EndDate">38896</definedName>
    <definedName name="PAWS_GraphMode">TRUE</definedName>
    <definedName name="PAWS_LastNDays">10</definedName>
    <definedName name="PAWS_PasteRows">FALSE</definedName>
    <definedName name="PAWS_Periodicity">1</definedName>
    <definedName name="PAWS_PeriodSpec">1</definedName>
    <definedName name="PAWS_StartDate">36528</definedName>
    <definedName name="PAWS_UseDates">TRUE</definedName>
    <definedName name="PAWS_UseLastSelection">FALSE</definedName>
    <definedName name="PAWS_UseUnits">TRUE</definedName>
    <definedName name="PAWS_ZeroMode">TRUE</definedName>
    <definedName name="PAY">#REF!</definedName>
    <definedName name="PAYMENT">#N/A</definedName>
    <definedName name="Payment_Date">#N/A</definedName>
    <definedName name="Payment_Number">ROW()-Header_Row</definedName>
    <definedName name="pb" hidden="1">{"net assets",#N/A,FALSE,"summary";"asset turnover",#N/A,FALSE,"summary";"orona",#N/A,FALSE,"summary"}</definedName>
    <definedName name="PBU">#REF!</definedName>
    <definedName name="PBUDI">#REF!</definedName>
    <definedName name="PBUDISOC">#REF!</definedName>
    <definedName name="PBUM1">#REF!</definedName>
    <definedName name="PBUM1SOC">#REF!</definedName>
    <definedName name="PBUSOC">#REF!</definedName>
    <definedName name="Pbx_1">NA()</definedName>
    <definedName name="Pbx_2">NA()</definedName>
    <definedName name="Pbx_3">NA()</definedName>
    <definedName name="Pbx_4">NA()</definedName>
    <definedName name="Pbx_5">NA()</definedName>
    <definedName name="Pbx_6">NA()</definedName>
    <definedName name="Pbx_7">NA()</definedName>
    <definedName name="Pby_1">NA()</definedName>
    <definedName name="Pby_2">NA()</definedName>
    <definedName name="Pby_3">NA()</definedName>
    <definedName name="Pby_4">NA()</definedName>
    <definedName name="Pby_5">NA()</definedName>
    <definedName name="Pby_6">NA()</definedName>
    <definedName name="Pby_7">NA()</definedName>
    <definedName name="PCA" hidden="1">"BL7FKFTY6NDALOTZZF8PFRAS6"</definedName>
    <definedName name="pcement_2">"#REF!"</definedName>
    <definedName name="pcement_3">"#REF!"</definedName>
    <definedName name="pcement_4">"#REF!"</definedName>
    <definedName name="pcement_5">"#REF!"</definedName>
    <definedName name="pcement_6">"#REF!"</definedName>
    <definedName name="pcement_7">"#REF!"</definedName>
    <definedName name="PCIPLSUM">#N/A</definedName>
    <definedName name="pcost">#REF!</definedName>
    <definedName name="pcrsnd_2">"#REF!"</definedName>
    <definedName name="pcrsnd_3">"#REF!"</definedName>
    <definedName name="pcrsnd_4">"#REF!"</definedName>
    <definedName name="pcrsnd_5">"#REF!"</definedName>
    <definedName name="pcrsnd_6">"#REF!"</definedName>
    <definedName name="pcrsnd_7">"#REF!"</definedName>
    <definedName name="pcurr1">#REF!</definedName>
    <definedName name="pd" hidden="1">{"detail",#N/A,FALSE,"mfg";"summary",#N/A,FALSE,"mfg"}</definedName>
    <definedName name="PDate">DATE(YEAR(#REF!),MONTH(#REF!)+#REF!,DAY(#REF!))</definedName>
    <definedName name="Pension" hidden="1">{#N/A,#N/A,FALSE,"Aging Summary";#N/A,#N/A,FALSE,"Ratio Analysis";#N/A,#N/A,FALSE,"Test 120 Day Accts";#N/A,#N/A,FALSE,"Tickmarks"}</definedName>
    <definedName name="Pensions">#REF!</definedName>
    <definedName name="pepe" hidden="1">{#N/A,#N/A,FALSE,"Pharm";#N/A,#N/A,FALSE,"WWCM"}</definedName>
    <definedName name="PEPE4" hidden="1">{#N/A,#N/A,FALSE,"Pharm";#N/A,#N/A,FALSE,"WWCM"}</definedName>
    <definedName name="PEPE5" hidden="1">{#N/A,#N/A,FALSE,"Pharm";#N/A,#N/A,FALSE,"WWCM"}</definedName>
    <definedName name="per">City&amp;" "&amp;State</definedName>
    <definedName name="per_1">NA()</definedName>
    <definedName name="per_16">City&amp;" "&amp;#NAME?</definedName>
    <definedName name="per_18">City&amp;" "&amp;#NAME?</definedName>
    <definedName name="per_19">City&amp;" "&amp;#NAME?</definedName>
    <definedName name="per_2">"city"&amp;" "&amp;"state"</definedName>
    <definedName name="per_3">"city"&amp;" "&amp;"state"</definedName>
    <definedName name="per_4">"city"&amp;" "&amp;"state"</definedName>
    <definedName name="per_5">"city"&amp;" "&amp;"state"</definedName>
    <definedName name="per_6">"city"&amp;" "&amp;"state"</definedName>
    <definedName name="per_7">"city"&amp;" "&amp;"state"</definedName>
    <definedName name="Percent">#N/A</definedName>
    <definedName name="Percent_Class_A">#REF!</definedName>
    <definedName name="Percent_Class_B">#REF!</definedName>
    <definedName name="Percent_complete__Dollars">#REF!</definedName>
    <definedName name="Percent_complete__Percent">#REF!</definedName>
    <definedName name="Period10Budget">#REF!</definedName>
    <definedName name="Periodic_rate">#REF!/#REF!</definedName>
    <definedName name="PERSONAL">"Button 31"</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harm_Products">#REF!</definedName>
    <definedName name="Pharm_Report">#REF!</definedName>
    <definedName name="pharma" hidden="1">{#N/A,#N/A,FALSE,"Sales Graph";#N/A,#N/A,FALSE,"PSBM";#N/A,#N/A,FALSE,"BUC Graph";#N/A,#N/A,FALSE,"P&amp;L - YTD"}</definedName>
    <definedName name="PhaseCode_3">NA()</definedName>
    <definedName name="Phone">"'file://Bks/D/draftfinancialsbymanojindushyd/BANDHAN-NBFC-_Fin_Statatement-2009-Ver-1-27.04.2009.xlsx'#$''.$B$2"</definedName>
    <definedName name="Phone_1">"'file://Bks/D/draftfinancialsbymanojindushyd/BANDHAN-NBFC-_Fin_Statatement-2009-Ver-1-27.04.2009.xlsx'#$''.$B$2"</definedName>
    <definedName name="PI">{#N/A,#N/A,FALSE,"PMTABB";#N/A,#N/A,FALSE,"PMTABB"}</definedName>
    <definedName name="PIC">"Picture 1"</definedName>
    <definedName name="PILAR" hidden="1">{"detail",#N/A,FALSE,"mfg";"summary",#N/A,FALSE,"mfg"}</definedName>
    <definedName name="pilk" hidden="1">{"YD LPH2",#N/A,FALSE,"YTD"}</definedName>
    <definedName name="PipeSize_2">"#REF!"</definedName>
    <definedName name="PipeSize_3">"#REF!"</definedName>
    <definedName name="PipeSize_4">"#REF!"</definedName>
    <definedName name="PipeSize_5">"#REF!"</definedName>
    <definedName name="PipeSize_6">"#REF!"</definedName>
    <definedName name="PipeSize_7">"#REF!"</definedName>
    <definedName name="PipingDetail_2">"#REF!"</definedName>
    <definedName name="PipingDetail_3">"#REF!"</definedName>
    <definedName name="PipingDetail_4">"#REF!"</definedName>
    <definedName name="PipingDetail_5">"#REF!"</definedName>
    <definedName name="PipingDetail_6">"#REF!"</definedName>
    <definedName name="PipingDetail_7">"#REF!"</definedName>
    <definedName name="piuytrr" hidden="1">{"'PRODUCTIONCOST SHEET'!$B$3:$G$48"}</definedName>
    <definedName name="PivotAll_ChangeOver">#REF!</definedName>
    <definedName name="PivotAll_Current">#REF!</definedName>
    <definedName name="PivotAll_Prior">#REF!</definedName>
    <definedName name="PivotBF_ChangeOver">#REF!</definedName>
    <definedName name="PivotBF_Current">#REF!</definedName>
    <definedName name="PivotBF_Prior">#REF!</definedName>
    <definedName name="PivotCS_ChangeOver">#REF!</definedName>
    <definedName name="PivotCS_Current">#REF!</definedName>
    <definedName name="PivotCS_Prior">#REF!</definedName>
    <definedName name="Pivotdata">"'Site Master'!$A$2:$BA$697"</definedName>
    <definedName name="PivotLS_ChangeOver">#REF!</definedName>
    <definedName name="PivotLS_Current">#REF!</definedName>
    <definedName name="PivotLS_Prior">#REF!</definedName>
    <definedName name="pk" hidden="1">{"vol data",#N/A,FALSE,"Datasheet";"vol graph",#N/A,FALSE,"Volume";"price data",#N/A,FALSE,"Datasheet";"price graph",#N/A,FALSE,"Price";"dp data",#N/A,FALSE,"Datasheet";"dp graph",#N/A,FALSE,"DirectProfit"}</definedName>
    <definedName name="PKG_LD">#N/A</definedName>
    <definedName name="PKKKK">{"Client Name or Project Name"}</definedName>
    <definedName name="pkppl">#REF!</definedName>
    <definedName name="pl" hidden="1">{#N/A,#N/A,FALSE,"REPORT"}</definedName>
    <definedName name="PL_Cdn">#REF!</definedName>
    <definedName name="PL_CII">#REF!</definedName>
    <definedName name="PL_CIT">#REF!</definedName>
    <definedName name="PL_Conso_cdn">#REF!</definedName>
    <definedName name="PL_Conso_locale">#REF!</definedName>
    <definedName name="PL_Corpo">#REF!</definedName>
    <definedName name="PL_locale">#REF!</definedName>
    <definedName name="PL_SI">#REF!</definedName>
    <definedName name="PL1A">#REF!</definedName>
    <definedName name="PL1B">#REF!</definedName>
    <definedName name="PL1C">#REF!</definedName>
    <definedName name="PL1D30G">#REF!</definedName>
    <definedName name="PL1D514">#REF!</definedName>
    <definedName name="PL1D536">#REF!</definedName>
    <definedName name="PL1E">#REF!</definedName>
    <definedName name="PL1F03">#REF!</definedName>
    <definedName name="PL1F13">#REF!</definedName>
    <definedName name="PL1F14">#REF!</definedName>
    <definedName name="PL1F15">#REF!</definedName>
    <definedName name="PL1F20">#REF!</definedName>
    <definedName name="PL1F31">#REF!</definedName>
    <definedName name="PL1F41">#REF!</definedName>
    <definedName name="PL1F51">#REF!</definedName>
    <definedName name="PL1F53">#REF!</definedName>
    <definedName name="PL1YA21">#REF!</definedName>
    <definedName name="PL1YA22">#REF!</definedName>
    <definedName name="PL1YA24">#REF!</definedName>
    <definedName name="PL1YA31">#REF!</definedName>
    <definedName name="PL1YA32">#REF!</definedName>
    <definedName name="PL1YA33">#REF!</definedName>
    <definedName name="PL1YA34">#REF!</definedName>
    <definedName name="PL1YA4">#REF!</definedName>
    <definedName name="PL1YP1">#REF!</definedName>
    <definedName name="PL1YP2">#REF!</definedName>
    <definedName name="PL1YP31">#REF!</definedName>
    <definedName name="PL1YP32">#REF!</definedName>
    <definedName name="PL1YP33">#REF!</definedName>
    <definedName name="PL1YP34">#REF!</definedName>
    <definedName name="PL1YP4">#REF!</definedName>
    <definedName name="PL2A">#REF!</definedName>
    <definedName name="PL2B">#REF!</definedName>
    <definedName name="PL2C">#REF!</definedName>
    <definedName name="PL2D30G">#REF!</definedName>
    <definedName name="PL2D514">#REF!</definedName>
    <definedName name="PL2D536">#REF!</definedName>
    <definedName name="PL2E">#REF!</definedName>
    <definedName name="PL2F03">#REF!</definedName>
    <definedName name="PL2F13">#REF!</definedName>
    <definedName name="PL2F14">#REF!</definedName>
    <definedName name="PL2F15">#REF!</definedName>
    <definedName name="PL2F20">#REF!</definedName>
    <definedName name="PL2F31">#REF!</definedName>
    <definedName name="PL2F41">#REF!</definedName>
    <definedName name="PL2F51">#REF!</definedName>
    <definedName name="PL2F53">#REF!</definedName>
    <definedName name="PL2YA21">#REF!</definedName>
    <definedName name="PL2YA22">#REF!</definedName>
    <definedName name="PL2YA24">#REF!</definedName>
    <definedName name="PL2YA31">#REF!</definedName>
    <definedName name="PL2YA32">#REF!</definedName>
    <definedName name="PL2YA33">#REF!</definedName>
    <definedName name="PL2YA34">#REF!</definedName>
    <definedName name="PL2YA4">#REF!</definedName>
    <definedName name="PL2YP1">#REF!</definedName>
    <definedName name="PL2YP2">#REF!</definedName>
    <definedName name="PL2YP31">#REF!</definedName>
    <definedName name="PL2YP32">#REF!</definedName>
    <definedName name="PL2YP33">#REF!</definedName>
    <definedName name="PL2YP34">#REF!</definedName>
    <definedName name="PL2YP4">#REF!</definedName>
    <definedName name="PL3A">#REF!</definedName>
    <definedName name="PL3B">#REF!</definedName>
    <definedName name="PL3C">#REF!</definedName>
    <definedName name="PL3D30G">#REF!</definedName>
    <definedName name="PL3D514">#REF!</definedName>
    <definedName name="PL3D536">#REF!</definedName>
    <definedName name="PL3E">#REF!</definedName>
    <definedName name="PL3F03">#REF!</definedName>
    <definedName name="PL3F13">#REF!</definedName>
    <definedName name="PL3F14">#REF!</definedName>
    <definedName name="PL3F15">#REF!</definedName>
    <definedName name="PL3F20">#REF!</definedName>
    <definedName name="PL3F31">#REF!</definedName>
    <definedName name="PL3F41">#REF!</definedName>
    <definedName name="PL3F51">#REF!</definedName>
    <definedName name="PL3F53">#REF!</definedName>
    <definedName name="PL3YA21">#REF!</definedName>
    <definedName name="PL3YA22">#REF!</definedName>
    <definedName name="PL3YA24">#REF!</definedName>
    <definedName name="PL3YA31">#REF!</definedName>
    <definedName name="PL3YA32">#REF!</definedName>
    <definedName name="PL3YA33">#REF!</definedName>
    <definedName name="PL3YA34">#REF!</definedName>
    <definedName name="PL3YA4">#REF!</definedName>
    <definedName name="PL3YP1">#REF!</definedName>
    <definedName name="PL3YP2">#REF!</definedName>
    <definedName name="PL3YP31">#REF!</definedName>
    <definedName name="PL3YP32">#REF!</definedName>
    <definedName name="PL3YP33">#REF!</definedName>
    <definedName name="PL3YP34">#REF!</definedName>
    <definedName name="PL3YP4">#REF!</definedName>
    <definedName name="PLAN">#N/A</definedName>
    <definedName name="plan1">City&amp;" "&amp;State</definedName>
    <definedName name="PLCepi" hidden="1">{#N/A,#N/A,FALSE,"REPORT"}</definedName>
    <definedName name="please" hidden="1">{"SCM_Detail",#N/A,FALSE,"SCM";"SCM_Top",#N/A,FALSE,"SCM"}</definedName>
    <definedName name="PLProcef" hidden="1">{#N/A,#N/A,FALSE,"REPORT"}</definedName>
    <definedName name="PLTaxol" hidden="1">{#N/A,#N/A,FALSE,"REPORT"}</definedName>
    <definedName name="Plum">#N/A</definedName>
    <definedName name="pmc" hidden="1">{#N/A,#N/A,FALSE,"PMTABB";#N/A,#N/A,FALSE,"PMTABB"}</definedName>
    <definedName name="pmc_2" hidden="1">{#N/A,#N/A,FALSE,"PMTABB";#N/A,#N/A,FALSE,"PMTABB"}</definedName>
    <definedName name="pmc_3" hidden="1">{#N/A,#N/A,FALSE,"PMTABB";#N/A,#N/A,FALSE,"PMTABB"}</definedName>
    <definedName name="pmc_4" hidden="1">{#N/A,#N/A,FALSE,"PMTABB";#N/A,#N/A,FALSE,"PMTABB"}</definedName>
    <definedName name="pmcf" hidden="1">{#N/A,#N/A,FALSE,"PMTABB";#N/A,#N/A,FALSE,"PMTABB"}</definedName>
    <definedName name="pmcf_2" hidden="1">{#N/A,#N/A,FALSE,"PMTABB";#N/A,#N/A,FALSE,"PMTABB"}</definedName>
    <definedName name="pmcf_3" hidden="1">{#N/A,#N/A,FALSE,"PMTABB";#N/A,#N/A,FALSE,"PMTABB"}</definedName>
    <definedName name="pmcf_4" hidden="1">{#N/A,#N/A,FALSE,"PMTABB";#N/A,#N/A,FALSE,"PMTABB"}</definedName>
    <definedName name="pmet10_2">"#REF!"</definedName>
    <definedName name="pmet10_3">"#REF!"</definedName>
    <definedName name="pmet10_4">"#REF!"</definedName>
    <definedName name="pmet10_5">"#REF!"</definedName>
    <definedName name="pmet10_6">"#REF!"</definedName>
    <definedName name="pmet10_7">"#REF!"</definedName>
    <definedName name="pmet20_2">"#REF!"</definedName>
    <definedName name="pmet20_3">"#REF!"</definedName>
    <definedName name="pmet20_4">"#REF!"</definedName>
    <definedName name="pmet20_5">"#REF!"</definedName>
    <definedName name="pmet20_6">"#REF!"</definedName>
    <definedName name="pmet20_7">"#REF!"</definedName>
    <definedName name="pmet30_2">"#REF!"</definedName>
    <definedName name="pmet30_3">"#REF!"</definedName>
    <definedName name="pmet30_4">"#REF!"</definedName>
    <definedName name="pmet30_5">"#REF!"</definedName>
    <definedName name="pmet30_6">"#REF!"</definedName>
    <definedName name="pmet30_7">"#REF!"</definedName>
    <definedName name="PN">{"Client Name or Project Name"}</definedName>
    <definedName name="Pnl" hidden="1">{#N/A,#N/A,FALSE,"Pharm";#N/A,#N/A,FALSE,"WWCM"}</definedName>
    <definedName name="pnsji5" hidden="1">{#N/A,"PURCHM",FALSE,"Business Analysis";#N/A,"SPADD",FALSE,"Business Analysis"}</definedName>
    <definedName name="po" hidden="1">{"detail",#N/A,FALSE,"mfg";"summary",#N/A,FALSE,"mfg"}</definedName>
    <definedName name="poc" hidden="1">{#N/A,"PURADD",FALSE,"Business Analysis";#N/A,"PURSPP",FALSE,"Business Analysis";#N/A,"CTGIND",FALSE,"Business Analysis";#N/A,"PURCHM",FALSE,"Business Analysis";#N/A,"SPADD",FALSE,"Business Analysis";#N/A,"EPOXY",FALSE,"Business Analysis";#N/A,"PURPER",FALSE,"Business Analysis"}</definedName>
    <definedName name="pocpl">#REF!</definedName>
    <definedName name="poi"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u" hidden="1">{"Performance Details",#N/A,FALSE,"Current Yr";"Performance Details",#N/A,FALSE,"Budget";"Performance Details",#N/A,FALSE,"Prior Year"}</definedName>
    <definedName name="POK?ZEFIFVXVW" hidden="1">{#N/A,#N/A,FALSE,"Tabl. H1";#N/A,#N/A,FALSE,"Tabl. H2"}</definedName>
    <definedName name="pokj" hidden="1">{"QTD_LOUISIANA",#N/A,FALSE,"QTD"}</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ing_Premium">25%</definedName>
    <definedName name="POP">#N/A</definedName>
    <definedName name="port29" hidden="1">{#N/A,#N/A,FALSE,"Pharm";#N/A,#N/A,FALSE,"WWCM"}</definedName>
    <definedName name="Postage" hidden="1">{#N/A,#N/A,FALSE,"Aging Summary";#N/A,#N/A,FALSE,"Ratio Analysis";#N/A,#N/A,FALSE,"Test 120 Day Accts";#N/A,#N/A,FALSE,"Tickmarks"}</definedName>
    <definedName name="PostageCourierTelephoneExpenses" hidden="1">{#N/A,#N/A,FALSE,"Aging Summary";#N/A,#N/A,FALSE,"Ratio Analysis";#N/A,#N/A,FALSE,"Test 120 Day Accts";#N/A,#N/A,FALSE,"Tickmarks"}</definedName>
    <definedName name="pound">#REF!</definedName>
    <definedName name="powq" hidden="1">{#N/A,"PURCHM",FALSE,"Business Analysis";#N/A,"SPADD",FALSE,"Business Analysis"}</definedName>
    <definedName name="pp">City&amp;" "&amp;State</definedName>
    <definedName name="PPAccum">0</definedName>
    <definedName name="PPBOH">#N/A</definedName>
    <definedName name="PPC">#REF!</definedName>
    <definedName name="PPCSOC">#REF!</definedName>
    <definedName name="PPEOH">#N/A</definedName>
    <definedName name="PPEuro">0</definedName>
    <definedName name="PPG">#N/A</definedName>
    <definedName name="PPG_Cost_Per">#N/A</definedName>
    <definedName name="ppl" hidden="1">{#N/A,#N/A,FALSE,"gc (2)"}</definedName>
    <definedName name="ppo" hidden="1">{"YD LOUISIANA",#N/A,FALSE,"YTD"}</definedName>
    <definedName name="ppp" hidden="1">{#N/A,#N/A,FALSE,"Umsatz CH";#N/A,#N/A,FALSE,"ER CH";#N/A,#N/A,FALSE,"EA CH (2) ";#N/A,#N/A,FALSE,"EA CH";#N/A,#N/A,FALSE,"EA CH (3) ";#N/A,#N/A,FALSE,"EA CH (4)";#N/A,#N/A,FALSE,"KA CH";#N/A,#N/A,FALSE,"KA CH  (2)";#N/A,#N/A,FALSE,"KA CH  (3)";#N/A,#N/A,FALSE,"KA CH (4)"}</definedName>
    <definedName name="PPPP" hidden="1">{#N/A,#N/A,FALSE,"ISBL"}</definedName>
    <definedName name="PPPP_1" hidden="1">{#N/A,#N/A,FALSE,"ISBL"}</definedName>
    <definedName name="PPPP_2" hidden="1">{#N/A,#N/A,FALSE,"ISBL"}</definedName>
    <definedName name="PPPP_3" hidden="1">{#N/A,#N/A,FALSE,"ISBL"}</definedName>
    <definedName name="PPPP_4" hidden="1">{#N/A,#N/A,FALSE,"ISBL"}</definedName>
    <definedName name="PPReaderData">0</definedName>
    <definedName name="PPUpdate">0</definedName>
    <definedName name="PPWorkState">0</definedName>
    <definedName name="pqmjuz" hidden="1">{"detail",#N/A,FALSE,"mfg";"summary",#N/A,FALSE,"mfg"}</definedName>
    <definedName name="pqr" hidden="1">{#N/A,#N/A,FALSE,"Tabl. A1";#N/A,#N/A,FALSE,"Tabl. A1 b";#N/A,#N/A,FALSE,"Tabl. A2";#N/A,#N/A,FALSE,"Tabl. A2-1";#N/A,#N/A,FALSE,"Tabl. A2-2"}</definedName>
    <definedName name="PR00BG01" hidden="1">{#N/A,#N/A,FALSE,"Tabl. D1";#N/A,#N/A,FALSE,"Tabl. D1 b";#N/A,#N/A,FALSE,"Tabl. D2";#N/A,#N/A,FALSE,"Tabl. D2 b";#N/A,#N/A,FALSE,"Tabl. D3";#N/A,#N/A,FALSE,"Tabl. D4";#N/A,#N/A,FALSE,"Tabl. D5"}</definedName>
    <definedName name="pradeep" hidden="1">{#N/A,#N/A,FALSE,"CDA Plan"}</definedName>
    <definedName name="pradip"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prakash" hidden="1">{#N/A,#N/A,FALSE,"COMICRO";#N/A,#N/A,FALSE,"BALSCH";#N/A,#N/A,FALSE,"GLASS";#N/A,#N/A,FALSE,"DEPRE";#N/A,#N/A,FALSE,"A&amp;MCUR";#N/A,#N/A,FALSE,"AGEANAlysis";#N/A,#N/A,FALSE,"CHECKS";#N/A,#N/A,FALSE,"CHECKS"}</definedName>
    <definedName name="pras_1">NA()</definedName>
    <definedName name="pras_2">NA()</definedName>
    <definedName name="pras_3">NA()</definedName>
    <definedName name="pras_4">NA()</definedName>
    <definedName name="pras_5">NA()</definedName>
    <definedName name="pras_6">NA()</definedName>
    <definedName name="pras_7">NA()</definedName>
    <definedName name="pRAVEEN" hidden="1">{#N/A,#N/A,FALSE,"Staffnos &amp; cost"}</definedName>
    <definedName name="pre" hidden="1">{#N/A,#N/A,FALSE,"CMN_FE"}</definedName>
    <definedName name="PREFIX">#REF!</definedName>
    <definedName name="Preliminary_Work">#REF!</definedName>
    <definedName name="Prelm_Exp_2">"#REF!"</definedName>
    <definedName name="Prelm_Exp_3">"#REF!"</definedName>
    <definedName name="Prelm_Exp_4">"#REF!"</definedName>
    <definedName name="Prelm_Exp_5">"#REF!"</definedName>
    <definedName name="Prelm_Exp_6">"#REF!"</definedName>
    <definedName name="Prelm_Exp_7">"#REF!"</definedName>
    <definedName name="prepay" hidden="1">{#N/A,#N/A,FALSE,"PMTABB";#N/A,#N/A,FALSE,"PMTABB"}</definedName>
    <definedName name="PRESENT_VALUE_DISCOUNT_ACCOUN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vYears_3">NA()</definedName>
    <definedName name="PrevYears_4">NA()</definedName>
    <definedName name="PrevYears_5">NA()</definedName>
    <definedName name="PrevYears_6">NA()</definedName>
    <definedName name="PrevYears_7">NA()</definedName>
    <definedName name="Prices" hidden="1">{#N/A,#N/A,FALSE,"Staffnos &amp; cost"}</definedName>
    <definedName name="prinpaid">#REF!</definedName>
    <definedName name="Print">#REF!</definedName>
    <definedName name="PRINT_1">#N/A</definedName>
    <definedName name="PRINT_2">#N/A</definedName>
    <definedName name="PRINT_AR02">#REF!</definedName>
    <definedName name="PRINT_AREA_MI">#REF!</definedName>
    <definedName name="PRINT_AREA_MI_2">"#REF!"</definedName>
    <definedName name="PRINT_AREA_MI_3">"#REF!"</definedName>
    <definedName name="PRINT_AREA_MI_4">"#REF!"</definedName>
    <definedName name="PRINT_AREA_MI_5">"#REF!"</definedName>
    <definedName name="PRINT_AREA_MI_6">"#REF!"</definedName>
    <definedName name="PRINT_AREA_MI_7">"#REF!"</definedName>
    <definedName name="Print_Area_Reset">OFFSET(Full_Print,0,0,Last_Row)</definedName>
    <definedName name="Print_JuneQtr">#REF!</definedName>
    <definedName name="PRINT_TITL02">#REF!</definedName>
    <definedName name="Print_Titles_MI">#REF!</definedName>
    <definedName name="Print_YTD">#REF!</definedName>
    <definedName name="PRINTLOC">#N/A</definedName>
    <definedName name="PrintManagerQuery">#REF!</definedName>
    <definedName name="PrintSelectedSheetsMacroButton">#REF!</definedName>
    <definedName name="PRIOR">#N/A</definedName>
    <definedName name="PRIORMO">#REF!</definedName>
    <definedName name="PriorYear">#N/A</definedName>
    <definedName name="PRIORYTD">#REF!</definedName>
    <definedName name="PrnUSD">#REF!</definedName>
    <definedName name="PrnYEN">#REF!</definedName>
    <definedName name="Procef" hidden="1">{#N/A,#N/A,FALSE,"Pharm";#N/A,#N/A,FALSE,"WWCM"}</definedName>
    <definedName name="process" hidden="1">{#N/A,#N/A,FALSE,"PMTABB";#N/A,#N/A,FALSE,"PMTABB"}</definedName>
    <definedName name="prod" hidden="1">{#N/A,#N/A,FALSE,"Pharm";#N/A,#N/A,FALSE,"WWCM"}</definedName>
    <definedName name="PRODREV">#N/A</definedName>
    <definedName name="prodtech_11">"#REF!"</definedName>
    <definedName name="prodtech_15">"#REF!"</definedName>
    <definedName name="prodtech_8">"#REF!"</definedName>
    <definedName name="prodtech_9">"#REF!"</definedName>
    <definedName name="PRODUCT">#N/A</definedName>
    <definedName name="Production_hours">#REF!</definedName>
    <definedName name="ProductivityData_11">"#REF!"</definedName>
    <definedName name="ProductivityData_15">"#REF!"</definedName>
    <definedName name="ProductivityData_2">"#REF!"</definedName>
    <definedName name="ProductivityData_8">"#REF!"</definedName>
    <definedName name="ProductivityData_9">"#REF!"</definedName>
    <definedName name="profit" hidden="1">{#N/A,"Good",TRUE,"Sheet1";#N/A,"Normal",TRUE,"Sheet1";#N/A,"Bad",TRUE,"Sheet1"}</definedName>
    <definedName name="profit_1">NA()</definedName>
    <definedName name="prohr" hidden="1">{#N/A,#N/A,FALSE,"Staffnos &amp; cost"}</definedName>
    <definedName name="ProImportExport.ImportFile">#N/A</definedName>
    <definedName name="ProImportExport.SaveNewFile">#N/A</definedName>
    <definedName name="Proj_Name">#REF!</definedName>
    <definedName name="ProjecName">{"Client Name or Project Name"}</definedName>
    <definedName name="project_2">"#REF!"</definedName>
    <definedName name="project_3">"#REF!"</definedName>
    <definedName name="project_4">"#REF!"</definedName>
    <definedName name="project_5">"#REF!"</definedName>
    <definedName name="project_6">"#REF!"</definedName>
    <definedName name="project_7">"#REF!"</definedName>
    <definedName name="ProjectLocation_3">NA()</definedName>
    <definedName name="ProjectName">{"Client Name or Project Name"}</definedName>
    <definedName name="ProjectName1">{"Client Name or Project Name"}</definedName>
    <definedName name="ProjectName10">{"Client Name or Project Name"}</definedName>
    <definedName name="ProjectName11">{"Client Name or Project Name"}</definedName>
    <definedName name="ProjectName2">{"Client Name or Project Name"}</definedName>
    <definedName name="ProjectName3">{"Client Name or Project Name"}</definedName>
    <definedName name="ProjectName4">{"Client Name or Project Name"}</definedName>
    <definedName name="ProjectName5">{"Client Name or Project Name"}</definedName>
    <definedName name="ProjectName6">{"Client Name or Project Name"}</definedName>
    <definedName name="ProjectName7">{"Client Name or Project Name"}</definedName>
    <definedName name="ProjectName8">{"Client Name or Project Name"}</definedName>
    <definedName name="ProjectNameA">{"Client Name or Project Name"}</definedName>
    <definedName name="ProjectNameB">{"Client Name or Project Name"}</definedName>
    <definedName name="ProjectNameC">{"Client Name or Project Name"}</definedName>
    <definedName name="ProjectNameSource">{"Client Name or Project Name"}</definedName>
    <definedName name="ProjectNumber_3">NA()</definedName>
    <definedName name="Projectnumberrent">#REF!</definedName>
    <definedName name="ProjectSubtitle_3">NA()</definedName>
    <definedName name="ProjectTitle_3">NA()</definedName>
    <definedName name="PROOF_TYPE_LIST">"Specs'!$B$719:$B$724"</definedName>
    <definedName name="PROREC">#N/A</definedName>
    <definedName name="Protect_Sheets">#REF!</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sion2" hidden="1">{"plansummary",#N/A,FALSE,"PlanSummary";"sales",#N/A,FALSE,"Sales Rec";"productivity",#N/A,FALSE,"Productivity Rec";"capitalspending",#N/A,FALSE,"Capital Spending"}</definedName>
    <definedName name="prsnd_2">"#REF!"</definedName>
    <definedName name="prsnd_3">"#REF!"</definedName>
    <definedName name="prsnd_4">"#REF!"</definedName>
    <definedName name="prsnd_5">"#REF!"</definedName>
    <definedName name="prsnd_6">"#REF!"</definedName>
    <definedName name="prsnd_7">"#REF!"</definedName>
    <definedName name="PRT">#REF!</definedName>
    <definedName name="pss" hidden="1">{#N/A,#N/A,FALSE,"COMICRO";#N/A,#N/A,FALSE,"BALSCH";#N/A,#N/A,FALSE,"GLASS";#N/A,#N/A,FALSE,"DEPRE";#N/A,#N/A,FALSE,"A&amp;MCUR";#N/A,#N/A,FALSE,"AGEANAlysis";#N/A,#N/A,FALSE,"CHECKS";#N/A,#N/A,FALSE,"CHECKS"}</definedName>
    <definedName name="pssq" hidden="1">{#N/A,#N/A,FALSE,"COMICRO";#N/A,#N/A,FALSE,"BALSCH";#N/A,#N/A,FALSE,"GLASS";#N/A,#N/A,FALSE,"DEPRE";#N/A,#N/A,FALSE,"A&amp;MCUR";#N/A,#N/A,FALSE,"AGEANAlysis";#N/A,#N/A,FALSE,"CHECKS";#N/A,#N/A,FALSE,"CHECKS"}</definedName>
    <definedName name="PT">#N/A</definedName>
    <definedName name="ptk">{#N/A,#N/A,FALSE,"PMTABB";#N/A,#N/A,FALSE,"PMTABB"}</definedName>
    <definedName name="ptk_1">{#N/A,#N/A,FALSE,"PMTABB";#N/A,#N/A,FALSE,"PMTABB"}</definedName>
    <definedName name="ptk_2">{#N/A,#N/A,FALSE,"PMTABB";#N/A,#N/A,FALSE,"PMTABB"}</definedName>
    <definedName name="ptk_3">{#N/A,#N/A,FALSE,"PMTABB";#N/A,#N/A,FALSE,"PMTABB"}</definedName>
    <definedName name="ptk_4">{#N/A,#N/A,FALSE,"PMTABB";#N/A,#N/A,FALSE,"PMTABB"}</definedName>
    <definedName name="ptptgkvjf" hidden="1">{#N/A,#N/A,FALSE,"CDA Plan"}</definedName>
    <definedName name="PUB_FileID" hidden="1">"L10003363.xls"</definedName>
    <definedName name="PUB_UserID" hidden="1">"MAYERX"</definedName>
    <definedName name="pucspadd42" hidden="1">{#N/A,"PURCHM",FALSE,"Business Analysis";#N/A,"SPADD",FALSE,"Business Analysis"}</definedName>
    <definedName name="pumplab_2">"#REF!"</definedName>
    <definedName name="pumplab_3">"#REF!"</definedName>
    <definedName name="pumplab_4">"#REF!"</definedName>
    <definedName name="pumplab_5">"#REF!"</definedName>
    <definedName name="pumplab_6">"#REF!"</definedName>
    <definedName name="pumplab_7">"#REF!"</definedName>
    <definedName name="pupi" hidden="1">{"YD OTHER",#N/A,FALSE,"YTD"}</definedName>
    <definedName name="püpoüpoüpo" hidden="1">{#N/A,#N/A,FALSE,"PMW Gruppe 99_98";#N/A,#N/A,FALSE,"PMW KG 98_99";#N/A,#N/A,FALSE,"PMW Inc. 99_98";#N/A,#N/A,FALSE,"PMW VTECH 99_98";#N/A,#N/A,FALSE,"PMW Thail. 99_98";#N/A,#N/A,FALSE,"PMW Canada 99_98";#N/A,#N/A,FALSE,"Währungsabw. 99_98"}</definedName>
    <definedName name="püpü" hidden="1">{#N/A,#N/A,FALSE,"Umsatz 99";#N/A,#N/A,FALSE,"ER 99 "}</definedName>
    <definedName name="Purchase_Premium_A">25%</definedName>
    <definedName name="Purchase_Premium_B">0.25</definedName>
    <definedName name="Purchaser">#REF!</definedName>
    <definedName name="Puz_1">NA()</definedName>
    <definedName name="Puz_2">NA()</definedName>
    <definedName name="Puz_3">NA()</definedName>
    <definedName name="Puz_4">NA()</definedName>
    <definedName name="Puz_5">NA()</definedName>
    <definedName name="Puz_6">NA()</definedName>
    <definedName name="Puz_7">NA()</definedName>
    <definedName name="pvm" hidden="1">{#N/A,#N/A,FALSE,"COMP"}</definedName>
    <definedName name="pwat_2">"#REF!"</definedName>
    <definedName name="pwat_3">"#REF!"</definedName>
    <definedName name="pwat_4">"#REF!"</definedName>
    <definedName name="pwat_5">"#REF!"</definedName>
    <definedName name="pwat_6">"#REF!"</definedName>
    <definedName name="pwat_7">"#REF!"</definedName>
    <definedName name="pz" hidden="1">{"Month Summary",#N/A,FALSE,"Summary";"Total Details",#N/A,FALSE,"Current Yr";"Polymers Details",#N/A,FALSE,"Current Yr";"Performance Details",#N/A,FALSE,"Current Yr";"ICD Details",#N/A,FALSE,"Current Yr"}</definedName>
    <definedName name="PZO" hidden="1">{#N/A,#N/A,FALSE,"Tabl. D1";#N/A,#N/A,FALSE,"Tabl. D1 b";#N/A,#N/A,FALSE,"Tabl. D2";#N/A,#N/A,FALSE,"Tabl. D2 b";#N/A,#N/A,FALSE,"Tabl. D3";#N/A,#N/A,FALSE,"Tabl. D4";#N/A,#N/A,FALSE,"Tabl. D5"}</definedName>
    <definedName name="q">{#N/A,#N/A,FALSE,"Title Page (3)";#N/A,#N/A,FALSE,"YTD - OTC";#N/A,#N/A,FALSE,"MTH - OTC"}</definedName>
    <definedName name="Q_2">"#REF!"</definedName>
    <definedName name="Q_3">"#REF!"</definedName>
    <definedName name="Q_4">"#REF!"</definedName>
    <definedName name="Q_5">"#REF!"</definedName>
    <definedName name="Q_6">"#REF!"</definedName>
    <definedName name="Q_7">"#REF!"</definedName>
    <definedName name="Q_PL_MTH_CrossSum">#REF!</definedName>
    <definedName name="Q_PL_YTD_CrossSum">#REF!</definedName>
    <definedName name="Q_Tb_Accm_Sele1">#REF!</definedName>
    <definedName name="Q_Tb_Accm2_Xls">#REF!</definedName>
    <definedName name="Q_Tb_GM_Sele1">#REF!</definedName>
    <definedName name="Q_Tb_GM_Xls">#REF!</definedName>
    <definedName name="Q3_99">#REF!</definedName>
    <definedName name="Q3versusSeg" hidden="1">{"Monthly6Q",#N/A,FALSE,"0614ESL"}</definedName>
    <definedName name="Q3vsSeg" hidden="1">{"Monthly6Q",#N/A,FALSE,"0614ESL"}</definedName>
    <definedName name="qa" hidden="1">{#N/A,#N/A,FALSE,"Staffnos &amp; cost"}</definedName>
    <definedName name="qaaaa" hidden="1">{"detail",#N/A,FALSE,"mfg";"summary",#N/A,FALSE,"mfg"}</definedName>
    <definedName name="qafsgjk" hidden="1">{"'7'!$B$15:$D$32"}</definedName>
    <definedName name="QAMT86106">#N/A</definedName>
    <definedName name="qaz" hidden="1">{#N/A,#N/A,FALSE,"Pharm";#N/A,#N/A,FALSE,"WWCM"}</definedName>
    <definedName name="QC" hidden="1">{"'Sheet1'!$A$4386:$N$4591"}</definedName>
    <definedName name="qeqee" hidden="1">{#N/A,#N/A,FALSE,"Produkte Erw.";#N/A,#N/A,FALSE,"Produkte Plan";#N/A,#N/A,FALSE,"Leistungen Erw.";#N/A,#N/A,FALSE,"Leistungen Plan";#N/A,#N/A,FALSE,"KA Allg.Kosten (2)";#N/A,#N/A,FALSE,"KA All.Kosten"}</definedName>
    <definedName name="qertweyu" hidden="1">{#N/A,#N/A,FALSE,"REPORT"}</definedName>
    <definedName name="qesd" hidden="1">{"Page 1",#N/A,FALSE,"OpExJanVsPY";"Page 2",#N/A,FALSE,"OpExJanVsPY"}</definedName>
    <definedName name="qetryywt" hidden="1">{#N/A,#N/A,FALSE,"REPORT"}</definedName>
    <definedName name="qewqeqw" hidden="1">{#N/A,#N/A,FALSE,"Aging Summary";#N/A,#N/A,FALSE,"Ratio Analysis";#N/A,#N/A,FALSE,"Test 120 Day Accts";#N/A,#N/A,FALSE,"Tickmarks"}</definedName>
    <definedName name="qgfqerg" hidden="1">{#N/A,#N/A,FALSE,"PMTABB";#N/A,#N/A,FALSE,"PMTABB"}</definedName>
    <definedName name="qgfqerg_1" hidden="1">{#N/A,#N/A,FALSE,"PMTABB";#N/A,#N/A,FALSE,"PMTABB"}</definedName>
    <definedName name="qgfqerg_2" hidden="1">{#N/A,#N/A,FALSE,"PMTABB";#N/A,#N/A,FALSE,"PMTABB"}</definedName>
    <definedName name="qgfqerg_3" hidden="1">{#N/A,#N/A,FALSE,"PMTABB";#N/A,#N/A,FALSE,"PMTABB"}</definedName>
    <definedName name="qgfqerg_4" hidden="1">{#N/A,#N/A,FALSE,"PMTABB";#N/A,#N/A,FALSE,"PMTABB"}</definedName>
    <definedName name="qi" hidden="1">{#N/A,"PURADD",FALSE,"Business Analysis";#N/A,"PURSPP",FALSE,"Business Analysis";#N/A,"CTGIND",FALSE,"Business Analysis";#N/A,"PURCHM",FALSE,"Business Analysis";#N/A,"SPADD",FALSE,"Business Analysis";#N/A,"EPOXY",FALSE,"Business Analysis";#N/A,"PURPER",FALSE,"Business Analysis"}</definedName>
    <definedName name="qink" hidden="1">{#N/A,"PURCHM",FALSE,"Business Analysis";#N/A,"SPADD",FALSE,"Business Analysis"}</definedName>
    <definedName name="qp" hidden="1">{"overview",#N/A,FALSE,"summary";"net assets",#N/A,FALSE,"summary";"asset turnover",#N/A,FALSE,"summary";"orona",#N/A,FALSE,"summary"}</definedName>
    <definedName name="QQ" hidden="1">{#N/A,#N/A,FALSE,"PMTABB";#N/A,#N/A,FALSE,"PMTABB"}</definedName>
    <definedName name="QQ_1" hidden="1">{#N/A,#N/A,FALSE,"PMTABB";#N/A,#N/A,FALSE,"PMTABB"}</definedName>
    <definedName name="QQ_2" hidden="1">{#N/A,#N/A,FALSE,"PMTABB";#N/A,#N/A,FALSE,"PMTABB"}</definedName>
    <definedName name="QQ_3" hidden="1">{#N/A,#N/A,FALSE,"PMTABB";#N/A,#N/A,FALSE,"PMTABB"}</definedName>
    <definedName name="QQ_4" hidden="1">{#N/A,#N/A,FALSE,"PMTABB";#N/A,#N/A,FALSE,"PMTABB"}</definedName>
    <definedName name="qqj" hidden="1">{"'7'!$B$15:$D$32"}</definedName>
    <definedName name="qqkkkkk" hidden="1">{#N/A,"PURCHM",FALSE,"Business Analysis";#N/A,"SPADD",FALSE,"Business Analysis"}</definedName>
    <definedName name="QQQ"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qq_1">NA()</definedName>
    <definedName name="qqq_2">NA()</definedName>
    <definedName name="qqq_3">NA()</definedName>
    <definedName name="qqq_4">NA()</definedName>
    <definedName name="qqq_5">NA()</definedName>
    <definedName name="qqqaa" hidden="1">{"detail",#N/A,FALSE,"mfg";"summary",#N/A,FALSE,"mfg"}</definedName>
    <definedName name="QQQQ" hidden="1">{#N/A,#N/A,FALSE,"EW"}</definedName>
    <definedName name="QQQQ_1" hidden="1">{#N/A,#N/A,FALSE,"EW"}</definedName>
    <definedName name="QQQQ_2" hidden="1">{#N/A,#N/A,FALSE,"EW"}</definedName>
    <definedName name="QQQQ_3" hidden="1">{#N/A,#N/A,FALSE,"EW"}</definedName>
    <definedName name="QQQQ_4" hidden="1">{#N/A,#N/A,FALSE,"EW"}</definedName>
    <definedName name="qqqqq" hidden="1">{#N/A,"PURCHM",FALSE,"Business Analysis";#N/A,"SPADD",FALSE,"Business Analysis"}</definedName>
    <definedName name="qqqqqq" hidden="1">{"QTD_PRS",#N/A,FALSE,"QTD"}</definedName>
    <definedName name="QQQQQQQ" hidden="1">{"assumptions",#N/A,FALSE,"HC-TOTAL";"misc. - standards",#N/A,FALSE,"HC-TOTAL";"misc - total",#N/A,FALSE,"HC-TOTAL";"R&amp;M - STANDARDS",#N/A,FALSE,"HC-TOTAL";"R&amp;M - TOTAL",#N/A,FALSE,"I.T. COSTS";"IT COSTS - STD.",#N/A,FALSE,"HC-TOTAL";"IT COSTS - TOTAL",#N/A,FALSE,"HC-TOTAL";"SPACE COSTS - STD.",#N/A,FALSE,"HC-TOTAL";"SPACE COSTS - TOTAL",#N/A,FALSE,"HC-TOTAL";"RENT",#N/A,FALSE,"HC-TOTAL";"COST SHEET",#N/A,FALSE,"HC-TOTAL";"COMM. LINKS",#N/A,FALSE,"HC-TOTAL";"ADVERTISEMENT",#N/A,FALSE,"HC-TOTAL";"business support head count",#N/A,FALSE,"HC-TOTAL";"capacity",#N/A,FALSE,"HC-TOTAL";"capacity",#N/A,FALSE,"HC-TOTAL"}</definedName>
    <definedName name="QQQQQQQQQ" hidden="1">{#N/A,#N/A,FALSE,"CMN_FE"}</definedName>
    <definedName name="qqqqqqqqqq" hidden="1">{"pro_view",#N/A,FALSE,"EEFSNAP2";"rep_view",#N/A,FALSE,"EEFSNAP2"}</definedName>
    <definedName name="qqqqqqqqqqqqqq" hidden="1">{#N/A,#N/A,FALSE,"IS INPUT";#N/A,#N/A,FALSE,"BS INPUT";#N/A,#N/A,FALSE,"IS MTH";#N/A,#N/A,FALSE,"IS LOCAL";#N/A,#N/A,FALSE,"WON ADJ";#N/A,#N/A,FALSE,"USD ADJ";#N/A,#N/A,FALSE,"EQUITY";#N/A,#N/A,FALSE,"IS US ";#N/A,#N/A,FALSE,"BS US"}</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q" hidden="1">{"detail",#N/A,FALSE,"mfg";"summary",#N/A,FALSE,"mfg"}</definedName>
    <definedName name="qqqqqqqqqqqqqqqqqqqqqqqqqqqqqqqqqqqqqqqqqqqqqqqqqqqqqq" hidden="1">{"TXO2N2_SLS",#N/A,FALSE,"MTHLYSLES";"TXH2_SLS",#N/A,FALSE,"MTHLYSLES";"LOUIS_SLS",#N/A,FALSE,"MTHLYSLES";"H2_SLS",#N/A,FALSE,"MTHLYSLES";"O2N2_SLS",#N/A,FALSE,"MTHLYSLES";"PACKAGE_SLS",#N/A,FALSE,"MTHLYSLES"}</definedName>
    <definedName name="QQRRR" hidden="1">{#N/A,#N/A,FALSE,"CDA Plan"}</definedName>
    <definedName name="qqweq" hidden="1">{0,0,FALSE,0,FALSE,TRUE,0,0,0,0,0,0,0,#VALUE!,0,0,0,0,0,0,0,0,0,0,#VALUE!,0,FALSE,0,0,0,0,0,0,0,0,0,0,0,0,0,0,0,0,0,0,0,0,0,0,0,0}</definedName>
    <definedName name="qqwtweryey" hidden="1">{#N/A,#N/A,FALSE,"REPORT"}</definedName>
    <definedName name="qr" hidden="1">{"detail",#N/A,FALSE,"mfg";"summary",#N/A,FALSE,"mfg"}</definedName>
    <definedName name="QRABOH">#N/A</definedName>
    <definedName name="QRAEOH">#N/A</definedName>
    <definedName name="qryYTD03">#REF!</definedName>
    <definedName name="qryYTD04">#REF!</definedName>
    <definedName name="QS" hidden="1">{#N/A,#N/A,TRUE,"Front";#N/A,#N/A,TRUE,"Simple Letter";#N/A,#N/A,TRUE,"Inside";#N/A,#N/A,TRUE,"Contents";#N/A,#N/A,TRUE,"Basis";#N/A,#N/A,TRUE,"Inclusions";#N/A,#N/A,TRUE,"Exclusions";#N/A,#N/A,TRUE,"Areas";#N/A,#N/A,TRUE,"Summary";#N/A,#N/A,TRUE,"Detail"}</definedName>
    <definedName name="qselBCH2003" hidden="1">#REF!</definedName>
    <definedName name="qselBCH2004" hidden="1">#REF!</definedName>
    <definedName name="qssss" hidden="1">{#N/A,"PURCHM",FALSE,"Business Analysis";#N/A,"SPADD",FALSE,"Business Analysis"}</definedName>
    <definedName name="qt" hidden="1">{"oct_res_comm",#N/A,FALSE,"VarToBud"}</definedName>
    <definedName name="qttty" hidden="1">{#N/A,#N/A,TRUE,"Front";#N/A,#N/A,TRUE,"Simple Letter";#N/A,#N/A,TRUE,"Inside";#N/A,#N/A,TRUE,"Contents";#N/A,#N/A,TRUE,"Basis";#N/A,#N/A,TRUE,"Inclusions";#N/A,#N/A,TRUE,"Exclusions";#N/A,#N/A,TRUE,"Areas";#N/A,#N/A,TRUE,"Summary";#N/A,#N/A,TRUE,"Detail"}</definedName>
    <definedName name="qttty_1">{#N/A,#N/A,TRUE,"Front";#N/A,#N/A,TRUE,"Simple Letter";#N/A,#N/A,TRUE,"Inside";#N/A,#N/A,TRUE,"Contents";#N/A,#N/A,TRUE,"Basis";#N/A,#N/A,TRUE,"Inclusions";#N/A,#N/A,TRUE,"Exclusions";#N/A,#N/A,TRUE,"Areas";#N/A,#N/A,TRUE,"Summary";#N/A,#N/A,TRUE,"Detail"}</definedName>
    <definedName name="qttty_2">NA()</definedName>
    <definedName name="qttty_3">NA()</definedName>
    <definedName name="qttty_4">NA()</definedName>
    <definedName name="qttty_5">NA()</definedName>
    <definedName name="qttty_6">NA()</definedName>
    <definedName name="QUARTZ_2">"#REF!"</definedName>
    <definedName name="QUARTZ_3">"#REF!"</definedName>
    <definedName name="QUARTZ_4">"#REF!"</definedName>
    <definedName name="QUARTZ_5">"#REF!"</definedName>
    <definedName name="QUARTZ_6">"#REF!"</definedName>
    <definedName name="QUARTZ_7">"#REF!"</definedName>
    <definedName name="qw" hidden="1">{#N/A,#N/A,FALSE,"REPORT"}</definedName>
    <definedName name="qwe" hidden="1">{#N/A,"PURADD",FALSE,"Business Analysis";#N/A,"PURSPP",FALSE,"Business Analysis";#N/A,"CTGIND",FALSE,"Business Analysis";#N/A,"PURCHM",FALSE,"Business Analysis";#N/A,"SPADD",FALSE,"Business Analysis";#N/A,"EPOXY",FALSE,"Business Analysis";#N/A,"PURPER",FALSE,"Business Analysis"}</definedName>
    <definedName name="qwef" hidden="1">{#N/A,#N/A,FALSE,"EW"}</definedName>
    <definedName name="qwef_1" hidden="1">{#N/A,#N/A,FALSE,"EW"}</definedName>
    <definedName name="qwef_2" hidden="1">{#N/A,#N/A,FALSE,"EW"}</definedName>
    <definedName name="qwef_3" hidden="1">{#N/A,#N/A,FALSE,"EW"}</definedName>
    <definedName name="qwef_4" hidden="1">{#N/A,#N/A,FALSE,"EW"}</definedName>
    <definedName name="qweqwe">#REF!/#REF!</definedName>
    <definedName name="qweqwesg" hidden="1">{#N/A,#N/A,FALSE,"Umsatz CH";#N/A,#N/A,FALSE,"ER CH";#N/A,#N/A,FALSE,"EA CH (2) ";#N/A,#N/A,FALSE,"EA CH";#N/A,#N/A,FALSE,"EA CH (3) ";#N/A,#N/A,FALSE,"EA CH (4)";#N/A,#N/A,FALSE,"KA CH";#N/A,#N/A,FALSE,"KA CH  (2)";#N/A,#N/A,FALSE,"KA CH  (3)";#N/A,#N/A,FALSE,"KA CH (4)"}</definedName>
    <definedName name="QWER" hidden="1">{#N/A,#N/A,FALSE,"SUMMARY";#N/A,#N/A,FALSE,"SUMMARY"}</definedName>
    <definedName name="QWER_1" hidden="1">{#N/A,#N/A,FALSE,"SUMMARY";#N/A,#N/A,FALSE,"SUMMARY"}</definedName>
    <definedName name="QWER_2" hidden="1">{#N/A,#N/A,FALSE,"SUMMARY";#N/A,#N/A,FALSE,"SUMMARY"}</definedName>
    <definedName name="QWER_3" hidden="1">{#N/A,#N/A,FALSE,"SUMMARY";#N/A,#N/A,FALSE,"SUMMARY"}</definedName>
    <definedName name="QWER_4" hidden="1">{#N/A,#N/A,FALSE,"SUMMARY";#N/A,#N/A,FALSE,"SUMMARY"}</definedName>
    <definedName name="qwertqry" hidden="1">{#N/A,#N/A,FALSE,"REPORT"}</definedName>
    <definedName name="QWET">#N/A</definedName>
    <definedName name="qwetqryetytu" hidden="1">{#N/A,#N/A,FALSE,"Pharm";#N/A,#N/A,FALSE,"WWCM"}</definedName>
    <definedName name="qwhqq" hidden="1">{"'7'!$B$15:$D$32"}</definedName>
    <definedName name="qwj" hidden="1">{"'7'!$B$15:$D$32"}</definedName>
    <definedName name="qwrd" hidden="1">{"ACT",#N/A,FALSE,"Q3Elec P&amp;L fy 99  ";"BUD",#N/A,FALSE,"Q3Elec P&amp;L fy 99  ";"PRIOR",#N/A,FALSE,"Q3Elec P&amp;L fy 99  "}</definedName>
    <definedName name="qws" hidden="1">{"QTD_OTHER",#N/A,FALSE,"QTD"}</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wqe">#N/A</definedName>
    <definedName name="qwz" hidden="1">{"QTD_HYCO",#N/A,FALSE,"QTD"}</definedName>
    <definedName name="QXC" hidden="1">{#N/A,#N/A,FALSE,"Tabl. H1";#N/A,#N/A,FALSE,"Tabl. H2"}</definedName>
    <definedName name="R_">#N/A</definedName>
    <definedName name="R__2">"#REF!"</definedName>
    <definedName name="R__3">"#REF!"</definedName>
    <definedName name="R__4">"#REF!"</definedName>
    <definedName name="R__5">"#REF!"</definedName>
    <definedName name="R__6">"#REF!"</definedName>
    <definedName name="R__7">"#REF!"</definedName>
    <definedName name="R_03">#REF!</definedName>
    <definedName name="R_98">#REF!</definedName>
    <definedName name="R_99">#REF!</definedName>
    <definedName name="r4.5.2a_2">"#REF!"</definedName>
    <definedName name="r4.5.2a_3">"#REF!"</definedName>
    <definedName name="r4.5.2a_4">"#REF!"</definedName>
    <definedName name="r4.5.2a_5">"#REF!"</definedName>
    <definedName name="r4.5.2a_6">"#REF!"</definedName>
    <definedName name="r4.5.2a_7">"#REF!"</definedName>
    <definedName name="r4.5.3a_2">"#REF!"</definedName>
    <definedName name="r4.5.3a_3">"#REF!"</definedName>
    <definedName name="r4.5.3a_4">"#REF!"</definedName>
    <definedName name="r4.5.3a_5">"#REF!"</definedName>
    <definedName name="r4.5.3a_6">"#REF!"</definedName>
    <definedName name="r4.5.3a_7">"#REF!"</definedName>
    <definedName name="r5.42.1_2">"#REF!"</definedName>
    <definedName name="r5.42.1_3">"#REF!"</definedName>
    <definedName name="r5.42.1_4">"#REF!"</definedName>
    <definedName name="r5.42.1_5">"#REF!"</definedName>
    <definedName name="r5.42.1_6">"#REF!"</definedName>
    <definedName name="r5.42.1_7">"#REF!"</definedName>
    <definedName name="r5.42.2.1_2">"#REF!"</definedName>
    <definedName name="r5.42.2.1_3">"#REF!"</definedName>
    <definedName name="r5.42.2.1_4">"#REF!"</definedName>
    <definedName name="r5.42.2.1_5">"#REF!"</definedName>
    <definedName name="r5.42.2.1_6">"#REF!"</definedName>
    <definedName name="r5.42.2.1_7">"#REF!"</definedName>
    <definedName name="r5.42.2.2_2">"#REF!"</definedName>
    <definedName name="r5.42.2.2_3">"#REF!"</definedName>
    <definedName name="r5.42.2.2_4">"#REF!"</definedName>
    <definedName name="r5.42.2.2_5">"#REF!"</definedName>
    <definedName name="r5.42.2.2_6">"#REF!"</definedName>
    <definedName name="r5.42.2.2_7">"#REF!"</definedName>
    <definedName name="ra" hidden="1">{#N/A,#N/A,FALSE,"Budegeted vs Actual"}</definedName>
    <definedName name="Raa">{1}</definedName>
    <definedName name="rad" hidden="1">{"PACKAGE",#N/A,FALSE,"CM"}</definedName>
    <definedName name="RAJ_1">NA()</definedName>
    <definedName name="ram" hidden="1">{"dep. full detail",#N/A,FALSE,"annex";"3cd annex",#N/A,FALSE,"annex";"co. dep.",#N/A,FALSE,"annex"}</definedName>
    <definedName name="range1">#REF!</definedName>
    <definedName name="rate_1">"#REF!"</definedName>
    <definedName name="rate_2">"#REF!"</definedName>
    <definedName name="RATES">#N/A</definedName>
    <definedName name="Ratios">CapitalEmployed+CurrentLiab</definedName>
    <definedName name="ravi" hidden="1">{#N/A,#N/A,TRUE,"Front";#N/A,#N/A,TRUE,"Simple Letter";#N/A,#N/A,TRUE,"Inside";#N/A,#N/A,TRUE,"Contents";#N/A,#N/A,TRUE,"Basis";#N/A,#N/A,TRUE,"Inclusions";#N/A,#N/A,TRUE,"Exclusions";#N/A,#N/A,TRUE,"Areas";#N/A,#N/A,TRUE,"Summary";#N/A,#N/A,TRUE,"Detail"}</definedName>
    <definedName name="ravi_1">{#N/A,#N/A,TRUE,"Front";#N/A,#N/A,TRUE,"Simple Letter";#N/A,#N/A,TRUE,"Inside";#N/A,#N/A,TRUE,"Contents";#N/A,#N/A,TRUE,"Basis";#N/A,#N/A,TRUE,"Inclusions";#N/A,#N/A,TRUE,"Exclusions";#N/A,#N/A,TRUE,"Areas";#N/A,#N/A,TRUE,"Summary";#N/A,#N/A,TRUE,"Detail"}</definedName>
    <definedName name="ravi_2">NA()</definedName>
    <definedName name="ravi_3">NA()</definedName>
    <definedName name="ravi_4">NA()</definedName>
    <definedName name="ravi_5">NA()</definedName>
    <definedName name="ravi_6">NA()</definedName>
    <definedName name="RBG" hidden="1">{#N/A,#N/A,FALSE,"Tabl. D1";#N/A,#N/A,FALSE,"Tabl. D1 b";#N/A,#N/A,FALSE,"Tabl. D2";#N/A,#N/A,FALSE,"Tabl. D2 b";#N/A,#N/A,FALSE,"Tabl. D3";#N/A,#N/A,FALSE,"Tabl. D4";#N/A,#N/A,FALSE,"Tabl. D5"}</definedName>
    <definedName name="RCC">NA()</definedName>
    <definedName name="RCC_1">NA()</definedName>
    <definedName name="RCC_2">NA()</definedName>
    <definedName name="RCC_3">NA()</definedName>
    <definedName name="RCC_4">NA()</definedName>
    <definedName name="RCC_5">NA()</definedName>
    <definedName name="RCRABT">0.62</definedName>
    <definedName name="rd" hidden="1">{"oct_res_comm",#N/A,FALSE,"VarToBud"}</definedName>
    <definedName name="rdx" hidden="1">{"oct_res_comm",#N/A,FALSE,"VarToBud"}</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sons_for_over_accrual">"Vaccruals"</definedName>
    <definedName name="Rec">{"LAPO2N2",#N/A,FALSE,"CM";"TOTTEXAS",#N/A,FALSE,"CM";"LOUISIANA",#N/A,FALSE,"CM";"GENERALH2",#N/A,FALSE,"CM";"PRS",#N/A,FALSE,"CM";"PACKAGE",#N/A,FALSE,"CM";"OTHER",#N/A,FALSE,"CM"}</definedName>
    <definedName name="recn" hidden="1">{"CTCp1",#N/A,FALSE,"CTC Report";"CTCp2",#N/A,FALSE,"CTC Report";"CTCp3",#N/A,FALSE,"CTC Report";"CTCp4",#N/A,FALSE,"CTC Report"}</definedName>
    <definedName name="recnt" hidden="1">{"CTCp1",#N/A,FALSE,"CTC Report";"CTCp2",#N/A,FALSE,"CTC Report";"CTCp3",#N/A,FALSE,"CTC Report";"CTCp4",#N/A,FALSE,"CTC Report"}</definedName>
    <definedName name="Record1">#REF!</definedName>
    <definedName name="Record2">#REF!</definedName>
    <definedName name="_xlnm.Recorder">#REF!</definedName>
    <definedName name="rect_4_415_2">"#REF!"</definedName>
    <definedName name="rect_4_415_3">"#REF!"</definedName>
    <definedName name="rect_4_415_4">"#REF!"</definedName>
    <definedName name="rect_4_415_5">"#REF!"</definedName>
    <definedName name="rect_4_415_6">"#REF!"</definedName>
    <definedName name="rect_4_415_7">"#REF!"</definedName>
    <definedName name="redgraniter_1">NA()</definedName>
    <definedName name="redo" hidden="1">{#N/A,#N/A,FALSE,"ACQ_GRAPHS";#N/A,#N/A,FALSE,"T_1 GRAPHS";#N/A,#N/A,FALSE,"T_2 GRAPHS";#N/A,#N/A,FALSE,"COMB_GRAPHS"}</definedName>
    <definedName name="reestime">#N/A</definedName>
    <definedName name="REF" hidden="1">{#N/A,#N/A,FALSE,"COMP"}</definedName>
    <definedName name="Ref_Switch_Asia">#REF!</definedName>
    <definedName name="RefDwg_2">"#REF!"</definedName>
    <definedName name="RefDwg_3">"#REF!"</definedName>
    <definedName name="RefDwg_4">"#REF!"</definedName>
    <definedName name="RefDwg_5">"#REF!"</definedName>
    <definedName name="RefDwg_6">"#REF!"</definedName>
    <definedName name="RefDwg_7">"#REF!"</definedName>
    <definedName name="reggie" hidden="1">{#N/A,#N/A,FALSE,"Pharm";#N/A,#N/A,FALSE,"WWCM"}</definedName>
    <definedName name="region">#N/A</definedName>
    <definedName name="reinforcementr_1">NA()</definedName>
    <definedName name="reiufhiuehf\" hidden="1">{#N/A,#N/A,FALSE,"Calc";#N/A,#N/A,FALSE,"Sensitivity";#N/A,#N/A,FALSE,"LT Earn.Dil.";#N/A,#N/A,FALSE,"Dil. AVP"}</definedName>
    <definedName name="reiuhviurv"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el_2">"#REF!"</definedName>
    <definedName name="rel_3">"#REF!"</definedName>
    <definedName name="rel_4">"#REF!"</definedName>
    <definedName name="rel_5">"#REF!"</definedName>
    <definedName name="rel_6">"#REF!"</definedName>
    <definedName name="rel_7">"#REF!"</definedName>
    <definedName name="related" hidden="1">{#N/A,#N/A,FALSE,"PMTABB";#N/A,#N/A,FALSE,"PMTABB"}</definedName>
    <definedName name="REMOVE">#N/A</definedName>
    <definedName name="removes">#N/A</definedName>
    <definedName name="Rent">23</definedName>
    <definedName name="reoijfoief" hidden="1">{#N/A,#N/A,FALSE,"Calc";#N/A,#N/A,FALSE,"Sensitivity";#N/A,#N/A,FALSE,"LT Earn.Dil.";#N/A,#N/A,FALSE,"Dil. AVP"}</definedName>
    <definedName name="REP">#REF!</definedName>
    <definedName name="Repairs"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port">#REF!</definedName>
    <definedName name="ReportCreated">TRUE</definedName>
    <definedName name="reporting" hidden="1">{#N/A,#N/A,FALSE,"Tabl. FB300";#N/A,#N/A,FALSE,"Tabl. FB350";#N/A,#N/A,FALSE,"Tabl. FB400";#N/A,#N/A,FALSE,"Tabl. FB500";#N/A,#N/A,FALSE,"Tabl. FS090"}</definedName>
    <definedName name="repre" hidden="1">{#N/A,#N/A,FALSE,"Aging Summary";#N/A,#N/A,FALSE,"Ratio Analysis";#N/A,#N/A,FALSE,"Test 120 Day Accts";#N/A,#N/A,FALSE,"Tickmarks"}</definedName>
    <definedName name="rerere" hidden="1">{"Geo - Detail Detail",#N/A,FALSE,"Geo View";"Geo - Detail",#N/A,FALSE,"Geo View";"Dept - Detail Detail",#N/A,FALSE,"Dept View";"Dept - Detail",#N/A,FALSE,"Dept View"}</definedName>
    <definedName name="rererer" hidden="1">{"Geo - Detail Detail",#N/A,FALSE,"Geo View";"Geo - Detail",#N/A,FALSE,"Geo View";"Dept - Detail Detail",#N/A,FALSE,"Dept View";"Dept - Detail",#N/A,FALSE,"Dept View"}</definedName>
    <definedName name="res" hidden="1">{#N/A,#N/A,FALSE,"Tabl. FB300";#N/A,#N/A,FALSE,"Tabl. FB350";#N/A,#N/A,FALSE,"Tabl. FB400";#N/A,#N/A,FALSE,"Tabl. FB500";#N/A,#N/A,FALSE,"Tabl. FS090"}</definedName>
    <definedName name="resp." hidden="1">{#N/A,#N/A,FALSE,"Pharm";#N/A,#N/A,FALSE,"WWCM"}</definedName>
    <definedName name="result" hidden="1">{#N/A,#N/A,FALSE,"Tabl. G1";#N/A,#N/A,FALSE,"Tabl. G2"}</definedName>
    <definedName name="Retail_CY01">#REF!</definedName>
    <definedName name="Retail_CY02">#REF!</definedName>
    <definedName name="Retail_Expense">#REF!</definedName>
    <definedName name="Retail_Provision">#REF!</definedName>
    <definedName name="Retail_Provision_CY02">#REF!</definedName>
    <definedName name="Retail_Total">#REF!</definedName>
    <definedName name="Retail_Total_CY02">#REF!</definedName>
    <definedName name="returns">#REF!</definedName>
    <definedName name="reu" hidden="1">{#N/A,#N/A,FALSE,"gc (2)"}</definedName>
    <definedName name="rev.plan">City&amp;" "&amp;State</definedName>
    <definedName name="Rev_2">"#REF!"</definedName>
    <definedName name="Rev_3">"#REF!"</definedName>
    <definedName name="Rev_4">"#REF!"</definedName>
    <definedName name="Rev_5">"#REF!"</definedName>
    <definedName name="Rev_6">"#REF!"</definedName>
    <definedName name="Rev_7">"#REF!"</definedName>
    <definedName name="Rev_Adj">#REF!</definedName>
    <definedName name="REVCUST">#N/A</definedName>
    <definedName name="Revenue_Output_v18_003">#REF!</definedName>
    <definedName name="Reverse">#N/A</definedName>
    <definedName name="Revision_2">"#REF!"</definedName>
    <definedName name="Revision_3">"#REF!"</definedName>
    <definedName name="Revision_4">"#REF!"</definedName>
    <definedName name="Revision_5">"#REF!"</definedName>
    <definedName name="Revision_6">"#REF!"</definedName>
    <definedName name="Revision_7">"#REF!"</definedName>
    <definedName name="revolver">#REF!</definedName>
    <definedName name="Revolver2">#REF!</definedName>
    <definedName name="revolver3">#REF!</definedName>
    <definedName name="REVOLVEREQ">#REF!</definedName>
    <definedName name="REVOLVEREQ1">#REF!</definedName>
    <definedName name="REVOLVERRATE">#REF!</definedName>
    <definedName name="REVOLVERRATE1">#REF!</definedName>
    <definedName name="rewq" hidden="1">{"sales growth",#N/A,FALSE,"summary";"oper income",#N/A,FALSE,"summary";"oros rank",#N/A,FALSE,"summary";"net assets",#N/A,FALSE,"summary";"asset turnover",#N/A,FALSE,"summary";"orona",#N/A,FALSE,"summary"}</definedName>
    <definedName name="rewtet" hidden="1">{#N/A,#N/A,FALSE,"Umsatz 99";#N/A,#N/A,FALSE,"ER 99 "}</definedName>
    <definedName name="rewtwe" hidden="1">{#N/A,#N/A,FALSE,"COMP"}</definedName>
    <definedName name="reya" hidden="1">{"office ltcg",#N/A,FALSE,"gain01";"IT LTCG",#N/A,FALSE,"gain01"}</definedName>
    <definedName name="RF">#REF!</definedName>
    <definedName name="rf2e" hidden="1">{#N/A,#N/A,FALSE,"Pharm";#N/A,#N/A,FALSE,"WWCM"}</definedName>
    <definedName name="rfktlt" hidden="1">{#N/A,#N/A,FALSE,"CDA Plan"}</definedName>
    <definedName name="RG" hidden="1">{TRUE,TRUE,-1.25,-15.5,456.75,279.75,FALSE,FALSE,TRUE,TRUE,0,1,8,1,4,6,3,4,TRUE,TRUE,3,TRUE,1,TRUE,100,"Swvu.turnover.","ACwvu.turnover.",1,FALSE,FALSE,0.511811023622047,0.511811023622047,0.511811023622047,0.511811023622047,1,"","",FALSE,FALSE,FALSE,FALSE,1,#N/A,1,1,#DIV/0!,FALSE,"Rwvu.turnover.",#N/A,FALSE,FALSE}</definedName>
    <definedName name="rgegerg"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gergeger" hidden="1">{#N/A,#N/A,FALSE,"PGW"}</definedName>
    <definedName name="rh" hidden="1">{#N/A,#N/A,FALSE,"FREE"}</definedName>
    <definedName name="rhw" hidden="1">{#N/A,#N/A,FALSE,"FREE"}</definedName>
    <definedName name="rhw_1" hidden="1">{#N/A,#N/A,FALSE,"FREE"}</definedName>
    <definedName name="rhw_2" hidden="1">{#N/A,#N/A,FALSE,"FREE"}</definedName>
    <definedName name="rhw_3" hidden="1">{#N/A,#N/A,FALSE,"FREE"}</definedName>
    <definedName name="rhw_4" hidden="1">{#N/A,#N/A,FALSE,"FREE"}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g_2">"#REF!"</definedName>
    <definedName name="rig_3">"#REF!"</definedName>
    <definedName name="rig_4">"#REF!"</definedName>
    <definedName name="rig_5">"#REF!"</definedName>
    <definedName name="rig_6">"#REF!"</definedName>
    <definedName name="rig_7">"#REF!"</definedName>
    <definedName name="ripal" hidden="1">{#N/A,#N/A,FALSE,"gc (2)"}</definedName>
    <definedName name="riser_2">"#REF!"</definedName>
    <definedName name="riser_3">"#REF!"</definedName>
    <definedName name="riser_4">"#REF!"</definedName>
    <definedName name="riser_5">"#REF!"</definedName>
    <definedName name="riser_6">"#REF!"</definedName>
    <definedName name="riser_7">"#REF!"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224</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MultipleCPUSupportEnabled" hidden="1">TRUE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TRUE</definedName>
    <definedName name="RiskUseDifferentSeedForEachSim">FALSE</definedName>
    <definedName name="RiskUseFixedSeed">FALSE</definedName>
    <definedName name="RiskUseMultipleCPUs">FALSE</definedName>
    <definedName name="riversandr_1">NA()</definedName>
    <definedName name="rivsnd_2">"#REF!"</definedName>
    <definedName name="rivsnd_3">"#REF!"</definedName>
    <definedName name="rivsnd_4">"#REF!"</definedName>
    <definedName name="rivsnd_5">"#REF!"</definedName>
    <definedName name="rivsnd_6">"#REF!"</definedName>
    <definedName name="rivsnd_7">"#REF!"</definedName>
    <definedName name="rixi" hidden="1">{"oct_res_comm",#N/A,FALSE,"VarToBud"}</definedName>
    <definedName name="rjod" hidden="1">{"detail",#N/A,FALSE,"mfg";"summary",#N/A,FALSE,"mfg"}</definedName>
    <definedName name="rkods" hidden="1">{"detail",#N/A,FALSE,"mfg";"summary",#N/A,FALSE,"mfg"}</definedName>
    <definedName name="rm">#REF!</definedName>
    <definedName name="RMBUD">#REF!</definedName>
    <definedName name="rmcApplication">"MC35"</definedName>
    <definedName name="rmcCategory">"PROPST"</definedName>
    <definedName name="rmcFrequency">"YTD"</definedName>
    <definedName name="rmcName">"5408LC"</definedName>
    <definedName name="RMCOptions">"*000000000000000"</definedName>
    <definedName name="rmcPeriod">9612</definedName>
    <definedName name="RMIN">#N/A</definedName>
    <definedName name="RMM1A1">#REF!</definedName>
    <definedName name="RMM1BUD">#REF!</definedName>
    <definedName name="RMREOH">#N/A</definedName>
    <definedName name="RMRNOT">#N/A</definedName>
    <definedName name="RNDBOH">#N/A</definedName>
    <definedName name="RNDEOH">#N/A</definedName>
    <definedName name="rngValues" hidden="1">"Check Box 12"</definedName>
    <definedName name="RO">{#N/A,#N/A,FALSE,"Pharm";#N/A,#N/A,FALSE,"WWCM"}</definedName>
    <definedName name="ROAROI">#REF!</definedName>
    <definedName name="Robert">#N/A</definedName>
    <definedName name="robot_2">"#REF!"</definedName>
    <definedName name="robot_3">"#REF!"</definedName>
    <definedName name="robot_4">"#REF!"</definedName>
    <definedName name="robot_5">"#REF!"</definedName>
    <definedName name="robot_6">"#REF!"</definedName>
    <definedName name="robot_7">"#REF!"</definedName>
    <definedName name="roce">#N/A</definedName>
    <definedName name="rohig" hidden="1">{#N/A,#N/A,TRUE,"Staffnos &amp; cost"}</definedName>
    <definedName name="rohig_1" hidden="1">{#N/A,#N/A,TRUE,"Staffnos &amp; cost"}</definedName>
    <definedName name="rosid_2">"#REF!"</definedName>
    <definedName name="rosid_3">"#REF!"</definedName>
    <definedName name="rosid_4">"#REF!"</definedName>
    <definedName name="rosid_5">"#REF!"</definedName>
    <definedName name="rosid_6">"#REF!"</definedName>
    <definedName name="rosid_7">"#REF!"</definedName>
    <definedName name="round">1</definedName>
    <definedName name="ROWEND">"$Mar05.$#REF!$6"</definedName>
    <definedName name="ROWSTART">"$Mar05.$#REF!$3"</definedName>
    <definedName name="rr" hidden="1">{"detail",#N/A,FALSE,"mfg";"summary",#N/A,FALSE,"mfg"}</definedName>
    <definedName name="rr.kk" hidden="1">{#N/A,#N/A,FALSE,"Umsatz CH";#N/A,#N/A,FALSE,"ER CH";#N/A,#N/A,FALSE,"EA CH (2) ";#N/A,#N/A,FALSE,"EA CH";#N/A,#N/A,FALSE,"EA CH (3) ";#N/A,#N/A,FALSE,"EA CH (4)";#N/A,#N/A,FALSE,"KA CH";#N/A,#N/A,FALSE,"KA CH  (2)";#N/A,#N/A,FALSE,"KA CH  (3)";#N/A,#N/A,FALSE,"KA CH (4)"}</definedName>
    <definedName name="rrr">City&amp;" "&amp;State</definedName>
    <definedName name="rrrr" hidden="1">{#N/A,#N/A,FALSE,"Tabl. H1";#N/A,#N/A,FALSE,"Tabl. H2"}</definedName>
    <definedName name="rrrrr" hidden="1">{#N/A,#N/A,FALSE,"BANNERS";#N/A,#N/A,FALSE,"Market";#N/A,#N/A,FALSE,"Tel Rev";#N/A,#N/A,FALSE,"Revenues IOL";#N/A,#N/A,FALSE,"Invest";#N/A,#N/A,FALSE,"Op Cost1";#N/A,#N/A,FALSE,"Op Cost2";#N/A,#N/A,FALSE,"Oth_&amp;_Tot_Revenues";#N/A,#N/A,FALSE,"Fin Mod";#N/A,#N/A,FALSE,"FinMod_RoW";#N/A,#N/A,FALSE,"P&amp;E Burocrat";#N/A,#N/A,FALSE,"cash flow"}</definedName>
    <definedName name="rs">#REF!</definedName>
    <definedName name="rsac" hidden="1">{"PAGE 1",#N/A,FALSE,"COS Excluding Geismar";"PAGE 2",#N/A,FALSE,"COS Excluding Geismar";"PAGE 3",#N/A,FALSE,"COS Excluding Geismar"}</definedName>
    <definedName name="rsadm_2">"#REF!"</definedName>
    <definedName name="rsadm_3">"#REF!"</definedName>
    <definedName name="rsadm_4">"#REF!"</definedName>
    <definedName name="rsadm_5">"#REF!"</definedName>
    <definedName name="rsadm_6">"#REF!"</definedName>
    <definedName name="rsadm_7">"#REF!"</definedName>
    <definedName name="rsand_1">NA()</definedName>
    <definedName name="RsandR_2">"#REF!"</definedName>
    <definedName name="RsandR_3">"#REF!"</definedName>
    <definedName name="RsandR_4">"#REF!"</definedName>
    <definedName name="RsandR_5">"#REF!"</definedName>
    <definedName name="RsandR_6">"#REF!"</definedName>
    <definedName name="RsandR_7">"#REF!"</definedName>
    <definedName name="Rscement_2">"#REF!"</definedName>
    <definedName name="Rscement_3">"#REF!"</definedName>
    <definedName name="Rscement_4">"#REF!"</definedName>
    <definedName name="Rscement_5">"#REF!"</definedName>
    <definedName name="Rscement_6">"#REF!"</definedName>
    <definedName name="Rscement_7">"#REF!"</definedName>
    <definedName name="rscrsnd_2">"#REF!"</definedName>
    <definedName name="rscrsnd_3">"#REF!"</definedName>
    <definedName name="rscrsnd_4">"#REF!"</definedName>
    <definedName name="rscrsnd_5">"#REF!"</definedName>
    <definedName name="rscrsnd_6">"#REF!"</definedName>
    <definedName name="rscrsnd_7">"#REF!"</definedName>
    <definedName name="rsdec" hidden="1">{#N/A,#N/A,TRUE,"Front";#N/A,#N/A,TRUE,"Simple Letter";#N/A,#N/A,TRUE,"Inside";#N/A,#N/A,TRUE,"Contents";#N/A,#N/A,TRUE,"Basis";#N/A,#N/A,TRUE,"Inclusions";#N/A,#N/A,TRUE,"Exclusions";#N/A,#N/A,TRUE,"Areas";#N/A,#N/A,TRUE,"Summary";#N/A,#N/A,TRUE,"Detail"}</definedName>
    <definedName name="rsem" hidden="1">{#N/A,#N/A,FALSE,"1996";#N/A,#N/A,FALSE,"1995";#N/A,#N/A,FALSE,"1994"}</definedName>
    <definedName name="rsfa_2">"#REF!"</definedName>
    <definedName name="rsfa_3">"#REF!"</definedName>
    <definedName name="rsfa_4">"#REF!"</definedName>
    <definedName name="rsfa_5">"#REF!"</definedName>
    <definedName name="rsfa_6">"#REF!"</definedName>
    <definedName name="rsfa_7">"#REF!"</definedName>
    <definedName name="rsmet10_2">"#REF!"</definedName>
    <definedName name="rsmet10_3">"#REF!"</definedName>
    <definedName name="rsmet10_4">"#REF!"</definedName>
    <definedName name="rsmet10_5">"#REF!"</definedName>
    <definedName name="rsmet10_6">"#REF!"</definedName>
    <definedName name="rsmet10_7">"#REF!"</definedName>
    <definedName name="rsmet20_2">"#REF!"</definedName>
    <definedName name="rsmet20_3">"#REF!"</definedName>
    <definedName name="rsmet20_4">"#REF!"</definedName>
    <definedName name="rsmet20_5">"#REF!"</definedName>
    <definedName name="rsmet20_6">"#REF!"</definedName>
    <definedName name="rsmet20_7">"#REF!"</definedName>
    <definedName name="rsmet30_2">"#REF!"</definedName>
    <definedName name="rsmet30_3">"#REF!"</definedName>
    <definedName name="rsmet30_4">"#REF!"</definedName>
    <definedName name="rsmet30_5">"#REF!"</definedName>
    <definedName name="rsmet30_6">"#REF!"</definedName>
    <definedName name="rsmet30_7">"#REF!"</definedName>
    <definedName name="rsrivsnd_2">"#REF!"</definedName>
    <definedName name="rsrivsnd_3">"#REF!"</definedName>
    <definedName name="rsrivsnd_4">"#REF!"</definedName>
    <definedName name="rsrivsnd_5">"#REF!"</definedName>
    <definedName name="rsrivsnd_6">"#REF!"</definedName>
    <definedName name="rsrivsnd_7">"#REF!"</definedName>
    <definedName name="rstl_1">NA()</definedName>
    <definedName name="rswat_2">"#REF!"</definedName>
    <definedName name="rswat_3">"#REF!"</definedName>
    <definedName name="rswat_4">"#REF!"</definedName>
    <definedName name="rswat_5">"#REF!"</definedName>
    <definedName name="rswat_6">"#REF!"</definedName>
    <definedName name="rswat_7">"#REF!"</definedName>
    <definedName name="rt" hidden="1">{"detail",#N/A,FALSE,"mfg";"summary",#N/A,FALSE,"mfg"}</definedName>
    <definedName name="RT_DeptID">#REF!</definedName>
    <definedName name="RTA" hidden="1">{#N/A,#N/A,FALSE,"Tabl. G1";#N/A,#N/A,FALSE,"Tabl. G2"}</definedName>
    <definedName name="rtds" hidden="1">{"ICD Details",#N/A,FALSE,"Current Yr";"ICD Details",#N/A,FALSE,"Budget";"ICD Details",#N/A,FALSE,"Prior Year"}</definedName>
    <definedName name="rtfg" hidden="1">{"LAPO2N2",#N/A,FALSE,"CM";"TOTTEXAS",#N/A,FALSE,"CM";"LOUISIANA",#N/A,FALSE,"CM";"GENERALH2",#N/A,FALSE,"CM";"PRS",#N/A,FALSE,"CM";"PACKAGE",#N/A,FALSE,"CM";"OTHER",#N/A,FALSE,"CM"}</definedName>
    <definedName name="rtgdsfgdsrhdf" hidden="1">{#N/A,#N/A,FALSE,"PMTABB";#N/A,#N/A,FALSE,"PMTABB"}</definedName>
    <definedName name="rtgh" hidden="1">{#N/A,#N/A,TRUE,"Sheet1";#N/A,#N/A,TRUE,"Sheet2";#N/A,#N/A,TRUE,"Sheet3";#N/A,#N/A,TRUE,"Sheet4";#N/A,#N/A,TRUE,"Sheet5";#N/A,#N/A,TRUE,"Sheet6";#N/A,#N/A,TRUE,"Sheet7"}</definedName>
    <definedName name="rtht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IN">#N/A</definedName>
    <definedName name="rtnb" hidden="1">{"vol data",#N/A,FALSE,"Datasheet";"vol graph",#N/A,FALSE,"Volume";"price data",#N/A,FALSE,"Datasheet";"price graph",#N/A,FALSE,"Price";"dp data",#N/A,FALSE,"Datasheet";"dp graph",#N/A,FALSE,"DirectProfit"}</definedName>
    <definedName name="rtre" hidden="1">{#N/A,#N/A,FALSE,"Umsatz CH";#N/A,#N/A,FALSE,"ER CH";#N/A,#N/A,FALSE,"EA CH (2) ";#N/A,#N/A,FALSE,"EA CH";#N/A,#N/A,FALSE,"EA CH (3) ";#N/A,#N/A,FALSE,"EA CH (4)";#N/A,#N/A,FALSE,"KA CH";#N/A,#N/A,FALSE,"KA CH  (2)";#N/A,#N/A,FALSE,"KA CH  (3)";#N/A,#N/A,FALSE,"KA CH (4)"}</definedName>
    <definedName name="RTRT">#N/A</definedName>
    <definedName name="rty" hidden="1">{"ICD Details",#N/A,FALSE,"Current Yr";"ICD Details",#N/A,FALSE,"Budget";"ICD Details",#N/A,FALSE,"Prior Year"}</definedName>
    <definedName name="rty_2">"#REF!"</definedName>
    <definedName name="rty_3">"#REF!"</definedName>
    <definedName name="rty_4">"#REF!"</definedName>
    <definedName name="rty_5">"#REF!"</definedName>
    <definedName name="rty_6">"#REF!"</definedName>
    <definedName name="rty_7">"#REF!"</definedName>
    <definedName name="rtyjkasdfg" hidden="1">{"'7'!$B$15:$D$32"}</definedName>
    <definedName name="RTYU" hidden="1">{#N/A,#N/A,FALSE,"PGW"}</definedName>
    <definedName name="RTYU_1" hidden="1">{#N/A,#N/A,FALSE,"PGW"}</definedName>
    <definedName name="RTYU_2" hidden="1">{#N/A,#N/A,FALSE,"PGW"}</definedName>
    <definedName name="RTYU_3" hidden="1">{#N/A,#N/A,FALSE,"PGW"}</definedName>
    <definedName name="RTYU_4" hidden="1">{#N/A,#N/A,FALSE,"PGW"}</definedName>
    <definedName name="Run_Markets">#REF!</definedName>
    <definedName name="rupee_2">NA()</definedName>
    <definedName name="rupee_3">NA()</definedName>
    <definedName name="rupee_4">NA()</definedName>
    <definedName name="rupee_5">NA()</definedName>
    <definedName name="rupee_6">NA()</definedName>
    <definedName name="rupee_7">NA()</definedName>
    <definedName name="ruufo" hidden="1">{"detail",#N/A,FALSE,"mfg";"summary",#N/A,FALSE,"mfg"}</definedName>
    <definedName name="rv" hidden="1">{"apci",#N/A,FALSE,"Chem_CY";"eastman",#N/A,FALSE,"Eastman";"betz",#N/A,FALSE,"Betz";"great lakes",#N/A,FALSE,"Great_Lakes";"hercules",#N/A,FALSE,"Hercules Chem Seg Data";"rohm",#N/A,FALSE,"Rohm";"union carbide",#N/A,FALSE,"Union";"witco",#N/A,FALSE,"Witco"}</definedName>
    <definedName name="rw" hidden="1">{#N/A,"PURADD",FALSE,"Business Analysis";#N/A,"PURSPP",FALSE,"Business Analysis";#N/A,"CTGIND",FALSE,"Business Analysis";#N/A,"PURCHM",FALSE,"Business Analysis";#N/A,"SPADD",FALSE,"Business Analysis";#N/A,"EPOXY",FALSE,"Business Analysis";#N/A,"PURPER",FALSE,"Business Analysis"}</definedName>
    <definedName name="rweq" hidden="1">{"TEXO2N2_VOL",#N/A,FALSE,"MTHLYVOL";"TEXH2_VOL",#N/A,FALSE,"MTHLYVOL";"LOUIS_VOL",#N/A,FALSE,"MTHLYVOL";"H2_VOL",#N/A,FALSE,"MTHLYVOL";"O2N2_VOL",#N/A,FALSE,"MTHLYVOL";"PACKAGE_VOL",#N/A,FALSE,"MTHLYVOL"}</definedName>
    <definedName name="rwert" hidden="1">{#N/A,#N/A,FALSE,"Pharm";#N/A,#N/A,FALSE,"WWCM"}</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h" hidden="1">{#N/A,#N/A,FALSE,"PGW"}</definedName>
    <definedName name="rwh_1" hidden="1">{#N/A,#N/A,FALSE,"PGW"}</definedName>
    <definedName name="rwh_2" hidden="1">{#N/A,#N/A,FALSE,"PGW"}</definedName>
    <definedName name="rwh_3" hidden="1">{#N/A,#N/A,FALSE,"PGW"}</definedName>
    <definedName name="rwh_4" hidden="1">{#N/A,#N/A,FALSE,"PGW"}</definedName>
    <definedName name="rwhwr" hidden="1">{#N/A,#N/A,FALSE,"PGW"}</definedName>
    <definedName name="rwhwr_1" hidden="1">{#N/A,#N/A,FALSE,"PGW"}</definedName>
    <definedName name="rwhwr_2" hidden="1">{#N/A,#N/A,FALSE,"PGW"}</definedName>
    <definedName name="rwhwr_3" hidden="1">{#N/A,#N/A,FALSE,"PGW"}</definedName>
    <definedName name="rwhwr_4" hidden="1">{#N/A,#N/A,FALSE,"PGW"}</definedName>
    <definedName name="rwsz" hidden="1">{"Commentary",#N/A,FALSE,"May"}</definedName>
    <definedName name="rwxz" hidden="1">{"TXO2N2_SLS",#N/A,FALSE,"MTHLYSLES";"TXH2_SLS",#N/A,FALSE,"MTHLYSLES";"LOUIS_SLS",#N/A,FALSE,"MTHLYSLES";"H2_SLS",#N/A,FALSE,"MTHLYSLES";"O2N2_SLS",#N/A,FALSE,"MTHLYSLES";"PACKAGE_SLS",#N/A,FALSE,"MTHLYSLES"}</definedName>
    <definedName name="rxs" hidden="1">{"Month Summary",#N/A,FALSE,"Summary";"Total Details",#N/A,FALSE,"Current Yr";"Polymers Details",#N/A,FALSE,"Current Yr";"Performance Details",#N/A,FALSE,"Current Yr";"ICD Details",#N/A,FALSE,"Current Yr"}</definedName>
    <definedName name="s">{#N/A,#N/A,FALSE,"1";#N/A,#N/A,FALSE,"2";#N/A,#N/A,FALSE,"16 - 17";#N/A,#N/A,FALSE,"18 - 19";#N/A,#N/A,FALSE,"26";#N/A,#N/A,FALSE,"27";#N/A,#N/A,FALSE,"28"}</definedName>
    <definedName name="s_2">"#REF!"</definedName>
    <definedName name="s_3">"#REF!"</definedName>
    <definedName name="s_4">"#REF!"</definedName>
    <definedName name="s_5">"#REF!"</definedName>
    <definedName name="s_6">"#REF!"</definedName>
    <definedName name="s_7">"#REF!"</definedName>
    <definedName name="sa" hidden="1">{0,#N/A,TRUE,0;0,#N/A,TRUE,0}</definedName>
    <definedName name="SA3_2">#REF!</definedName>
    <definedName name="sac" hidden="1">{#N/A,#N/A,FALSE,"Umsatz 99";#N/A,#N/A,FALSE,"ER 99 "}</definedName>
    <definedName name="sadas" hidden="1">{#N/A,#N/A,FALSE,"COMP"}</definedName>
    <definedName name="sadasd">#N/A</definedName>
    <definedName name="saddadasdadas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df" hidden="1">{#N/A,#N/A,FALSE,"INCOME STATEMENT";#N/A,#N/A,FALSE,"DETAIL BALANCE SHEET";#N/A,#N/A,FALSE,"Summary Balance Sheet";#N/A,#N/A,FALSE,"EQUITY STATEMENT";#N/A,#N/A,FALSE,"AASINTERNAL"}</definedName>
    <definedName name="sadfas" hidden="1">{#N/A,#N/A,FALSE,"INCOME STATEMENT";#N/A,#N/A,FALSE,"DETAIL BALANCE SHEET";#N/A,#N/A,FALSE,"Summary Balance Sheet";#N/A,#N/A,FALSE,"EQUITY STATEMENT";#N/A,#N/A,FALSE,"AASINTERNAL"}</definedName>
    <definedName name="sadfg" hidden="1">{#N/A,#N/A,FALSE,"INCOME STATEMENT";#N/A,#N/A,FALSE,"DETAIL BALANCE SHEET";#N/A,#N/A,FALSE,"Summary Balance Sheet";#N/A,#N/A,FALSE,"EQUITY STATEMENT";#N/A,#N/A,FALSE,"AASINTERNAL"}</definedName>
    <definedName name="sadgtdrt" hidden="1">{#N/A,#N/A,FALSE,"PMTABB";#N/A,#N/A,FALSE,"PMTABB"}</definedName>
    <definedName name="sadgtdrt_2" hidden="1">{#N/A,#N/A,FALSE,"PMTABB";#N/A,#N/A,FALSE,"PMTABB"}</definedName>
    <definedName name="sadgtdrt_3" hidden="1">{#N/A,#N/A,FALSE,"PMTABB";#N/A,#N/A,FALSE,"PMTABB"}</definedName>
    <definedName name="sadgtdrt_4" hidden="1">{#N/A,#N/A,FALSE,"PMTABB";#N/A,#N/A,FALSE,"PMTABB"}</definedName>
    <definedName name="saec" hidden="1">{"Fiesta Facer Page",#N/A,FALSE,"Q_C_S";"Fiesta Main Page",#N/A,FALSE,"V_L";"Fiesta 95BP Struct",#N/A,FALSE,"StructBP";"Fiesta Post 95BP Struct",#N/A,FALSE,"AdjStructBP"}</definedName>
    <definedName name="safd" hidden="1">{#N/A,"PURADD",FALSE,"Business Analysis";#N/A,"PURSPP",FALSE,"Business Analysis";#N/A,"CTGIND",FALSE,"Business Analysis";#N/A,"PURCHM",FALSE,"Business Analysis";#N/A,"SPADD",FALSE,"Business Analysis";#N/A,"EPOXY",FALSE,"Business Analysis";#N/A,"PURPER",FALSE,"Business Analysis"}</definedName>
    <definedName name="sagar">#N/A</definedName>
    <definedName name="sAHU" hidden="1">{#N/A,#N/A,TRUE,"Staffnos &amp; cost"}</definedName>
    <definedName name="sakjlksjaal" hidden="1">{"'7'!$B$15:$D$32"}</definedName>
    <definedName name="sal">#REF!</definedName>
    <definedName name="SALE">#N/A</definedName>
    <definedName name="Saleable_2">"#REF!"</definedName>
    <definedName name="Saleable_3">"#REF!"</definedName>
    <definedName name="Saleable_4">"#REF!"</definedName>
    <definedName name="Saleable_5">"#REF!"</definedName>
    <definedName name="Saleable_6">"#REF!"</definedName>
    <definedName name="Saleable_7">"#REF!"</definedName>
    <definedName name="saleblea_2">NA()</definedName>
    <definedName name="saleblea_3">NA()</definedName>
    <definedName name="saleblea_4">NA()</definedName>
    <definedName name="saleblea_5">NA()</definedName>
    <definedName name="saleblea_6">NA()</definedName>
    <definedName name="SALEBOH">#N/A</definedName>
    <definedName name="SALEEOH">#N/A</definedName>
    <definedName name="salem" hidden="1">{#N/A,#N/A,TRUE,"Front";#N/A,#N/A,TRUE,"Simple Letter";#N/A,#N/A,TRUE,"Inside";#N/A,#N/A,TRUE,"Contents";#N/A,#N/A,TRUE,"Basis";#N/A,#N/A,TRUE,"Inclusions";#N/A,#N/A,TRUE,"Exclusions";#N/A,#N/A,TRUE,"Areas";#N/A,#N/A,TRUE,"Summary";#N/A,#N/A,TRUE,"Detail"}</definedName>
    <definedName name="Sales">#REF!</definedName>
    <definedName name="Sales_Diff">#REF!</definedName>
    <definedName name="Sales_Realisation" hidden="1">{#N/A,#N/A,FALSE,"CMN_FE"}</definedName>
    <definedName name="Salespp" hidden="1">{"detail",#N/A,FALSE,"mfg";"summary",#N/A,FALSE,"mfg"}</definedName>
    <definedName name="sally" hidden="1">{#N/A,#N/A,FALSE,"Pharm";#N/A,#N/A,FALSE,"WWCM"}</definedName>
    <definedName name="Sals_OT_Allows">#REF!</definedName>
    <definedName name="SAMBOH">#N/A</definedName>
    <definedName name="samedi" hidden="1">{#N/A,#N/A,FALSE,"Tabl. A1";#N/A,#N/A,FALSE,"Tabl. A1 b";#N/A,#N/A,FALSE,"Tabl. A2";#N/A,#N/A,FALSE,"Tabl. A2-1";#N/A,#N/A,FALSE,"Tabl. A2-2"}</definedName>
    <definedName name="SAMEOH">#N/A</definedName>
    <definedName name="SameStoreDollar_Forecast_Total">#REF!</definedName>
    <definedName name="SameStoreDollarOut">#REF!</definedName>
    <definedName name="SameStoreDollarRange">#REF!</definedName>
    <definedName name="SameStorePercentUnit_Forecast_Total">#REF!</definedName>
    <definedName name="SameStoreUnitOut">#REF!</definedName>
    <definedName name="SameStoreUnitRange">#REF!</definedName>
    <definedName name="sandcr_2">NA()</definedName>
    <definedName name="sandcr_3">NA()</definedName>
    <definedName name="sandcr_4">NA()</definedName>
    <definedName name="sandcr_5">NA()</definedName>
    <definedName name="sandcr_6">NA()</definedName>
    <definedName name="sandr_2">NA()</definedName>
    <definedName name="sandr_3">NA()</definedName>
    <definedName name="sandw_2">NA()</definedName>
    <definedName name="sandw_3">NA()</definedName>
    <definedName name="sanjeev">#N/A</definedName>
    <definedName name="sanju" hidden="1">{"office ltcg",#N/A,FALSE,"gain01";"IT LTCG",#N/A,FALSE,"gain01"}</definedName>
    <definedName name="sans_2">"#REF!"</definedName>
    <definedName name="sans_3">"#REF!"</definedName>
    <definedName name="sans_4">"#REF!"</definedName>
    <definedName name="sans_5">"#REF!"</definedName>
    <definedName name="sans_6">"#REF!"</definedName>
    <definedName name="sans_7">"#REF!"</definedName>
    <definedName name="santosh">#REF!</definedName>
    <definedName name="SAPBEXbbsBack" hidden="1">"xSAPtemp6529.xls"</definedName>
    <definedName name="SAPBEXdnldView" hidden="1">"6JNNNO36IJ5KPD8H648THM6R5"</definedName>
    <definedName name="SAPBEXhrIndnt" hidden="1">1</definedName>
    <definedName name="SAPBEXrevision" hidden="1">2</definedName>
    <definedName name="SAPBEXsysID" hidden="1">"BWP"</definedName>
    <definedName name="SAPBEXwbID" hidden="1">"53HEENY0GIW9HV2VI24O1SYIO"</definedName>
    <definedName name="Sara" hidden="1">{"cashcons",#N/A,FALSE,"CASHCONS";"cash7000",#N/A,FALSE,"CASH7000";"cash9000",#N/A,FALSE,"CASH9000";"assu7000",#N/A,FALSE,"ASSU7000";"assu9000",#N/A,FALSE,"ASSU9000";"rentroll",#N/A,FALSE,"RENTROLL";"expr7000",#N/A,FALSE,"EXPR7000";"expr9000",#N/A,FALSE,"EXPR9000"}</definedName>
    <definedName name="Sara_2" hidden="1">{#N/A,#N/A,TRUE,"10 Yr Hold";#N/A,#N/A,TRUE,"7 Yr Hold";#N/A,#N/A,TRUE,"5 Yr Hold";#N/A,#N/A,TRUE,"3 Yr Hold"}</definedName>
    <definedName name="sard" hidden="1">{#N/A,#N/A,FALSE,"Fmoh-Vmoh 2002";#N/A,#N/A,FALSE,"Fmoh-Vmoh 2002"}</definedName>
    <definedName name="saryder" hidden="1">{#N/A,#N/A,FALSE,"PGW"}</definedName>
    <definedName name="saryder_1" hidden="1">{#N/A,#N/A,FALSE,"PGW"}</definedName>
    <definedName name="saryder_2" hidden="1">{#N/A,#N/A,FALSE,"PGW"}</definedName>
    <definedName name="saryder_3" hidden="1">{#N/A,#N/A,FALSE,"PGW"}</definedName>
    <definedName name="saryder_4" hidden="1">{#N/A,#N/A,FALSE,"PGW"}</definedName>
    <definedName name="SA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asa" hidden="1">{#N/A,#N/A,TRUE,"Summary";#N/A,"1",TRUE,"Summary";#N/A,"2",TRUE,"Summary";#N/A,"3",TRUE,"Summary";#N/A,"4",TRUE,"Summary";#N/A,"5",TRUE,"Summary";#N/A,"6",TRUE,"Summary";#N/A,"7",TRUE,"Summary";#N/A,"8",TRUE,"Summary";#N/A,"9",TRUE,"Summary";#N/A,"10",TRUE,"Summary";#N/A,"11",TRUE,"Summary"}</definedName>
    <definedName name="sasd" hidden="1">{#N/A,#N/A,FALSE,"Status of Projects";#N/A,#N/A,FALSE,"CEA-TEC";#N/A,#N/A,FALSE,"U-Constr.";#N/A,#N/A,FALSE,"summary";#N/A,#N/A,FALSE,"PPP-3 yrs"}</definedName>
    <definedName name="sasdetwerterte" hidden="1">{#N/A,#N/A,FALSE,"PMTABB";#N/A,#N/A,FALSE,"PMTABB"}</definedName>
    <definedName name="SaveNewFile">#N/A</definedName>
    <definedName name="savings" hidden="1">{#N/A,#N/A,FALSE,"Master Estimates"}</definedName>
    <definedName name="SAVIT_M.S._19">"$#REF!.$#REF!$#REF!:$#REF!$#REF!"</definedName>
    <definedName name="sbka" hidden="1">{#N/A,#N/A,FALSE,"COMP"}</definedName>
    <definedName name="SC_2">"#REF!"</definedName>
    <definedName name="SC_3">"#REF!"</definedName>
    <definedName name="SC_4">"#REF!"</definedName>
    <definedName name="SC_5">"#REF!"</definedName>
    <definedName name="SC_6">"#REF!"</definedName>
    <definedName name="SC_7">"#REF!"</definedName>
    <definedName name="scale">1000</definedName>
    <definedName name="scd" hidden="1">{#N/A,#N/A,TRUE,"Staffnos &amp; cost"}</definedName>
    <definedName name="SCG" hidden="1">{#N/A,#N/A,FALSE,"Tabl. D1";#N/A,#N/A,FALSE,"Tabl. D1 b";#N/A,#N/A,FALSE,"Tabl. D2";#N/A,#N/A,FALSE,"Tabl. D2 b";#N/A,#N/A,FALSE,"Tabl. D3";#N/A,#N/A,FALSE,"Tabl. D4";#N/A,#N/A,FALSE,"Tabl. D5"}</definedName>
    <definedName name="Schdule1" hidden="1">{#N/A,#N/A,FALSE,"COMP"}</definedName>
    <definedName name="schedule" hidden="1">{#N/A,#N/A,FALSE,"COMP"}</definedName>
    <definedName name="scheduleType">"valve"</definedName>
    <definedName name="schools_2">"#REF!"</definedName>
    <definedName name="schools_3">"#REF!"</definedName>
    <definedName name="schools_4">"#REF!"</definedName>
    <definedName name="schools_5">"#REF!"</definedName>
    <definedName name="schools_6">"#REF!"</definedName>
    <definedName name="schools_7">"#REF!"</definedName>
    <definedName name="score" hidden="1">{"detail",#N/A,FALSE,"mfg";"summary",#N/A,FALSE,"mfg"}</definedName>
    <definedName name="scorecardfy00" hidden="1">{"Comp_of_Price_Effect",#N/A,FALSE,"QTRDPVAR"}</definedName>
    <definedName name="SCRAP" hidden="1">{"'subnets'!$A$1:$F$20"}</definedName>
    <definedName name="SCRBOH">#N/A</definedName>
    <definedName name="SCREOH">#N/A</definedName>
    <definedName name="SD" hidden="1">{#N/A,#N/A,FALSE,"Pharm";#N/A,#N/A,FALSE,"WWCM"}</definedName>
    <definedName name="SD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d_2">"#REF!"</definedName>
    <definedName name="sd_3">"#REF!"</definedName>
    <definedName name="sd_4">"#REF!"</definedName>
    <definedName name="sd_5">"#REF!"</definedName>
    <definedName name="sd_6">"#REF!"</definedName>
    <definedName name="sd_7">"#REF!"</definedName>
    <definedName name="SD2ND_2">"#REF!"</definedName>
    <definedName name="SD2ND_3">"#REF!"</definedName>
    <definedName name="SD2ND_4">"#REF!"</definedName>
    <definedName name="SD2ND_5">"#REF!"</definedName>
    <definedName name="SD2ND_6">"#REF!"</definedName>
    <definedName name="SD2ND_7">"#REF!"</definedName>
    <definedName name="sdafgs" hidden="1">{#N/A,#N/A,FALSE,"Pharm";#N/A,#N/A,FALSE,"WWCM"}</definedName>
    <definedName name="Sdate_2">"#REF!"</definedName>
    <definedName name="Sdate_3">"#REF!"</definedName>
    <definedName name="Sdate_4">"#REF!"</definedName>
    <definedName name="Sdate_5">"#REF!"</definedName>
    <definedName name="Sdate_6">"#REF!"</definedName>
    <definedName name="Sdate_7">"#REF!"</definedName>
    <definedName name="sdbbsdkbfgbsdk.fj" hidden="1">{#N/A,#N/A,FALSE,"PMTABB";#N/A,#N/A,FALSE,"PMTABB"}</definedName>
    <definedName name="sdd" hidden="1">{#N/A,#N/A,TRUE,"Sheet1"}</definedName>
    <definedName name="sddd" hidden="1">{#N/A,#N/A,FALSE,"CDA Plan"}</definedName>
    <definedName name="sdddd">#N/A</definedName>
    <definedName name="sddddd" hidden="1">{TRUE,TRUE,-1.25,-15.5,480.75,272.25,FALSE,TRUE,TRUE,TRUE,0,1,#N/A,1,#N/A,13.1904761904762,23.5384615384615,1,FALSE,FALSE,3,TRUE,1,FALSE,75,"Swvu.FAX.","ACwvu.FAX.",#N/A,FALSE,FALSE,0.25,0.25,1,1,1,"","",TRUE,FALSE,FALSE,TRUE,1,#N/A,1,1,"=R1C1:R16C13",FALSE,#N/A,#N/A,FALSE,FALSE,FALSE,9,300,300,FALSE,FALSE,TRUE,TRUE,TRUE}</definedName>
    <definedName name="sddffff">#N/A</definedName>
    <definedName name="SDDK">#N/A</definedName>
    <definedName name="sdes" hidden="1">{"PACKAGE",#N/A,FALSE,"CM"}</definedName>
    <definedName name="sd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sdfag" hidden="1">{#N/A,#N/A,FALSE,"FREE"}</definedName>
    <definedName name="sdfag_2" hidden="1">{#N/A,#N/A,FALSE,"FREE"}</definedName>
    <definedName name="sdfag_3" hidden="1">{#N/A,#N/A,FALSE,"FREE"}</definedName>
    <definedName name="sdfag_4" hidden="1">{#N/A,#N/A,FALSE,"FREE"}</definedName>
    <definedName name="sdfasd">#N/A</definedName>
    <definedName name="sdfdsf" hidden="1">{#N/A,#N/A,FALSE,"KA CH  (2)"}</definedName>
    <definedName name="sdfg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dfh" hidden="1">{#N/A,#N/A,FALSE,"Pharm";#N/A,#N/A,FALSE,"WWCM"}</definedName>
    <definedName name="SDFHG" hidden="1">{"Agg Output",#N/A,FALSE,"Operational Drivers Output";"NW Output",#N/A,FALSE,"Operational Drivers Output";"South Output",#N/A,FALSE,"Operational Drivers Output";"Central Output",#N/A,FALSE,"Operational Drivers Output"}</definedName>
    <definedName name="sdfsdfsdfs" hidden="1">{#N/A,#N/A,FALSE,"PMTABB";#N/A,#N/A,FALSE,"PMTABB"}</definedName>
    <definedName name="SDFSFGSRG">NA()</definedName>
    <definedName name="SDFSFGSRG_1">NA()</definedName>
    <definedName name="SDFSFGSRG_2">NA()</definedName>
    <definedName name="SDFSFGSRG_3">NA()</definedName>
    <definedName name="SDFSFGSRG_4">NA()</definedName>
    <definedName name="SDFSFGSRG_5">NA()</definedName>
    <definedName name="sdfskdfskdf" hidden="1">{#N/A,#N/A,FALSE,"TOWNSHIP"}</definedName>
    <definedName name="sdfskdfskdf_1" hidden="1">{#N/A,#N/A,FALSE,"TOWNSHIP"}</definedName>
    <definedName name="sdfskdfskdf_2" hidden="1">{#N/A,#N/A,FALSE,"TOWNSHIP"}</definedName>
    <definedName name="sdfskdfskdf_3" hidden="1">{#N/A,#N/A,FALSE,"TOWNSHIP"}</definedName>
    <definedName name="sdfskdfskdf_4" hidden="1">{#N/A,#N/A,FALSE,"TOWNSHIP"}</definedName>
    <definedName name="sdg" hidden="1">{#N/A,#N/A,FALSE,"TOWNSHIP"}</definedName>
    <definedName name="sdg_2" hidden="1">{#N/A,#N/A,FALSE,"TOWNSHIP"}</definedName>
    <definedName name="sdg_3" hidden="1">{#N/A,#N/A,FALSE,"TOWNSHIP"}</definedName>
    <definedName name="sdg_4" hidden="1">{#N/A,#N/A,FALSE,"TOWNSHIP"}</definedName>
    <definedName name="sdgagf" hidden="1">{#N/A,#N/A,FALSE,"Pharm";#N/A,#N/A,FALSE,"WWCM"}</definedName>
    <definedName name="sdgh" hidden="1">{"qty and inventory value",#N/A,FALSE,"MPartners";"general ledger entries",#N/A,FALSE,"MPartners"}</definedName>
    <definedName name="sdhdhfdfhh" hidden="1">{#N/A,#N/A,FALSE,"Balance Sheet";#N/A,#N/A,FALSE,"Income Statement";#N/A,#N/A,FALSE,"Changes in Financial Position"}</definedName>
    <definedName name="sdk">#N/A</definedName>
    <definedName name="sdl">#N/A</definedName>
    <definedName name="sdoiudia" hidden="1">{"'7'!$B$15:$D$32"}</definedName>
    <definedName name="sdpl_2">"#REF!"</definedName>
    <definedName name="sdpl_3">"#REF!"</definedName>
    <definedName name="sdpl_4">"#REF!"</definedName>
    <definedName name="sdpl_5">"#REF!"</definedName>
    <definedName name="sdpl_6">"#REF!"</definedName>
    <definedName name="sdpl_7">"#REF!"</definedName>
    <definedName name="SDPLBS_2">"#REF!"</definedName>
    <definedName name="SDPLBS_3">"#REF!"</definedName>
    <definedName name="SDPLBS_4">"#REF!"</definedName>
    <definedName name="SDPLBS_5">"#REF!"</definedName>
    <definedName name="SDPLBS_6">"#REF!"</definedName>
    <definedName name="SDPLBS_7">"#REF!"</definedName>
    <definedName name="SDPLFA_2">"#REF!"</definedName>
    <definedName name="SDPLFA_3">"#REF!"</definedName>
    <definedName name="SDPLFA_4">"#REF!"</definedName>
    <definedName name="SDPLFA_5">"#REF!"</definedName>
    <definedName name="SDPLFA_6">"#REF!"</definedName>
    <definedName name="SDPLFA_7">"#REF!"</definedName>
    <definedName name="SDPLPL_2">"#REF!"</definedName>
    <definedName name="SDPLPL_3">"#REF!"</definedName>
    <definedName name="SDPLPL_4">"#REF!"</definedName>
    <definedName name="SDPLPL_5">"#REF!"</definedName>
    <definedName name="SDPLPL_6">"#REF!"</definedName>
    <definedName name="SDPLPL_7">"#REF!"</definedName>
    <definedName name="sdrf" hidden="1">{#N/A,#N/A,FALSE,"FREE"}</definedName>
    <definedName name="sdrf_2" hidden="1">{#N/A,#N/A,FALSE,"FREE"}</definedName>
    <definedName name="sdrf_3" hidden="1">{#N/A,#N/A,FALSE,"FREE"}</definedName>
    <definedName name="sdrf_4" hidden="1">{#N/A,#N/A,FALSE,"FREE"}</definedName>
    <definedName name="sdrfse" hidden="1">{#N/A,#N/A,FALSE,"COMP"}</definedName>
    <definedName name="sdrthu" hidden="1">{"'7'!$B$15:$D$32"}</definedName>
    <definedName name="sdsad" hidden="1">{"'7'!$B$15:$D$32"}</definedName>
    <definedName name="sdsadasd" hidden="1">{#N/A,#N/A,FALSE,"Pharm";#N/A,#N/A,FALSE,"WWCM"}</definedName>
    <definedName name="sdsd" hidden="1">{#N/A,#N/A,FALSE,"REPORT"}</definedName>
    <definedName name="sdsdsds" hidden="1">{#N/A,#N/A,TRUE,"Front";#N/A,#N/A,TRUE,"Simple Letter";#N/A,#N/A,TRUE,"Inside";#N/A,#N/A,TRUE,"Contents";#N/A,#N/A,TRUE,"Basis";#N/A,#N/A,TRUE,"Inclusions";#N/A,#N/A,TRUE,"Exclusions";#N/A,#N/A,TRUE,"Areas";#N/A,#N/A,TRUE,"Summary";#N/A,#N/A,TRUE,"Detail"}</definedName>
    <definedName name="sdsdsdsd" hidden="1">{"Geo - Detail Detail",#N/A,FALSE,"Geo View";"Geo - Detail",#N/A,FALSE,"Geo View";"Dept - Detail Detail",#N/A,FALSE,"Dept View";"Dept - Detail",#N/A,FALSE,"Dept View"}</definedName>
    <definedName name="sea" hidden="1">{"oct_res_comm",#N/A,FALSE,"VarToBud"}</definedName>
    <definedName name="SEATS">#REF!</definedName>
    <definedName name="SEC">#N/A</definedName>
    <definedName name="Sec_0708" hidden="1">{"histincome",#N/A,FALSE,"hyfins";"closing balance",#N/A,FALSE,"hyfins"}</definedName>
    <definedName name="sec_deposit_2">"#REF!"</definedName>
    <definedName name="sec_deposit_3">"#REF!"</definedName>
    <definedName name="sec_deposit_4">"#REF!"</definedName>
    <definedName name="sec_deposit_5">"#REF!"</definedName>
    <definedName name="sec_deposit_6">"#REF!"</definedName>
    <definedName name="sec_deposit_7">"#REF!"</definedName>
    <definedName name="sec_sl">#N/A</definedName>
    <definedName name="SECTEUR">#REF!</definedName>
    <definedName name="secured_2">"#REF!"</definedName>
    <definedName name="secured_3">"#REF!"</definedName>
    <definedName name="secured_4">"#REF!"</definedName>
    <definedName name="secured_5">"#REF!"</definedName>
    <definedName name="secured_6">"#REF!"</definedName>
    <definedName name="secured_7">"#REF!"</definedName>
    <definedName name="seg" hidden="1">{#N/A,#N/A,FALSE,"COMP"}</definedName>
    <definedName name="Seg_switch">#REF!</definedName>
    <definedName name="Segment1">#REF!</definedName>
    <definedName name="Segment2">#REF!</definedName>
    <definedName name="SegmentBudget" hidden="1">{"oct_res_comm",#N/A,FALSE,"VarToBud"}</definedName>
    <definedName name="segmentdd" hidden="1">{#N/A,#N/A,FALSE,"COMP"}</definedName>
    <definedName name="Seller">#REF!</definedName>
    <definedName name="selva">NA()</definedName>
    <definedName name="selva_1">"city"&amp;" "&amp;"state"</definedName>
    <definedName name="SEMIIN">#N/A</definedName>
    <definedName name="sencount" hidden="1">2</definedName>
    <definedName name="SENIOR1EQ">#REF!</definedName>
    <definedName name="SENIOR1EQ1">#REF!</definedName>
    <definedName name="SENIOR1RATE">#REF!</definedName>
    <definedName name="SENIOR1TERM">#REF!</definedName>
    <definedName name="SENIOR1TERM1">#REF!</definedName>
    <definedName name="SENIOR2EQ">#REF!</definedName>
    <definedName name="SENIOR2RATE">#REF!</definedName>
    <definedName name="SENIOR2RATE1">#REF!</definedName>
    <definedName name="SENIOR2TERM">#REF!</definedName>
    <definedName name="SENIOR2TERM1">#REF!</definedName>
    <definedName name="SENIORRATE1">#REF!</definedName>
    <definedName name="SENIRO2EQ1">#REF!</definedName>
    <definedName name="sensi">#REF!</definedName>
    <definedName name="Sensi1">#REF!</definedName>
    <definedName name="Sensi2">#REF!</definedName>
    <definedName name="Sensi3">#REF!</definedName>
    <definedName name="SEP">#REF!</definedName>
    <definedName name="SEPPLAN">#REF!</definedName>
    <definedName name="SEPTLTM">#REF!</definedName>
    <definedName name="serers" hidden="1">{#N/A,#N/A,FALSE,"Staffnos &amp; cost"}</definedName>
    <definedName name="serfeq">"anna"</definedName>
    <definedName name="serqw" hidden="1">{#N/A,#N/A,FALSE,"Staffnos &amp; cost"}</definedName>
    <definedName name="Service_2">"#REF!"</definedName>
    <definedName name="Service_3">"#REF!"</definedName>
    <definedName name="Service_4">"#REF!"</definedName>
    <definedName name="Service_5">"#REF!"</definedName>
    <definedName name="Service_6">"#REF!"</definedName>
    <definedName name="Service_7">"#REF!"</definedName>
    <definedName name="Services_repairs">#REF!</definedName>
    <definedName name="Setup">#REF!</definedName>
    <definedName name="sety" hidden="1">{"LAPO2N2",#N/A,FALSE,"CM"}</definedName>
    <definedName name="sf" hidden="1">{#N/A,#N/A,FALSE,"Sales Graph";#N/A,#N/A,FALSE,"BUC Graph";#N/A,#N/A,FALSE,"P&amp;L - YTD"}</definedName>
    <definedName name="sf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as">#N/A</definedName>
    <definedName name="SFDASF" hidden="1">{#N/A,#N/A,FALSE,"CDA Plan"}</definedName>
    <definedName name="sfdgfgg" hidden="1">{#N/A,#N/A,FALSE,"Umsatz OK";#N/A,#N/A,FALSE,"ER OK ";#N/A,#N/A,FALSE,"EA OK (2)";#N/A,#N/A,FALSE,"EA OK";#N/A,#N/A,FALSE,"EA OK (3)";#N/A,#N/A,FALSE,"EA OK (4)";#N/A,#N/A,FALSE,"KA OK  (2)";#N/A,#N/A,FALSE,"KA OK";#N/A,#N/A,FALSE,"KA OK  (3)";#N/A,#N/A,FALSE,"KA OK (4)"}</definedName>
    <definedName name="sfdirect" hidden="1">{#N/A,#N/A,FALSE,"REPORT"}</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f" hidden="1">{#N/A,#N/A,FALSE,"Umsatz CH";#N/A,#N/A,FALSE,"ER CH";#N/A,#N/A,FALSE,"EA CH (2) ";#N/A,#N/A,FALSE,"EA CH";#N/A,#N/A,FALSE,"EA CH (3) ";#N/A,#N/A,FALSE,"EA CH (4)";#N/A,#N/A,FALSE,"KA CH";#N/A,#N/A,FALSE,"KA CH  (2)";#N/A,#N/A,FALSE,"KA CH  (3)";#N/A,#N/A,FALSE,"KA CH (4)"}</definedName>
    <definedName name="sfgv" hidden="1">{"consolidated",#N/A,FALSE,"Sheet1";"cms",#N/A,FALSE,"Sheet1";"fse",#N/A,FALSE,"Sheet1"}</definedName>
    <definedName name="sfjewgj" hidden="1">{#N/A,#N/A,FALSE,"Model";#N/A,#N/A,FALSE,"Division"}</definedName>
    <definedName name="sfq" hidden="1">{#N/A,#N/A,FALSE,"Calc";#N/A,#N/A,FALSE,"Sensitivity";#N/A,#N/A,FALSE,"LT Earn.Dil.";#N/A,#N/A,FALSE,"Dil. AVP"}</definedName>
    <definedName name="sfsf" hidden="1">{#N/A,#N/A,FALSE,"Calc";#N/A,#N/A,FALSE,"Sensitivity";#N/A,#N/A,FALSE,"LT Earn.Dil.";#N/A,#N/A,FALSE,"Dil. AVP"}</definedName>
    <definedName name="SFVAR">#N/A</definedName>
    <definedName name="sg" hidden="1">{#N/A,#N/A,FALSE,"Umsatz CH";#N/A,#N/A,FALSE,"ER CH";#N/A,#N/A,FALSE,"EA CH (2) ";#N/A,#N/A,FALSE,"EA CH";#N/A,#N/A,FALSE,"EA CH (3) ";#N/A,#N/A,FALSE,"EA CH (4)";#N/A,#N/A,FALSE,"KA CH";#N/A,#N/A,FALSE,"KA CH  (2)";#N/A,#N/A,FALSE,"KA CH  (3)";#N/A,#N/A,FALSE,"KA CH (4)"}</definedName>
    <definedName name="sgd" hidden="1">{#N/A,#N/A,FALSE,"Calc";#N/A,#N/A,FALSE,"Sensitivity";#N/A,#N/A,FALSE,"LT Earn.Dil.";#N/A,#N/A,FALSE,"Dil. AVP"}</definedName>
    <definedName name="sgddfg" hidden="1">{#N/A,#N/A,FALSE,"PMTABB";#N/A,#N/A,FALSE,"PMTABB"}</definedName>
    <definedName name="sgddfg_2" hidden="1">{#N/A,#N/A,FALSE,"PMTABB";#N/A,#N/A,FALSE,"PMTABB"}</definedName>
    <definedName name="sgddfg_3" hidden="1">{#N/A,#N/A,FALSE,"PMTABB";#N/A,#N/A,FALSE,"PMTABB"}</definedName>
    <definedName name="sgddfg_4" hidden="1">{#N/A,#N/A,FALSE,"PMTABB";#N/A,#N/A,FALSE,"PMTABB"}</definedName>
    <definedName name="sgdg" hidden="1">{#N/A,#N/A,FALSE,"Calc";#N/A,#N/A,FALSE,"Sensitivity";#N/A,#N/A,FALSE,"LT Earn.Dil.";#N/A,#N/A,FALSE,"Dil. AVP"}</definedName>
    <definedName name="sgsx" hidden="1">{"consolidated",#N/A,FALSE,"Sheet1";"cms",#N/A,FALSE,"Sheet1";"fse",#N/A,FALSE,"Sheet1"}</definedName>
    <definedName name="SH" hidden="1">{"'Jan-02'!$F$46:$F$47","'Jan-02'!$F$46:$F$47"}</definedName>
    <definedName name="shaj">#N/A</definedName>
    <definedName name="Shared">#N/A</definedName>
    <definedName name="SHARED_FORMULA_0">#N/A</definedName>
    <definedName name="SHARED_FORMULA_0___0">#N/A</definedName>
    <definedName name="SHARED_FORMULA_1">#N/A</definedName>
    <definedName name="SHARED_FORMULA_1___0">#N/A</definedName>
    <definedName name="SHARED_FORMULA_10">#N/A</definedName>
    <definedName name="SHARED_FORMULA_10___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08">NA()</definedName>
    <definedName name="SHARED_FORMULA_109">NA()</definedName>
    <definedName name="SHARED_FORMULA_11">#N/A</definedName>
    <definedName name="SHARED_FORMULA_11___0">#N/A</definedName>
    <definedName name="SHARED_FORMULA_110">NA()</definedName>
    <definedName name="SHARED_FORMULA_111">NA()</definedName>
    <definedName name="SHARED_FORMULA_112">NA()</definedName>
    <definedName name="SHARED_FORMULA_113">NA()</definedName>
    <definedName name="SHARED_FORMULA_114">NA()</definedName>
    <definedName name="SHARED_FORMULA_115">NA()</definedName>
    <definedName name="SHARED_FORMULA_116">NA()</definedName>
    <definedName name="SHARED_FORMULA_117">NA()</definedName>
    <definedName name="SHARED_FORMULA_118">NA()</definedName>
    <definedName name="SHARED_FORMULA_119">NA()</definedName>
    <definedName name="SHARED_FORMULA_12">#N/A</definedName>
    <definedName name="SHARED_FORMULA_12___0">#N/A</definedName>
    <definedName name="SHARED_FORMULA_120">NA()</definedName>
    <definedName name="SHARED_FORMULA_121">NA()</definedName>
    <definedName name="SHARED_FORMULA_122">NA()</definedName>
    <definedName name="SHARED_FORMULA_123">NA()</definedName>
    <definedName name="SHARED_FORMULA_124">NA()</definedName>
    <definedName name="SHARED_FORMULA_125">NA()</definedName>
    <definedName name="SHARED_FORMULA_126">NA()</definedName>
    <definedName name="SHARED_FORMULA_127">NA()</definedName>
    <definedName name="SHARED_FORMULA_128">NA()</definedName>
    <definedName name="SHARED_FORMULA_129">NA()</definedName>
    <definedName name="SHARED_FORMULA_13">#N/A</definedName>
    <definedName name="SHARED_FORMULA_13___0">#N/A</definedName>
    <definedName name="SHARED_FORMULA_130">NA()</definedName>
    <definedName name="SHARED_FORMULA_131">NA()</definedName>
    <definedName name="SHARED_FORMULA_132">NA()</definedName>
    <definedName name="SHARED_FORMULA_133">NA()</definedName>
    <definedName name="SHARED_FORMULA_134">NA()</definedName>
    <definedName name="SHARED_FORMULA_135">NA()</definedName>
    <definedName name="SHARED_FORMULA_136">NA()</definedName>
    <definedName name="SHARED_FORMULA_137">NA()</definedName>
    <definedName name="SHARED_FORMULA_138">NA()</definedName>
    <definedName name="SHARED_FORMULA_139">NA()</definedName>
    <definedName name="SHARED_FORMULA_14">#N/A</definedName>
    <definedName name="SHARED_FORMULA_14___0">#N/A</definedName>
    <definedName name="SHARED_FORMULA_140">NA()</definedName>
    <definedName name="SHARED_FORMULA_141">NA()</definedName>
    <definedName name="SHARED_FORMULA_142">NA()</definedName>
    <definedName name="SHARED_FORMULA_143">NA()</definedName>
    <definedName name="SHARED_FORMULA_144">NA()</definedName>
    <definedName name="SHARED_FORMULA_145">NA()</definedName>
    <definedName name="SHARED_FORMULA_146">NA()</definedName>
    <definedName name="SHARED_FORMULA_147">NA()</definedName>
    <definedName name="SHARED_FORMULA_148">NA()</definedName>
    <definedName name="SHARED_FORMULA_149">NA()</definedName>
    <definedName name="SHARED_FORMULA_15">#N/A</definedName>
    <definedName name="SHARED_FORMULA_15___0">#N/A</definedName>
    <definedName name="SHARED_FORMULA_150">NA()</definedName>
    <definedName name="SHARED_FORMULA_151">NA()</definedName>
    <definedName name="SHARED_FORMULA_152">NA()</definedName>
    <definedName name="SHARED_FORMULA_153">NA()</definedName>
    <definedName name="SHARED_FORMULA_154">NA()</definedName>
    <definedName name="SHARED_FORMULA_155">NA()</definedName>
    <definedName name="SHARED_FORMULA_156">NA()</definedName>
    <definedName name="SHARED_FORMULA_157">NA()</definedName>
    <definedName name="SHARED_FORMULA_158">NA()</definedName>
    <definedName name="SHARED_FORMULA_159">NA()</definedName>
    <definedName name="SHARED_FORMULA_16">#N/A</definedName>
    <definedName name="SHARED_FORMULA_16___0">#N/A</definedName>
    <definedName name="SHARED_FORMULA_160">NA()</definedName>
    <definedName name="SHARED_FORMULA_161">NA()</definedName>
    <definedName name="SHARED_FORMULA_162">NA()</definedName>
    <definedName name="SHARED_FORMULA_163">NA()</definedName>
    <definedName name="SHARED_FORMULA_164">NA()</definedName>
    <definedName name="SHARED_FORMULA_165">NA()</definedName>
    <definedName name="SHARED_FORMULA_166">NA()</definedName>
    <definedName name="SHARED_FORMULA_167">NA()</definedName>
    <definedName name="SHARED_FORMULA_168">NA()</definedName>
    <definedName name="SHARED_FORMULA_169">NA()</definedName>
    <definedName name="SHARED_FORMULA_17">#N/A</definedName>
    <definedName name="SHARED_FORMULA_17___0">#N/A</definedName>
    <definedName name="SHARED_FORMULA_170">NA()</definedName>
    <definedName name="SHARED_FORMULA_171">NA()</definedName>
    <definedName name="SHARED_FORMULA_172">NA()</definedName>
    <definedName name="SHARED_FORMULA_173">NA()</definedName>
    <definedName name="SHARED_FORMULA_174">NA()</definedName>
    <definedName name="SHARED_FORMULA_175">NA()</definedName>
    <definedName name="SHARED_FORMULA_176">NA()</definedName>
    <definedName name="SHARED_FORMULA_177">NA()</definedName>
    <definedName name="SHARED_FORMULA_178">NA()</definedName>
    <definedName name="SHARED_FORMULA_179">NA()</definedName>
    <definedName name="SHARED_FORMULA_18">#N/A</definedName>
    <definedName name="SHARED_FORMULA_18___0">#N/A</definedName>
    <definedName name="SHARED_FORMULA_180">NA()</definedName>
    <definedName name="SHARED_FORMULA_181">NA()</definedName>
    <definedName name="SHARED_FORMULA_182">NA()</definedName>
    <definedName name="SHARED_FORMULA_183">NA()</definedName>
    <definedName name="SHARED_FORMULA_184">NA()</definedName>
    <definedName name="SHARED_FORMULA_185">NA()</definedName>
    <definedName name="SHARED_FORMULA_186">NA()</definedName>
    <definedName name="SHARED_FORMULA_187">NA()</definedName>
    <definedName name="SHARED_FORMULA_188">NA()</definedName>
    <definedName name="SHARED_FORMULA_189">NA()</definedName>
    <definedName name="SHARED_FORMULA_19">#N/A</definedName>
    <definedName name="SHARED_FORMULA_19___0">#N/A</definedName>
    <definedName name="SHARED_FORMULA_190">NA()</definedName>
    <definedName name="SHARED_FORMULA_191">NA()</definedName>
    <definedName name="SHARED_FORMULA_192">NA()</definedName>
    <definedName name="SHARED_FORMULA_193">NA()</definedName>
    <definedName name="SHARED_FORMULA_194">NA()</definedName>
    <definedName name="SHARED_FORMULA_195">NA()</definedName>
    <definedName name="SHARED_FORMULA_196">NA()</definedName>
    <definedName name="SHARED_FORMULA_197">NA()</definedName>
    <definedName name="SHARED_FORMULA_198">NA()</definedName>
    <definedName name="SHARED_FORMULA_199">NA()</definedName>
    <definedName name="SHARED_FORMULA_2">#N/A</definedName>
    <definedName name="SHARED_FORMULA_2___0">#N/A</definedName>
    <definedName name="SHARED_FORMULA_20">#N/A</definedName>
    <definedName name="SHARED_FORMULA_20___0">#N/A</definedName>
    <definedName name="SHARED_FORMULA_200">NA()</definedName>
    <definedName name="SHARED_FORMULA_201">NA()</definedName>
    <definedName name="SHARED_FORMULA_202">NA()</definedName>
    <definedName name="SHARED_FORMULA_203">NA()</definedName>
    <definedName name="SHARED_FORMULA_204">NA()</definedName>
    <definedName name="SHARED_FORMULA_205">NA()</definedName>
    <definedName name="SHARED_FORMULA_206">NA()</definedName>
    <definedName name="SHARED_FORMULA_207">NA()</definedName>
    <definedName name="SHARED_FORMULA_208">NA()</definedName>
    <definedName name="SHARED_FORMULA_209">NA()</definedName>
    <definedName name="SHARED_FORMULA_21">#N/A</definedName>
    <definedName name="SHARED_FORMULA_21___0">#N/A</definedName>
    <definedName name="SHARED_FORMULA_210">NA()</definedName>
    <definedName name="SHARED_FORMULA_211">NA()</definedName>
    <definedName name="SHARED_FORMULA_212">NA()</definedName>
    <definedName name="SHARED_FORMULA_213">NA()</definedName>
    <definedName name="SHARED_FORMULA_214">NA()</definedName>
    <definedName name="SHARED_FORMULA_215">NA()</definedName>
    <definedName name="SHARED_FORMULA_216">NA()</definedName>
    <definedName name="SHARED_FORMULA_217">NA()</definedName>
    <definedName name="SHARED_FORMULA_218">NA()</definedName>
    <definedName name="SHARED_FORMULA_219">NA()</definedName>
    <definedName name="SHARED_FORMULA_22">#N/A</definedName>
    <definedName name="SHARED_FORMULA_22___0">#N/A</definedName>
    <definedName name="SHARED_FORMULA_220">NA()</definedName>
    <definedName name="SHARED_FORMULA_221">NA()</definedName>
    <definedName name="SHARED_FORMULA_222">NA()</definedName>
    <definedName name="SHARED_FORMULA_223">NA()</definedName>
    <definedName name="SHARED_FORMULA_224">NA()</definedName>
    <definedName name="SHARED_FORMULA_225">NA()</definedName>
    <definedName name="SHARED_FORMULA_226">NA()</definedName>
    <definedName name="SHARED_FORMULA_227">NA()</definedName>
    <definedName name="SHARED_FORMULA_228">NA()</definedName>
    <definedName name="SHARED_FORMULA_229">NA()</definedName>
    <definedName name="SHARED_FORMULA_23">#N/A</definedName>
    <definedName name="SHARED_FORMULA_23___0">#N/A</definedName>
    <definedName name="SHARED_FORMULA_230">NA()</definedName>
    <definedName name="SHARED_FORMULA_231">NA()</definedName>
    <definedName name="SHARED_FORMULA_232">NA()</definedName>
    <definedName name="SHARED_FORMULA_233">NA()</definedName>
    <definedName name="SHARED_FORMULA_234">NA()</definedName>
    <definedName name="SHARED_FORMULA_235">NA()</definedName>
    <definedName name="SHARED_FORMULA_236">NA()</definedName>
    <definedName name="SHARED_FORMULA_237">NA()</definedName>
    <definedName name="SHARED_FORMULA_238">NA()</definedName>
    <definedName name="SHARED_FORMULA_239">NA()</definedName>
    <definedName name="SHARED_FORMULA_24">#N/A</definedName>
    <definedName name="SHARED_FORMULA_24___0">#N/A</definedName>
    <definedName name="SHARED_FORMULA_240">NA()</definedName>
    <definedName name="SHARED_FORMULA_241">NA()</definedName>
    <definedName name="SHARED_FORMULA_242">NA()</definedName>
    <definedName name="SHARED_FORMULA_243">NA()</definedName>
    <definedName name="SHARED_FORMULA_244">NA()</definedName>
    <definedName name="SHARED_FORMULA_245">NA()</definedName>
    <definedName name="SHARED_FORMULA_246">NA()</definedName>
    <definedName name="SHARED_FORMULA_247">NA()</definedName>
    <definedName name="SHARED_FORMULA_248">NA()</definedName>
    <definedName name="SHARED_FORMULA_249">NA()</definedName>
    <definedName name="SHARED_FORMULA_25">#N/A</definedName>
    <definedName name="SHARED_FORMULA_25___0">#N/A</definedName>
    <definedName name="SHARED_FORMULA_250">NA()</definedName>
    <definedName name="SHARED_FORMULA_251">NA()</definedName>
    <definedName name="SHARED_FORMULA_252">NA()</definedName>
    <definedName name="SHARED_FORMULA_253">NA()</definedName>
    <definedName name="SHARED_FORMULA_254">NA()</definedName>
    <definedName name="SHARED_FORMULA_255">NA()</definedName>
    <definedName name="SHARED_FORMULA_256">NA()</definedName>
    <definedName name="SHARED_FORMULA_257">NA()</definedName>
    <definedName name="SHARED_FORMULA_258">NA()</definedName>
    <definedName name="SHARED_FORMULA_259">NA()</definedName>
    <definedName name="SHARED_FORMULA_26">#N/A</definedName>
    <definedName name="SHARED_FORMULA_26___0">#N/A</definedName>
    <definedName name="SHARED_FORMULA_260">NA()</definedName>
    <definedName name="SHARED_FORMULA_261">NA()</definedName>
    <definedName name="SHARED_FORMULA_262">NA()</definedName>
    <definedName name="SHARED_FORMULA_263">NA()</definedName>
    <definedName name="SHARED_FORMULA_264">NA()</definedName>
    <definedName name="SHARED_FORMULA_265">NA()</definedName>
    <definedName name="SHARED_FORMULA_266">NA()</definedName>
    <definedName name="SHARED_FORMULA_267">NA()</definedName>
    <definedName name="SHARED_FORMULA_268">NA()</definedName>
    <definedName name="SHARED_FORMULA_269">NA()</definedName>
    <definedName name="SHARED_FORMULA_27">#N/A</definedName>
    <definedName name="SHARED_FORMULA_27___0">#N/A</definedName>
    <definedName name="SHARED_FORMULA_270">NA()</definedName>
    <definedName name="SHARED_FORMULA_271">NA()</definedName>
    <definedName name="SHARED_FORMULA_272">NA()</definedName>
    <definedName name="SHARED_FORMULA_273">NA()</definedName>
    <definedName name="SHARED_FORMULA_274">NA()</definedName>
    <definedName name="SHARED_FORMULA_275">NA()</definedName>
    <definedName name="SHARED_FORMULA_276">NA()</definedName>
    <definedName name="SHARED_FORMULA_277">NA()</definedName>
    <definedName name="SHARED_FORMULA_278">NA()</definedName>
    <definedName name="SHARED_FORMULA_279">NA()</definedName>
    <definedName name="SHARED_FORMULA_28">#N/A</definedName>
    <definedName name="SHARED_FORMULA_28___0">#N/A</definedName>
    <definedName name="SHARED_FORMULA_280">NA()</definedName>
    <definedName name="SHARED_FORMULA_281">NA()</definedName>
    <definedName name="SHARED_FORMULA_282">NA()</definedName>
    <definedName name="SHARED_FORMULA_283">NA()</definedName>
    <definedName name="SHARED_FORMULA_284">NA()</definedName>
    <definedName name="SHARED_FORMULA_285">NA()</definedName>
    <definedName name="SHARED_FORMULA_286">NA()</definedName>
    <definedName name="SHARED_FORMULA_287">NA()</definedName>
    <definedName name="SHARED_FORMULA_288">NA()</definedName>
    <definedName name="SHARED_FORMULA_289">NA()</definedName>
    <definedName name="SHARED_FORMULA_29">#N/A</definedName>
    <definedName name="SHARED_FORMULA_29___0">#N/A</definedName>
    <definedName name="SHARED_FORMULA_290">NA()</definedName>
    <definedName name="SHARED_FORMULA_291">NA()</definedName>
    <definedName name="SHARED_FORMULA_292">NA()</definedName>
    <definedName name="SHARED_FORMULA_293">NA()</definedName>
    <definedName name="SHARED_FORMULA_294">NA()</definedName>
    <definedName name="SHARED_FORMULA_295">NA()</definedName>
    <definedName name="SHARED_FORMULA_296">NA()</definedName>
    <definedName name="SHARED_FORMULA_297">NA()</definedName>
    <definedName name="SHARED_FORMULA_298">NA()</definedName>
    <definedName name="SHARED_FORMULA_299">NA()</definedName>
    <definedName name="SHARED_FORMULA_3">#N/A</definedName>
    <definedName name="SHARED_FORMULA_3___0">#N/A</definedName>
    <definedName name="SHARED_FORMULA_30">#N/A</definedName>
    <definedName name="SHARED_FORMULA_30___0">#N/A</definedName>
    <definedName name="SHARED_FORMULA_300">NA()</definedName>
    <definedName name="SHARED_FORMULA_301">NA()</definedName>
    <definedName name="SHARED_FORMULA_302">NA()</definedName>
    <definedName name="SHARED_FORMULA_303">NA()</definedName>
    <definedName name="SHARED_FORMULA_304">NA()</definedName>
    <definedName name="SHARED_FORMULA_305">NA()</definedName>
    <definedName name="SHARED_FORMULA_306">NA()</definedName>
    <definedName name="SHARED_FORMULA_307">NA()</definedName>
    <definedName name="SHARED_FORMULA_308">NA()</definedName>
    <definedName name="SHARED_FORMULA_309">NA()</definedName>
    <definedName name="SHARED_FORMULA_31">#N/A</definedName>
    <definedName name="SHARED_FORMULA_31___0">#N/A</definedName>
    <definedName name="SHARED_FORMULA_310">NA()</definedName>
    <definedName name="SHARED_FORMULA_311">NA()</definedName>
    <definedName name="SHARED_FORMULA_312">NA()</definedName>
    <definedName name="SHARED_FORMULA_313">NA()</definedName>
    <definedName name="SHARED_FORMULA_314">NA()</definedName>
    <definedName name="SHARED_FORMULA_315">NA()</definedName>
    <definedName name="SHARED_FORMULA_316">NA()</definedName>
    <definedName name="SHARED_FORMULA_317">NA()</definedName>
    <definedName name="SHARED_FORMULA_318">NA()</definedName>
    <definedName name="SHARED_FORMULA_319">NA()</definedName>
    <definedName name="SHARED_FORMULA_32">#N/A</definedName>
    <definedName name="SHARED_FORMULA_32___0">#N/A</definedName>
    <definedName name="SHARED_FORMULA_320">NA()</definedName>
    <definedName name="SHARED_FORMULA_321">NA()</definedName>
    <definedName name="SHARED_FORMULA_322">NA()</definedName>
    <definedName name="SHARED_FORMULA_323">NA()</definedName>
    <definedName name="SHARED_FORMULA_324">#N/A</definedName>
    <definedName name="SHARED_FORMULA_325">#N/A</definedName>
    <definedName name="SHARED_FORMULA_326">#N/A</definedName>
    <definedName name="SHARED_FORMULA_327">#N/A</definedName>
    <definedName name="SHARED_FORMULA_328">#N/A</definedName>
    <definedName name="SHARED_FORMULA_329">#N/A</definedName>
    <definedName name="SHARED_FORMULA_33">#N/A</definedName>
    <definedName name="SHARED_FORMULA_33___0">#N/A</definedName>
    <definedName name="SHARED_FORMULA_330">#N/A</definedName>
    <definedName name="SHARED_FORMULA_331">#N/A</definedName>
    <definedName name="SHARED_FORMULA_332">#N/A</definedName>
    <definedName name="SHARED_FORMULA_333">#N/A</definedName>
    <definedName name="SHARED_FORMULA_334">#N/A</definedName>
    <definedName name="SHARED_FORMULA_335">#N/A</definedName>
    <definedName name="SHARED_FORMULA_336">#N/A</definedName>
    <definedName name="SHARED_FORMULA_337">#N/A</definedName>
    <definedName name="SHARED_FORMULA_338">#N/A</definedName>
    <definedName name="SHARED_FORMULA_339">#N/A</definedName>
    <definedName name="SHARED_FORMULA_34">#N/A</definedName>
    <definedName name="SHARED_FORMULA_34___0">#N/A</definedName>
    <definedName name="SHARED_FORMULA_340">#N/A</definedName>
    <definedName name="SHARED_FORMULA_341">#N/A</definedName>
    <definedName name="SHARED_FORMULA_342">#N/A</definedName>
    <definedName name="SHARED_FORMULA_343">#N/A</definedName>
    <definedName name="SHARED_FORMULA_344">#N/A</definedName>
    <definedName name="SHARED_FORMULA_345">#N/A</definedName>
    <definedName name="SHARED_FORMULA_346">#N/A</definedName>
    <definedName name="SHARED_FORMULA_347">#N/A</definedName>
    <definedName name="SHARED_FORMULA_348">#N/A</definedName>
    <definedName name="SHARED_FORMULA_349">#N/A</definedName>
    <definedName name="SHARED_FORMULA_35">#N/A</definedName>
    <definedName name="SHARED_FORMULA_35___0">#N/A</definedName>
    <definedName name="SHARED_FORMULA_350">#N/A</definedName>
    <definedName name="SHARED_FORMULA_351">#N/A</definedName>
    <definedName name="SHARED_FORMULA_352">#N/A</definedName>
    <definedName name="SHARED_FORMULA_353">#N/A</definedName>
    <definedName name="SHARED_FORMULA_354">#N/A</definedName>
    <definedName name="SHARED_FORMULA_355">#N/A</definedName>
    <definedName name="SHARED_FORMULA_356">#N/A</definedName>
    <definedName name="SHARED_FORMULA_357">#N/A</definedName>
    <definedName name="SHARED_FORMULA_358">#N/A</definedName>
    <definedName name="SHARED_FORMULA_359">#N/A</definedName>
    <definedName name="SHARED_FORMULA_36">#N/A</definedName>
    <definedName name="SHARED_FORMULA_36___0">#N/A</definedName>
    <definedName name="SHARED_FORMULA_360">#N/A</definedName>
    <definedName name="SHARED_FORMULA_361">#N/A</definedName>
    <definedName name="SHARED_FORMULA_362">#N/A</definedName>
    <definedName name="SHARED_FORMULA_363">#N/A</definedName>
    <definedName name="SHARED_FORMULA_364">#N/A</definedName>
    <definedName name="SHARED_FORMULA_365">#N/A</definedName>
    <definedName name="SHARED_FORMULA_366">#N/A</definedName>
    <definedName name="SHARED_FORMULA_367">#N/A</definedName>
    <definedName name="SHARED_FORMULA_368">#N/A</definedName>
    <definedName name="SHARED_FORMULA_369">#N/A</definedName>
    <definedName name="SHARED_FORMULA_37">NA()</definedName>
    <definedName name="SHARED_FORMULA_37___0">#N/A</definedName>
    <definedName name="SHARED_FORMULA_370">#N/A</definedName>
    <definedName name="SHARED_FORMULA_371">#N/A</definedName>
    <definedName name="SHARED_FORMULA_372">#N/A</definedName>
    <definedName name="SHARED_FORMULA_373">#N/A</definedName>
    <definedName name="SHARED_FORMULA_374">#N/A</definedName>
    <definedName name="SHARED_FORMULA_375">#N/A</definedName>
    <definedName name="SHARED_FORMULA_376">#N/A</definedName>
    <definedName name="SHARED_FORMULA_377">#N/A</definedName>
    <definedName name="SHARED_FORMULA_378">#N/A</definedName>
    <definedName name="SHARED_FORMULA_379">#N/A</definedName>
    <definedName name="SHARED_FORMULA_38">NA()</definedName>
    <definedName name="SHARED_FORMULA_38___0">#N/A</definedName>
    <definedName name="SHARED_FORMULA_380">#N/A</definedName>
    <definedName name="SHARED_FORMULA_381">#N/A</definedName>
    <definedName name="SHARED_FORMULA_382">#N/A</definedName>
    <definedName name="SHARED_FORMULA_383">#N/A</definedName>
    <definedName name="SHARED_FORMULA_384">#N/A</definedName>
    <definedName name="SHARED_FORMULA_385">#N/A</definedName>
    <definedName name="SHARED_FORMULA_386">#N/A</definedName>
    <definedName name="SHARED_FORMULA_387">#N/A</definedName>
    <definedName name="SHARED_FORMULA_388">#N/A</definedName>
    <definedName name="SHARED_FORMULA_389">#N/A</definedName>
    <definedName name="SHARED_FORMULA_39">NA()</definedName>
    <definedName name="SHARED_FORMULA_39___0">#N/A</definedName>
    <definedName name="SHARED_FORMULA_390">#N/A</definedName>
    <definedName name="SHARED_FORMULA_391">#N/A</definedName>
    <definedName name="SHARED_FORMULA_392">#N/A</definedName>
    <definedName name="SHARED_FORMULA_393">#N/A</definedName>
    <definedName name="SHARED_FORMULA_394">#N/A</definedName>
    <definedName name="SHARED_FORMULA_395">#N/A</definedName>
    <definedName name="SHARED_FORMULA_396">#N/A</definedName>
    <definedName name="SHARED_FORMULA_397">#N/A</definedName>
    <definedName name="SHARED_FORMULA_398">#N/A</definedName>
    <definedName name="SHARED_FORMULA_399">#N/A</definedName>
    <definedName name="SHARED_FORMULA_4">#N/A</definedName>
    <definedName name="SHARED_FORMULA_4___0">#N/A</definedName>
    <definedName name="SHARED_FORMULA_40">NA()</definedName>
    <definedName name="SHARED_FORMULA_40___0">#N/A</definedName>
    <definedName name="SHARED_FORMULA_400">#N/A</definedName>
    <definedName name="SHARED_FORMULA_401">#N/A</definedName>
    <definedName name="SHARED_FORMULA_402">#N/A</definedName>
    <definedName name="SHARED_FORMULA_403">#N/A</definedName>
    <definedName name="SHARED_FORMULA_404">#N/A</definedName>
    <definedName name="SHARED_FORMULA_405">#N/A</definedName>
    <definedName name="SHARED_FORMULA_406">#N/A</definedName>
    <definedName name="SHARED_FORMULA_407">#N/A</definedName>
    <definedName name="SHARED_FORMULA_408">#N/A</definedName>
    <definedName name="SHARED_FORMULA_409">#N/A</definedName>
    <definedName name="SHARED_FORMULA_41">NA()</definedName>
    <definedName name="SHARED_FORMULA_41___0">#N/A</definedName>
    <definedName name="SHARED_FORMULA_410">#N/A</definedName>
    <definedName name="SHARED_FORMULA_411">#N/A</definedName>
    <definedName name="SHARED_FORMULA_412">#N/A</definedName>
    <definedName name="SHARED_FORMULA_413">#N/A</definedName>
    <definedName name="SHARED_FORMULA_414">#N/A</definedName>
    <definedName name="SHARED_FORMULA_415">#N/A</definedName>
    <definedName name="SHARED_FORMULA_416">#N/A</definedName>
    <definedName name="SHARED_FORMULA_417">#N/A</definedName>
    <definedName name="SHARED_FORMULA_418">#N/A</definedName>
    <definedName name="SHARED_FORMULA_419">#N/A</definedName>
    <definedName name="SHARED_FORMULA_42">NA()</definedName>
    <definedName name="SHARED_FORMULA_42___0">#N/A</definedName>
    <definedName name="SHARED_FORMULA_420">#N/A</definedName>
    <definedName name="SHARED_FORMULA_421">#N/A</definedName>
    <definedName name="SHARED_FORMULA_422">#N/A</definedName>
    <definedName name="SHARED_FORMULA_423">#N/A</definedName>
    <definedName name="SHARED_FORMULA_424">#N/A</definedName>
    <definedName name="SHARED_FORMULA_425">#N/A</definedName>
    <definedName name="SHARED_FORMULA_426">#N/A</definedName>
    <definedName name="SHARED_FORMULA_427">#N/A</definedName>
    <definedName name="SHARED_FORMULA_428">#N/A</definedName>
    <definedName name="SHARED_FORMULA_429">#N/A</definedName>
    <definedName name="SHARED_FORMULA_43">NA()</definedName>
    <definedName name="SHARED_FORMULA_43___0">#N/A</definedName>
    <definedName name="SHARED_FORMULA_430">#N/A</definedName>
    <definedName name="SHARED_FORMULA_431">#N/A</definedName>
    <definedName name="SHARED_FORMULA_432">#N/A</definedName>
    <definedName name="SHARED_FORMULA_433">#N/A</definedName>
    <definedName name="SHARED_FORMULA_434">#N/A</definedName>
    <definedName name="SHARED_FORMULA_435">#N/A</definedName>
    <definedName name="SHARED_FORMULA_436">#N/A</definedName>
    <definedName name="SHARED_FORMULA_437">#N/A</definedName>
    <definedName name="SHARED_FORMULA_438">#N/A</definedName>
    <definedName name="SHARED_FORMULA_439">#N/A</definedName>
    <definedName name="SHARED_FORMULA_44">NA()</definedName>
    <definedName name="SHARED_FORMULA_44___0">#N/A</definedName>
    <definedName name="SHARED_FORMULA_440">#N/A</definedName>
    <definedName name="SHARED_FORMULA_441">#N/A</definedName>
    <definedName name="SHARED_FORMULA_442">#N/A</definedName>
    <definedName name="SHARED_FORMULA_443">#N/A</definedName>
    <definedName name="SHARED_FORMULA_444">#N/A</definedName>
    <definedName name="SHARED_FORMULA_445">#N/A</definedName>
    <definedName name="SHARED_FORMULA_446">#N/A</definedName>
    <definedName name="SHARED_FORMULA_447">#N/A</definedName>
    <definedName name="SHARED_FORMULA_448">#N/A</definedName>
    <definedName name="SHARED_FORMULA_449">#N/A</definedName>
    <definedName name="SHARED_FORMULA_45">NA()</definedName>
    <definedName name="SHARED_FORMULA_45___0">#N/A</definedName>
    <definedName name="SHARED_FORMULA_450">#N/A</definedName>
    <definedName name="SHARED_FORMULA_451">#N/A</definedName>
    <definedName name="SHARED_FORMULA_452">#N/A</definedName>
    <definedName name="SHARED_FORMULA_453">#N/A</definedName>
    <definedName name="SHARED_FORMULA_454">#N/A</definedName>
    <definedName name="SHARED_FORMULA_455">#N/A</definedName>
    <definedName name="SHARED_FORMULA_456">#N/A</definedName>
    <definedName name="SHARED_FORMULA_457">#N/A</definedName>
    <definedName name="SHARED_FORMULA_458">#N/A</definedName>
    <definedName name="SHARED_FORMULA_459">#N/A</definedName>
    <definedName name="SHARED_FORMULA_46">NA()</definedName>
    <definedName name="SHARED_FORMULA_46___0">#N/A</definedName>
    <definedName name="SHARED_FORMULA_460">#N/A</definedName>
    <definedName name="SHARED_FORMULA_461">#N/A</definedName>
    <definedName name="SHARED_FORMULA_462">#N/A</definedName>
    <definedName name="SHARED_FORMULA_463">#N/A</definedName>
    <definedName name="SHARED_FORMULA_464">#N/A</definedName>
    <definedName name="SHARED_FORMULA_465">#N/A</definedName>
    <definedName name="SHARED_FORMULA_466">#N/A</definedName>
    <definedName name="SHARED_FORMULA_467">#N/A</definedName>
    <definedName name="SHARED_FORMULA_468">#N/A</definedName>
    <definedName name="SHARED_FORMULA_469">#N/A</definedName>
    <definedName name="SHARED_FORMULA_47">NA()</definedName>
    <definedName name="SHARED_FORMULA_47___0">#N/A</definedName>
    <definedName name="SHARED_FORMULA_470">#N/A</definedName>
    <definedName name="SHARED_FORMULA_471">#N/A</definedName>
    <definedName name="SHARED_FORMULA_472">#N/A</definedName>
    <definedName name="SHARED_FORMULA_473">#N/A</definedName>
    <definedName name="SHARED_FORMULA_474">#N/A</definedName>
    <definedName name="SHARED_FORMULA_475">#N/A</definedName>
    <definedName name="SHARED_FORMULA_476">#N/A</definedName>
    <definedName name="SHARED_FORMULA_477">#N/A</definedName>
    <definedName name="SHARED_FORMULA_478">#N/A</definedName>
    <definedName name="SHARED_FORMULA_479">#N/A</definedName>
    <definedName name="SHARED_FORMULA_48">NA()</definedName>
    <definedName name="SHARED_FORMULA_48___0">#N/A</definedName>
    <definedName name="SHARED_FORMULA_480">#N/A</definedName>
    <definedName name="SHARED_FORMULA_481">#N/A</definedName>
    <definedName name="SHARED_FORMULA_482">#N/A</definedName>
    <definedName name="SHARED_FORMULA_483">#N/A</definedName>
    <definedName name="SHARED_FORMULA_484">#N/A</definedName>
    <definedName name="SHARED_FORMULA_485">#N/A</definedName>
    <definedName name="SHARED_FORMULA_486">#N/A</definedName>
    <definedName name="SHARED_FORMULA_487">#N/A</definedName>
    <definedName name="SHARED_FORMULA_488">#N/A</definedName>
    <definedName name="SHARED_FORMULA_489">#N/A</definedName>
    <definedName name="SHARED_FORMULA_49">NA()</definedName>
    <definedName name="SHARED_FORMULA_49___0">#N/A</definedName>
    <definedName name="SHARED_FORMULA_490">#N/A</definedName>
    <definedName name="SHARED_FORMULA_491">#N/A</definedName>
    <definedName name="SHARED_FORMULA_492">#N/A</definedName>
    <definedName name="SHARED_FORMULA_493">#N/A</definedName>
    <definedName name="SHARED_FORMULA_494">#N/A</definedName>
    <definedName name="SHARED_FORMULA_495">#N/A</definedName>
    <definedName name="SHARED_FORMULA_496">#N/A</definedName>
    <definedName name="SHARED_FORMULA_497">#N/A</definedName>
    <definedName name="SHARED_FORMULA_498">#N/A</definedName>
    <definedName name="SHARED_FORMULA_499">#N/A</definedName>
    <definedName name="SHARED_FORMULA_5">#N/A</definedName>
    <definedName name="SHARED_FORMULA_5___0">#N/A</definedName>
    <definedName name="SHARED_FORMULA_50">NA()</definedName>
    <definedName name="SHARED_FORMULA_500">#N/A</definedName>
    <definedName name="SHARED_FORMULA_501">#N/A</definedName>
    <definedName name="SHARED_FORMULA_502">#N/A</definedName>
    <definedName name="SHARED_FORMULA_503">#N/A</definedName>
    <definedName name="SHARED_FORMULA_504">#N/A</definedName>
    <definedName name="SHARED_FORMULA_505">#N/A</definedName>
    <definedName name="SHARED_FORMULA_506">#N/A</definedName>
    <definedName name="SHARED_FORMULA_507">#N/A</definedName>
    <definedName name="SHARED_FORMULA_508">#N/A</definedName>
    <definedName name="SHARED_FORMULA_509">#N/A</definedName>
    <definedName name="SHARED_FORMULA_51">NA()</definedName>
    <definedName name="SHARED_FORMULA_510">#N/A</definedName>
    <definedName name="SHARED_FORMULA_511">#N/A</definedName>
    <definedName name="SHARED_FORMULA_512">#N/A</definedName>
    <definedName name="SHARED_FORMULA_513">#N/A</definedName>
    <definedName name="SHARED_FORMULA_514">#N/A</definedName>
    <definedName name="SHARED_FORMULA_515">#N/A</definedName>
    <definedName name="SHARED_FORMULA_516">#N/A</definedName>
    <definedName name="SHARED_FORMULA_517">#N/A</definedName>
    <definedName name="SHARED_FORMULA_518">#N/A</definedName>
    <definedName name="SHARED_FORMULA_519">#N/A</definedName>
    <definedName name="SHARED_FORMULA_52">NA()</definedName>
    <definedName name="SHARED_FORMULA_520">#N/A</definedName>
    <definedName name="SHARED_FORMULA_521">#N/A</definedName>
    <definedName name="SHARED_FORMULA_522">#N/A</definedName>
    <definedName name="SHARED_FORMULA_523">#N/A</definedName>
    <definedName name="SHARED_FORMULA_524">#N/A</definedName>
    <definedName name="SHARED_FORMULA_525">#N/A</definedName>
    <definedName name="SHARED_FORMULA_526">#N/A</definedName>
    <definedName name="SHARED_FORMULA_527">#N/A</definedName>
    <definedName name="SHARED_FORMULA_528">#N/A</definedName>
    <definedName name="SHARED_FORMULA_529">#N/A</definedName>
    <definedName name="SHARED_FORMULA_53">NA()</definedName>
    <definedName name="SHARED_FORMULA_530">#N/A</definedName>
    <definedName name="SHARED_FORMULA_531">#N/A</definedName>
    <definedName name="SHARED_FORMULA_532">#N/A</definedName>
    <definedName name="SHARED_FORMULA_533">#N/A</definedName>
    <definedName name="SHARED_FORMULA_534">#N/A</definedName>
    <definedName name="SHARED_FORMULA_535">#N/A</definedName>
    <definedName name="SHARED_FORMULA_536">#N/A</definedName>
    <definedName name="SHARED_FORMULA_537">#N/A</definedName>
    <definedName name="SHARED_FORMULA_538">#N/A</definedName>
    <definedName name="SHARED_FORMULA_539">#N/A</definedName>
    <definedName name="SHARED_FORMULA_54">NA()</definedName>
    <definedName name="SHARED_FORMULA_540">#N/A</definedName>
    <definedName name="SHARED_FORMULA_541">#N/A</definedName>
    <definedName name="SHARED_FORMULA_542">#N/A</definedName>
    <definedName name="SHARED_FORMULA_543">#N/A</definedName>
    <definedName name="SHARED_FORMULA_544">#N/A</definedName>
    <definedName name="SHARED_FORMULA_545">#N/A</definedName>
    <definedName name="SHARED_FORMULA_546">#N/A</definedName>
    <definedName name="SHARED_FORMULA_547">#N/A</definedName>
    <definedName name="SHARED_FORMULA_548">#N/A</definedName>
    <definedName name="SHARED_FORMULA_549">#N/A</definedName>
    <definedName name="SHARED_FORMULA_55">NA()</definedName>
    <definedName name="SHARED_FORMULA_550">#N/A</definedName>
    <definedName name="SHARED_FORMULA_551">#N/A</definedName>
    <definedName name="SHARED_FORMULA_552">#N/A</definedName>
    <definedName name="SHARED_FORMULA_553">#N/A</definedName>
    <definedName name="SHARED_FORMULA_554">#N/A</definedName>
    <definedName name="SHARED_FORMULA_555">#N/A</definedName>
    <definedName name="SHARED_FORMULA_556">#N/A</definedName>
    <definedName name="SHARED_FORMULA_557">#N/A</definedName>
    <definedName name="SHARED_FORMULA_558">#N/A</definedName>
    <definedName name="SHARED_FORMULA_559">#N/A</definedName>
    <definedName name="SHARED_FORMULA_56">NA()</definedName>
    <definedName name="SHARED_FORMULA_560">#N/A</definedName>
    <definedName name="SHARED_FORMULA_561">#N/A</definedName>
    <definedName name="SHARED_FORMULA_562">#N/A</definedName>
    <definedName name="SHARED_FORMULA_563">#N/A</definedName>
    <definedName name="SHARED_FORMULA_564">#N/A</definedName>
    <definedName name="SHARED_FORMULA_565">#N/A</definedName>
    <definedName name="SHARED_FORMULA_566">#N/A</definedName>
    <definedName name="SHARED_FORMULA_567">#N/A</definedName>
    <definedName name="SHARED_FORMULA_568">#N/A</definedName>
    <definedName name="SHARED_FORMULA_569">#N/A</definedName>
    <definedName name="SHARED_FORMULA_57">NA()</definedName>
    <definedName name="SHARED_FORMULA_570">#N/A</definedName>
    <definedName name="SHARED_FORMULA_571">#N/A</definedName>
    <definedName name="SHARED_FORMULA_572">#N/A</definedName>
    <definedName name="SHARED_FORMULA_573">#N/A</definedName>
    <definedName name="SHARED_FORMULA_574">#N/A</definedName>
    <definedName name="SHARED_FORMULA_575">#N/A</definedName>
    <definedName name="SHARED_FORMULA_576">#N/A</definedName>
    <definedName name="SHARED_FORMULA_577">#N/A</definedName>
    <definedName name="SHARED_FORMULA_578">#N/A</definedName>
    <definedName name="SHARED_FORMULA_579">#N/A</definedName>
    <definedName name="SHARED_FORMULA_58">NA()</definedName>
    <definedName name="SHARED_FORMULA_580">#N/A</definedName>
    <definedName name="SHARED_FORMULA_581">#N/A</definedName>
    <definedName name="SHARED_FORMULA_582">#N/A</definedName>
    <definedName name="SHARED_FORMULA_583">#N/A</definedName>
    <definedName name="SHARED_FORMULA_584">#N/A</definedName>
    <definedName name="SHARED_FORMULA_585">#N/A</definedName>
    <definedName name="SHARED_FORMULA_586">#N/A</definedName>
    <definedName name="SHARED_FORMULA_587">#N/A</definedName>
    <definedName name="SHARED_FORMULA_588">#N/A</definedName>
    <definedName name="SHARED_FORMULA_589">#N/A</definedName>
    <definedName name="SHARED_FORMULA_59">NA()</definedName>
    <definedName name="SHARED_FORMULA_590">#N/A</definedName>
    <definedName name="SHARED_FORMULA_591">#N/A</definedName>
    <definedName name="SHARED_FORMULA_592">#N/A</definedName>
    <definedName name="SHARED_FORMULA_593">#N/A</definedName>
    <definedName name="SHARED_FORMULA_594">#N/A</definedName>
    <definedName name="SHARED_FORMULA_595">#N/A</definedName>
    <definedName name="SHARED_FORMULA_596">#N/A</definedName>
    <definedName name="SHARED_FORMULA_597">#N/A</definedName>
    <definedName name="SHARED_FORMULA_598">#N/A</definedName>
    <definedName name="SHARED_FORMULA_599">#N/A</definedName>
    <definedName name="SHARED_FORMULA_6">#N/A</definedName>
    <definedName name="SHARED_FORMULA_6___0">#N/A</definedName>
    <definedName name="SHARED_FORMULA_60">NA()</definedName>
    <definedName name="SHARED_FORMULA_600">#N/A</definedName>
    <definedName name="SHARED_FORMULA_601">#N/A</definedName>
    <definedName name="SHARED_FORMULA_602">#N/A</definedName>
    <definedName name="SHARED_FORMULA_603">#N/A</definedName>
    <definedName name="SHARED_FORMULA_604">#N/A</definedName>
    <definedName name="SHARED_FORMULA_605">#N/A</definedName>
    <definedName name="SHARED_FORMULA_606">#N/A</definedName>
    <definedName name="SHARED_FORMULA_607">#N/A</definedName>
    <definedName name="SHARED_FORMULA_608">#N/A</definedName>
    <definedName name="SHARED_FORMULA_609">#N/A</definedName>
    <definedName name="SHARED_FORMULA_61">NA()</definedName>
    <definedName name="SHARED_FORMULA_610">#N/A</definedName>
    <definedName name="SHARED_FORMULA_611">#N/A</definedName>
    <definedName name="SHARED_FORMULA_612">#N/A</definedName>
    <definedName name="SHARED_FORMULA_613">#N/A</definedName>
    <definedName name="SHARED_FORMULA_614">#N/A</definedName>
    <definedName name="SHARED_FORMULA_615">#N/A</definedName>
    <definedName name="SHARED_FORMULA_616">#N/A</definedName>
    <definedName name="SHARED_FORMULA_617">#N/A</definedName>
    <definedName name="SHARED_FORMULA_618">#N/A</definedName>
    <definedName name="SHARED_FORMULA_619">#N/A</definedName>
    <definedName name="SHARED_FORMULA_62">NA()</definedName>
    <definedName name="SHARED_FORMULA_620">#N/A</definedName>
    <definedName name="SHARED_FORMULA_621">#N/A</definedName>
    <definedName name="SHARED_FORMULA_622">#N/A</definedName>
    <definedName name="SHARED_FORMULA_623">#N/A</definedName>
    <definedName name="SHARED_FORMULA_624">#N/A</definedName>
    <definedName name="SHARED_FORMULA_625">#N/A</definedName>
    <definedName name="SHARED_FORMULA_626">#N/A</definedName>
    <definedName name="SHARED_FORMULA_627">#N/A</definedName>
    <definedName name="SHARED_FORMULA_628">#N/A</definedName>
    <definedName name="SHARED_FORMULA_629">#N/A</definedName>
    <definedName name="SHARED_FORMULA_63">NA()</definedName>
    <definedName name="SHARED_FORMULA_630">#N/A</definedName>
    <definedName name="SHARED_FORMULA_631">#N/A</definedName>
    <definedName name="SHARED_FORMULA_632">#N/A</definedName>
    <definedName name="SHARED_FORMULA_633">#N/A</definedName>
    <definedName name="SHARED_FORMULA_634">#N/A</definedName>
    <definedName name="SHARED_FORMULA_635">#N/A</definedName>
    <definedName name="SHARED_FORMULA_636">#N/A</definedName>
    <definedName name="SHARED_FORMULA_637">#N/A</definedName>
    <definedName name="SHARED_FORMULA_638">#N/A</definedName>
    <definedName name="SHARED_FORMULA_639">#N/A</definedName>
    <definedName name="SHARED_FORMULA_64">NA()</definedName>
    <definedName name="SHARED_FORMULA_640">#N/A</definedName>
    <definedName name="SHARED_FORMULA_641">#N/A</definedName>
    <definedName name="SHARED_FORMULA_642">#N/A</definedName>
    <definedName name="SHARED_FORMULA_643">#N/A</definedName>
    <definedName name="SHARED_FORMULA_644">#N/A</definedName>
    <definedName name="SHARED_FORMULA_645">#N/A</definedName>
    <definedName name="SHARED_FORMULA_646">#N/A</definedName>
    <definedName name="SHARED_FORMULA_647">#N/A</definedName>
    <definedName name="SHARED_FORMULA_648">#N/A</definedName>
    <definedName name="SHARED_FORMULA_649">#N/A</definedName>
    <definedName name="SHARED_FORMULA_65">NA()</definedName>
    <definedName name="SHARED_FORMULA_650">#N/A</definedName>
    <definedName name="SHARED_FORMULA_651">#N/A</definedName>
    <definedName name="SHARED_FORMULA_652">#N/A</definedName>
    <definedName name="SHARED_FORMULA_653">#N/A</definedName>
    <definedName name="SHARED_FORMULA_654">#N/A</definedName>
    <definedName name="SHARED_FORMULA_655">#N/A</definedName>
    <definedName name="SHARED_FORMULA_656">#N/A</definedName>
    <definedName name="SHARED_FORMULA_657">#N/A</definedName>
    <definedName name="SHARED_FORMULA_658">#N/A</definedName>
    <definedName name="SHARED_FORMULA_659">#N/A</definedName>
    <definedName name="SHARED_FORMULA_66">NA()</definedName>
    <definedName name="SHARED_FORMULA_660">#N/A</definedName>
    <definedName name="SHARED_FORMULA_661">#N/A</definedName>
    <definedName name="SHARED_FORMULA_662">#N/A</definedName>
    <definedName name="SHARED_FORMULA_663">#N/A</definedName>
    <definedName name="SHARED_FORMULA_664">#N/A</definedName>
    <definedName name="SHARED_FORMULA_665">#N/A</definedName>
    <definedName name="SHARED_FORMULA_666">#N/A</definedName>
    <definedName name="SHARED_FORMULA_667">#N/A</definedName>
    <definedName name="SHARED_FORMULA_668">#N/A</definedName>
    <definedName name="SHARED_FORMULA_669">#N/A</definedName>
    <definedName name="SHARED_FORMULA_67">NA()</definedName>
    <definedName name="SHARED_FORMULA_670">#N/A</definedName>
    <definedName name="SHARED_FORMULA_671">#N/A</definedName>
    <definedName name="SHARED_FORMULA_672">#N/A</definedName>
    <definedName name="SHARED_FORMULA_673">#N/A</definedName>
    <definedName name="SHARED_FORMULA_674">#N/A</definedName>
    <definedName name="SHARED_FORMULA_675">#N/A</definedName>
    <definedName name="SHARED_FORMULA_676">#N/A</definedName>
    <definedName name="SHARED_FORMULA_677">#N/A</definedName>
    <definedName name="SHARED_FORMULA_678">#N/A</definedName>
    <definedName name="SHARED_FORMULA_679">#N/A</definedName>
    <definedName name="SHARED_FORMULA_68">NA()</definedName>
    <definedName name="SHARED_FORMULA_680">#N/A</definedName>
    <definedName name="SHARED_FORMULA_681">#N/A</definedName>
    <definedName name="SHARED_FORMULA_682">#N/A</definedName>
    <definedName name="SHARED_FORMULA_683">#N/A</definedName>
    <definedName name="SHARED_FORMULA_684">#N/A</definedName>
    <definedName name="SHARED_FORMULA_685">#N/A</definedName>
    <definedName name="SHARED_FORMULA_686">#N/A</definedName>
    <definedName name="SHARED_FORMULA_687">#N/A</definedName>
    <definedName name="SHARED_FORMULA_688">#N/A</definedName>
    <definedName name="SHARED_FORMULA_689">#N/A</definedName>
    <definedName name="SHARED_FORMULA_69">NA()</definedName>
    <definedName name="SHARED_FORMULA_690">#N/A</definedName>
    <definedName name="SHARED_FORMULA_691">#N/A</definedName>
    <definedName name="SHARED_FORMULA_692">#N/A</definedName>
    <definedName name="SHARED_FORMULA_693">#N/A</definedName>
    <definedName name="SHARED_FORMULA_694">#N/A</definedName>
    <definedName name="SHARED_FORMULA_695">#N/A</definedName>
    <definedName name="SHARED_FORMULA_696">#N/A</definedName>
    <definedName name="SHARED_FORMULA_697">#N/A</definedName>
    <definedName name="SHARED_FORMULA_698">#N/A</definedName>
    <definedName name="SHARED_FORMULA_699">#N/A</definedName>
    <definedName name="SHARED_FORMULA_7">#N/A</definedName>
    <definedName name="SHARED_FORMULA_7___0">#N/A</definedName>
    <definedName name="SHARED_FORMULA_70">NA()</definedName>
    <definedName name="SHARED_FORMULA_700">#N/A</definedName>
    <definedName name="SHARED_FORMULA_701">#N/A</definedName>
    <definedName name="SHARED_FORMULA_702">#N/A</definedName>
    <definedName name="SHARED_FORMULA_703">#N/A</definedName>
    <definedName name="SHARED_FORMULA_704">#N/A</definedName>
    <definedName name="SHARED_FORMULA_705">#N/A</definedName>
    <definedName name="SHARED_FORMULA_706">#N/A</definedName>
    <definedName name="SHARED_FORMULA_707">#N/A</definedName>
    <definedName name="SHARED_FORMULA_708">#N/A</definedName>
    <definedName name="SHARED_FORMULA_709">#N/A</definedName>
    <definedName name="SHARED_FORMULA_71">NA()</definedName>
    <definedName name="SHARED_FORMULA_710">#N/A</definedName>
    <definedName name="SHARED_FORMULA_711">#N/A</definedName>
    <definedName name="SHARED_FORMULA_712">#N/A</definedName>
    <definedName name="SHARED_FORMULA_713">#N/A</definedName>
    <definedName name="SHARED_FORMULA_714">#N/A</definedName>
    <definedName name="SHARED_FORMULA_715">#N/A</definedName>
    <definedName name="SHARED_FORMULA_716">#N/A</definedName>
    <definedName name="SHARED_FORMULA_717">#N/A</definedName>
    <definedName name="SHARED_FORMULA_718">#N/A</definedName>
    <definedName name="SHARED_FORMULA_719">#N/A</definedName>
    <definedName name="SHARED_FORMULA_72">NA()</definedName>
    <definedName name="SHARED_FORMULA_720">#N/A</definedName>
    <definedName name="SHARED_FORMULA_721">#N/A</definedName>
    <definedName name="SHARED_FORMULA_722">#N/A</definedName>
    <definedName name="SHARED_FORMULA_723">#N/A</definedName>
    <definedName name="SHARED_FORMULA_724">#N/A</definedName>
    <definedName name="SHARED_FORMULA_725">#N/A</definedName>
    <definedName name="SHARED_FORMULA_726">#N/A</definedName>
    <definedName name="SHARED_FORMULA_727">#N/A</definedName>
    <definedName name="SHARED_FORMULA_728">#N/A</definedName>
    <definedName name="SHARED_FORMULA_729">#N/A</definedName>
    <definedName name="SHARED_FORMULA_73">#N/A</definedName>
    <definedName name="SHARED_FORMULA_730">#N/A</definedName>
    <definedName name="SHARED_FORMULA_731">#N/A</definedName>
    <definedName name="SHARED_FORMULA_732">#N/A</definedName>
    <definedName name="SHARED_FORMULA_733">#N/A</definedName>
    <definedName name="SHARED_FORMULA_734">#N/A</definedName>
    <definedName name="SHARED_FORMULA_735">#N/A</definedName>
    <definedName name="SHARED_FORMULA_736">#N/A</definedName>
    <definedName name="SHARED_FORMULA_737">#N/A</definedName>
    <definedName name="SHARED_FORMULA_738">#N/A</definedName>
    <definedName name="SHARED_FORMULA_739">#N/A</definedName>
    <definedName name="SHARED_FORMULA_74">NA()</definedName>
    <definedName name="SHARED_FORMULA_740">#N/A</definedName>
    <definedName name="SHARED_FORMULA_741">#N/A</definedName>
    <definedName name="SHARED_FORMULA_742">#N/A</definedName>
    <definedName name="SHARED_FORMULA_743">#N/A</definedName>
    <definedName name="SHARED_FORMULA_744">#N/A</definedName>
    <definedName name="SHARED_FORMULA_745">#N/A</definedName>
    <definedName name="SHARED_FORMULA_746">#N/A</definedName>
    <definedName name="SHARED_FORMULA_747">#N/A</definedName>
    <definedName name="SHARED_FORMULA_748">#N/A</definedName>
    <definedName name="SHARED_FORMULA_749">#N/A</definedName>
    <definedName name="SHARED_FORMULA_75">NA()</definedName>
    <definedName name="SHARED_FORMULA_750">#N/A</definedName>
    <definedName name="SHARED_FORMULA_751">#N/A</definedName>
    <definedName name="SHARED_FORMULA_752">#N/A</definedName>
    <definedName name="SHARED_FORMULA_753">#N/A</definedName>
    <definedName name="SHARED_FORMULA_754">#N/A</definedName>
    <definedName name="SHARED_FORMULA_755">#N/A</definedName>
    <definedName name="SHARED_FORMULA_756">#N/A</definedName>
    <definedName name="SHARED_FORMULA_757">#N/A</definedName>
    <definedName name="SHARED_FORMULA_758">#N/A</definedName>
    <definedName name="SHARED_FORMULA_759">#N/A</definedName>
    <definedName name="SHARED_FORMULA_76">NA()</definedName>
    <definedName name="SHARED_FORMULA_760">#N/A</definedName>
    <definedName name="SHARED_FORMULA_761">#N/A</definedName>
    <definedName name="SHARED_FORMULA_762">#N/A</definedName>
    <definedName name="SHARED_FORMULA_763">#N/A</definedName>
    <definedName name="SHARED_FORMULA_764">#N/A</definedName>
    <definedName name="SHARED_FORMULA_765">#N/A</definedName>
    <definedName name="SHARED_FORMULA_766">#N/A</definedName>
    <definedName name="SHARED_FORMULA_767">#N/A</definedName>
    <definedName name="SHARED_FORMULA_768">#N/A</definedName>
    <definedName name="SHARED_FORMULA_769">#N/A</definedName>
    <definedName name="SHARED_FORMULA_77">NA()</definedName>
    <definedName name="SHARED_FORMULA_770">#N/A</definedName>
    <definedName name="SHARED_FORMULA_771">#N/A</definedName>
    <definedName name="SHARED_FORMULA_772">#N/A</definedName>
    <definedName name="SHARED_FORMULA_773">#N/A</definedName>
    <definedName name="SHARED_FORMULA_774">#N/A</definedName>
    <definedName name="SHARED_FORMULA_775">#N/A</definedName>
    <definedName name="SHARED_FORMULA_776">#N/A</definedName>
    <definedName name="SHARED_FORMULA_777">#N/A</definedName>
    <definedName name="SHARED_FORMULA_778">#N/A</definedName>
    <definedName name="SHARED_FORMULA_779">#N/A</definedName>
    <definedName name="SHARED_FORMULA_78">NA()</definedName>
    <definedName name="SHARED_FORMULA_780">#N/A</definedName>
    <definedName name="SHARED_FORMULA_781">#N/A</definedName>
    <definedName name="SHARED_FORMULA_782">#N/A</definedName>
    <definedName name="SHARED_FORMULA_783">#N/A</definedName>
    <definedName name="SHARED_FORMULA_784">#N/A</definedName>
    <definedName name="SHARED_FORMULA_785">#N/A</definedName>
    <definedName name="SHARED_FORMULA_786">#N/A</definedName>
    <definedName name="SHARED_FORMULA_787">#N/A</definedName>
    <definedName name="SHARED_FORMULA_788">#N/A</definedName>
    <definedName name="SHARED_FORMULA_789">#N/A</definedName>
    <definedName name="SHARED_FORMULA_79">NA()</definedName>
    <definedName name="SHARED_FORMULA_790">#N/A</definedName>
    <definedName name="SHARED_FORMULA_791">#N/A</definedName>
    <definedName name="SHARED_FORMULA_792">#N/A</definedName>
    <definedName name="SHARED_FORMULA_793">#N/A</definedName>
    <definedName name="SHARED_FORMULA_794">#N/A</definedName>
    <definedName name="SHARED_FORMULA_795">#N/A</definedName>
    <definedName name="SHARED_FORMULA_796">#N/A</definedName>
    <definedName name="SHARED_FORMULA_797">#N/A</definedName>
    <definedName name="SHARED_FORMULA_798">#N/A</definedName>
    <definedName name="SHARED_FORMULA_799">#N/A</definedName>
    <definedName name="SHARED_FORMULA_8">#N/A</definedName>
    <definedName name="SHARED_FORMULA_8___0">#N/A</definedName>
    <definedName name="SHARED_FORMULA_80">NA()</definedName>
    <definedName name="SHARED_FORMULA_800">#N/A</definedName>
    <definedName name="SHARED_FORMULA_801">#N/A</definedName>
    <definedName name="SHARED_FORMULA_802">#N/A</definedName>
    <definedName name="SHARED_FORMULA_803">#N/A</definedName>
    <definedName name="SHARED_FORMULA_804">#N/A</definedName>
    <definedName name="SHARED_FORMULA_805">#N/A</definedName>
    <definedName name="SHARED_FORMULA_806">#N/A</definedName>
    <definedName name="SHARED_FORMULA_807">#N/A</definedName>
    <definedName name="SHARED_FORMULA_808">#N/A</definedName>
    <definedName name="SHARED_FORMULA_809">#N/A</definedName>
    <definedName name="SHARED_FORMULA_81">NA()</definedName>
    <definedName name="SHARED_FORMULA_810">#N/A</definedName>
    <definedName name="SHARED_FORMULA_811">#N/A</definedName>
    <definedName name="SHARED_FORMULA_812">#N/A</definedName>
    <definedName name="SHARED_FORMULA_813">#N/A</definedName>
    <definedName name="SHARED_FORMULA_814">#N/A</definedName>
    <definedName name="SHARED_FORMULA_815">#N/A</definedName>
    <definedName name="SHARED_FORMULA_816">#N/A</definedName>
    <definedName name="SHARED_FORMULA_817">#N/A</definedName>
    <definedName name="SHARED_FORMULA_818">#N/A</definedName>
    <definedName name="SHARED_FORMULA_819">#N/A</definedName>
    <definedName name="SHARED_FORMULA_82">NA()</definedName>
    <definedName name="SHARED_FORMULA_820">#N/A</definedName>
    <definedName name="SHARED_FORMULA_821">#N/A</definedName>
    <definedName name="SHARED_FORMULA_822">#N/A</definedName>
    <definedName name="SHARED_FORMULA_823">#N/A</definedName>
    <definedName name="SHARED_FORMULA_824">#N/A</definedName>
    <definedName name="SHARED_FORMULA_825">#N/A</definedName>
    <definedName name="SHARED_FORMULA_826">#N/A</definedName>
    <definedName name="SHARED_FORMULA_827">#N/A</definedName>
    <definedName name="SHARED_FORMULA_828">#N/A</definedName>
    <definedName name="SHARED_FORMULA_829">#N/A</definedName>
    <definedName name="SHARED_FORMULA_83">NA()</definedName>
    <definedName name="SHARED_FORMULA_830">#N/A</definedName>
    <definedName name="SHARED_FORMULA_831">#N/A</definedName>
    <definedName name="SHARED_FORMULA_832">#N/A</definedName>
    <definedName name="SHARED_FORMULA_833">#N/A</definedName>
    <definedName name="SHARED_FORMULA_834">#N/A</definedName>
    <definedName name="SHARED_FORMULA_835">#N/A</definedName>
    <definedName name="SHARED_FORMULA_836">#N/A</definedName>
    <definedName name="SHARED_FORMULA_837">#N/A</definedName>
    <definedName name="SHARED_FORMULA_838">#N/A</definedName>
    <definedName name="SHARED_FORMULA_839">#N/A</definedName>
    <definedName name="SHARED_FORMULA_84">NA()</definedName>
    <definedName name="SHARED_FORMULA_840">#N/A</definedName>
    <definedName name="SHARED_FORMULA_841">#N/A</definedName>
    <definedName name="SHARED_FORMULA_842">#N/A</definedName>
    <definedName name="SHARED_FORMULA_843">#N/A</definedName>
    <definedName name="SHARED_FORMULA_844">#N/A</definedName>
    <definedName name="SHARED_FORMULA_845">#N/A</definedName>
    <definedName name="SHARED_FORMULA_846">#N/A</definedName>
    <definedName name="SHARED_FORMULA_847">#N/A</definedName>
    <definedName name="SHARED_FORMULA_848">#N/A</definedName>
    <definedName name="SHARED_FORMULA_849">#N/A</definedName>
    <definedName name="SHARED_FORMULA_85">NA()</definedName>
    <definedName name="SHARED_FORMULA_850">#N/A</definedName>
    <definedName name="SHARED_FORMULA_851">#N/A</definedName>
    <definedName name="SHARED_FORMULA_852">#N/A</definedName>
    <definedName name="SHARED_FORMULA_853">#N/A</definedName>
    <definedName name="SHARED_FORMULA_854">#N/A</definedName>
    <definedName name="SHARED_FORMULA_855">#N/A</definedName>
    <definedName name="SHARED_FORMULA_856">#N/A</definedName>
    <definedName name="SHARED_FORMULA_857">#N/A</definedName>
    <definedName name="SHARED_FORMULA_858">#N/A</definedName>
    <definedName name="SHARED_FORMULA_859">#N/A</definedName>
    <definedName name="SHARED_FORMULA_86">NA()</definedName>
    <definedName name="SHARED_FORMULA_860">#N/A</definedName>
    <definedName name="SHARED_FORMULA_861">#N/A</definedName>
    <definedName name="SHARED_FORMULA_862">#N/A</definedName>
    <definedName name="SHARED_FORMULA_863">#N/A</definedName>
    <definedName name="SHARED_FORMULA_864">#N/A</definedName>
    <definedName name="SHARED_FORMULA_865">#N/A</definedName>
    <definedName name="SHARED_FORMULA_866">#N/A</definedName>
    <definedName name="SHARED_FORMULA_867">#N/A</definedName>
    <definedName name="SHARED_FORMULA_868">#N/A</definedName>
    <definedName name="SHARED_FORMULA_869">#N/A</definedName>
    <definedName name="SHARED_FORMULA_87">NA()</definedName>
    <definedName name="SHARED_FORMULA_870">#N/A</definedName>
    <definedName name="SHARED_FORMULA_871">#N/A</definedName>
    <definedName name="SHARED_FORMULA_872">#N/A</definedName>
    <definedName name="SHARED_FORMULA_873">#N/A</definedName>
    <definedName name="SHARED_FORMULA_874">#N/A</definedName>
    <definedName name="SHARED_FORMULA_875">#N/A</definedName>
    <definedName name="SHARED_FORMULA_876">#N/A</definedName>
    <definedName name="SHARED_FORMULA_877">#N/A</definedName>
    <definedName name="SHARED_FORMULA_878">#N/A</definedName>
    <definedName name="SHARED_FORMULA_879">#N/A</definedName>
    <definedName name="SHARED_FORMULA_88">NA()</definedName>
    <definedName name="SHARED_FORMULA_880">#N/A</definedName>
    <definedName name="SHARED_FORMULA_881">#N/A</definedName>
    <definedName name="SHARED_FORMULA_882">#N/A</definedName>
    <definedName name="SHARED_FORMULA_883">#N/A</definedName>
    <definedName name="SHARED_FORMULA_884">#N/A</definedName>
    <definedName name="SHARED_FORMULA_885">#N/A</definedName>
    <definedName name="SHARED_FORMULA_886">#N/A</definedName>
    <definedName name="SHARED_FORMULA_887">#N/A</definedName>
    <definedName name="SHARED_FORMULA_888">#N/A</definedName>
    <definedName name="SHARED_FORMULA_889">#N/A</definedName>
    <definedName name="SHARED_FORMULA_89">NA()</definedName>
    <definedName name="SHARED_FORMULA_890">#N/A</definedName>
    <definedName name="SHARED_FORMULA_891">#N/A</definedName>
    <definedName name="SHARED_FORMULA_892">#N/A</definedName>
    <definedName name="SHARED_FORMULA_893">#N/A</definedName>
    <definedName name="SHARED_FORMULA_894">#N/A</definedName>
    <definedName name="SHARED_FORMULA_895">#N/A</definedName>
    <definedName name="SHARED_FORMULA_896">#N/A</definedName>
    <definedName name="SHARED_FORMULA_897">#N/A</definedName>
    <definedName name="SHARED_FORMULA_898">#N/A</definedName>
    <definedName name="SHARED_FORMULA_899">#N/A</definedName>
    <definedName name="SHARED_FORMULA_9">#N/A</definedName>
    <definedName name="SHARED_FORMULA_9___0">#N/A</definedName>
    <definedName name="SHARED_FORMULA_90">NA()</definedName>
    <definedName name="SHARED_FORMULA_900">#N/A</definedName>
    <definedName name="SHARED_FORMULA_901">#N/A</definedName>
    <definedName name="SHARED_FORMULA_902">#N/A</definedName>
    <definedName name="SHARED_FORMULA_903">#N/A</definedName>
    <definedName name="SHARED_FORMULA_904">#N/A</definedName>
    <definedName name="SHARED_FORMULA_905">#N/A</definedName>
    <definedName name="SHARED_FORMULA_906">#N/A</definedName>
    <definedName name="SHARED_FORMULA_907">#N/A</definedName>
    <definedName name="SHARED_FORMULA_908">#N/A</definedName>
    <definedName name="SHARED_FORMULA_909">#N/A</definedName>
    <definedName name="SHARED_FORMULA_91">NA()</definedName>
    <definedName name="SHARED_FORMULA_910">#N/A</definedName>
    <definedName name="SHARED_FORMULA_911">#N/A</definedName>
    <definedName name="SHARED_FORMULA_912">#N/A</definedName>
    <definedName name="SHARED_FORMULA_913">#N/A</definedName>
    <definedName name="SHARED_FORMULA_914">#N/A</definedName>
    <definedName name="SHARED_FORMULA_915">#N/A</definedName>
    <definedName name="SHARED_FORMULA_916">#N/A</definedName>
    <definedName name="SHARED_FORMULA_917">#N/A</definedName>
    <definedName name="SHARED_FORMULA_918">#N/A</definedName>
    <definedName name="SHARED_FORMULA_919">#N/A</definedName>
    <definedName name="SHARED_FORMULA_92">NA()</definedName>
    <definedName name="SHARED_FORMULA_920">#N/A</definedName>
    <definedName name="SHARED_FORMULA_921">#N/A</definedName>
    <definedName name="SHARED_FORMULA_922">#N/A</definedName>
    <definedName name="SHARED_FORMULA_923">#N/A</definedName>
    <definedName name="SHARED_FORMULA_924">#N/A</definedName>
    <definedName name="SHARED_FORMULA_925">#N/A</definedName>
    <definedName name="SHARED_FORMULA_926">#N/A</definedName>
    <definedName name="SHARED_FORMULA_927">#N/A</definedName>
    <definedName name="SHARED_FORMULA_928">#N/A</definedName>
    <definedName name="SHARED_FORMULA_929">#N/A</definedName>
    <definedName name="SHARED_FORMULA_93">NA()</definedName>
    <definedName name="SHARED_FORMULA_930">#N/A</definedName>
    <definedName name="SHARED_FORMULA_931">#N/A</definedName>
    <definedName name="SHARED_FORMULA_932">#N/A</definedName>
    <definedName name="SHARED_FORMULA_933">#N/A</definedName>
    <definedName name="SHARED_FORMULA_934">#N/A</definedName>
    <definedName name="SHARED_FORMULA_935">#N/A</definedName>
    <definedName name="SHARED_FORMULA_936">#N/A</definedName>
    <definedName name="SHARED_FORMULA_937">#N/A</definedName>
    <definedName name="SHARED_FORMULA_938">#N/A</definedName>
    <definedName name="SHARED_FORMULA_939">#N/A</definedName>
    <definedName name="SHARED_FORMULA_94">NA()</definedName>
    <definedName name="SHARED_FORMULA_940">#N/A</definedName>
    <definedName name="SHARED_FORMULA_941">#N/A</definedName>
    <definedName name="SHARED_FORMULA_942">#N/A</definedName>
    <definedName name="SHARED_FORMULA_943">#N/A</definedName>
    <definedName name="SHARED_FORMULA_944">#N/A</definedName>
    <definedName name="SHARED_FORMULA_945">#N/A</definedName>
    <definedName name="SHARED_FORMULA_946">#N/A</definedName>
    <definedName name="SHARED_FORMULA_947">#N/A</definedName>
    <definedName name="SHARED_FORMULA_948">#N/A</definedName>
    <definedName name="SHARED_FORMULA_949">#N/A</definedName>
    <definedName name="SHARED_FORMULA_95">NA()</definedName>
    <definedName name="SHARED_FORMULA_950">#N/A</definedName>
    <definedName name="SHARED_FORMULA_951">#N/A</definedName>
    <definedName name="SHARED_FORMULA_952">#N/A</definedName>
    <definedName name="SHARED_FORMULA_953">#N/A</definedName>
    <definedName name="SHARED_FORMULA_954">7.5*1.45</definedName>
    <definedName name="SHARED_FORMULA_955">#N/A</definedName>
    <definedName name="SHARED_FORMULA_956">#N/A</definedName>
    <definedName name="SHARED_FORMULA_957">#N/A</definedName>
    <definedName name="SHARED_FORMULA_958">#N/A</definedName>
    <definedName name="SHARED_FORMULA_959">#N/A</definedName>
    <definedName name="SHARED_FORMULA_96">NA()</definedName>
    <definedName name="SHARED_FORMULA_960">#N/A</definedName>
    <definedName name="SHARED_FORMULA_961">#N/A</definedName>
    <definedName name="SHARED_FORMULA_962">7.5*1.42</definedName>
    <definedName name="SHARED_FORMULA_963">#N/A</definedName>
    <definedName name="SHARED_FORMULA_97">NA()</definedName>
    <definedName name="SHARED_FORMULA_98">NA()</definedName>
    <definedName name="SHARED_FORMULA_99">NA()</definedName>
    <definedName name="Sheet1">#REF!</definedName>
    <definedName name="sheet3" hidden="1">{#N/A,#N/A,FALSE,"Staffnos &amp; cost"}</definedName>
    <definedName name="SheetState" hidden="1">"'2:-1:-1:-1:-1:-1:-1:-1:-1:-1:-1:-1:-1:-1:-1:-1"</definedName>
    <definedName name="shgf">{0;0;0;0;1;1;0;0;0.6;0.3;2;FALSE;FALSE;FALSE;FALSE;FALSE;#N/A;1;100;#N/A;#N/A;"";""}</definedName>
    <definedName name="shiva_2">"#REF!"</definedName>
    <definedName name="shiva_3">"#REF!"</definedName>
    <definedName name="shiva_4">"#REF!"</definedName>
    <definedName name="shiva_5">"#REF!"</definedName>
    <definedName name="shiva_6">"#REF!"</definedName>
    <definedName name="shiva_7">"#REF!"</definedName>
    <definedName name="shsdfhsdfhkjs" hidden="1">{#N/A,#N/A,TRUE,"Staffnos &amp; cost"}</definedName>
    <definedName name="shutast_2">NA()</definedName>
    <definedName name="shutast_3">NA()</definedName>
    <definedName name="shutast_4">NA()</definedName>
    <definedName name="shutast_5">NA()</definedName>
    <definedName name="shutast_6">NA()</definedName>
    <definedName name="shutast_7">NA()</definedName>
    <definedName name="SHYAM">City&amp;" "&amp;State</definedName>
    <definedName name="SIG_CONTROLE" hidden="1">#REF!</definedName>
    <definedName name="SIG_DERNIERECOLONNE" hidden="1">#REF!</definedName>
    <definedName name="SIG_EFFECTV_firstLine" hidden="1">#REF!</definedName>
    <definedName name="SIG_EFFECTV_H001" hidden="1">#REF!</definedName>
    <definedName name="SIG_EFFECTV_H002" hidden="1">#REF!</definedName>
    <definedName name="SIG_EFFECTV_H003" hidden="1">#REF!</definedName>
    <definedName name="SIG_EFFECTV_H004" hidden="1">#REF!</definedName>
    <definedName name="SIG_EFFECTV_H005" hidden="1">#REF!</definedName>
    <definedName name="SIG_EFFECTV_H006" hidden="1">#REF!</definedName>
    <definedName name="SIG_EFFECTV_H007" hidden="1">#REF!</definedName>
    <definedName name="SIG_EFFECTV_H008" hidden="1">#REF!</definedName>
    <definedName name="SIG_EFFECTV_H009" hidden="1">#REF!</definedName>
    <definedName name="SIG_EFFECTV_H010" hidden="1">#REF!</definedName>
    <definedName name="SIG_EFFECTV_H011" hidden="1">#REF!</definedName>
    <definedName name="SIG_EFFECTV_H012" hidden="1">#REF!</definedName>
    <definedName name="SIG_EFFECTV_IsControlOK" hidden="1">#REF!</definedName>
    <definedName name="SIG_EFFECTV_lastLine" hidden="1">#REF!</definedName>
    <definedName name="SIG_EFFECTV_TITLELINE" hidden="1">#REF!</definedName>
    <definedName name="SIG_ENTETE1_H049">#REF!</definedName>
    <definedName name="SIG_ENTETE1_H050">#REF!</definedName>
    <definedName name="SIG_ENTETE1_H063">#REF!</definedName>
    <definedName name="SIG_ENTETE1_H064">#REF!</definedName>
    <definedName name="SIG_ENTETE1_H065">#REF!</definedName>
    <definedName name="SIG_ENTETE1_H066">#REF!</definedName>
    <definedName name="SIG_ENTETE1_H067">#REF!</definedName>
    <definedName name="SIG_ENTETE1_H092">#REF!</definedName>
    <definedName name="SIG_ENTETE1_H095">#REF!</definedName>
    <definedName name="SIG_ENTETE1_H096">#REF!</definedName>
    <definedName name="SIG_ENTETE1_H097">#REF!</definedName>
    <definedName name="SIG_ENTETE1_H098">#REF!</definedName>
    <definedName name="SIG_ENTETE3_H041">#REF!</definedName>
    <definedName name="SIG_ENTETE3_H042">#REF!</definedName>
    <definedName name="SIG_ENTETE3_H045">#REF!</definedName>
    <definedName name="SIG_PTBD_EFFECTV" hidden="1">#REF!</definedName>
    <definedName name="SIG_PTHG_EFFECTV" hidden="1">#REF!</definedName>
    <definedName name="sim">#N/A</definedName>
    <definedName name="SITEWORKS_1">"#REF!"</definedName>
    <definedName name="SITEWORKS_2">"#REF!"</definedName>
    <definedName name="sjA" hidden="1">{#N/A,#N/A,FALSE,"COMP"}</definedName>
    <definedName name="sk">#N/A</definedName>
    <definedName name="skl">#N/A</definedName>
    <definedName name="skls">#N/A</definedName>
    <definedName name="sklsksjd" hidden="1">{TRUE,TRUE,-1.25,-15.5,484.5,272.25,FALSE,TRUE,TRUE,TRUE,0,1,#N/A,1,#N/A,13.3095238095238,23.5384615384615,1,FALSE,FALSE,3,TRUE,1,FALSE,75,"Swvu.PRINT._.AREA.","ACwvu.PRINT._.AREA.",#N/A,FALSE,FALSE,0.25,0.25,1,1,1,"","",TRUE,FALSE,FALSE,TRUE,1,#N/A,1,1,FALSE,FALSE,#N/A,#N/A,FALSE,FALSE,FALSE,9,300,300,FALSE,FALSE,TRUE,TRUE,TRUE}</definedName>
    <definedName name="sksm">#N/A</definedName>
    <definedName name="sksmng">#N/A</definedName>
    <definedName name="sksmng\" hidden="1">{TRUE,TRUE,-1.25,-15.5,480.75,272.25,FALSE,TRUE,TRUE,TRUE,0,1,#N/A,1,#N/A,13.1904761904762,23.5384615384615,1,FALSE,FALSE,3,TRUE,1,FALSE,75,"Swvu.FAX.","ACwvu.FAX.",#N/A,FALSE,FALSE,0.25,0.25,1,1,1,"","",TRUE,FALSE,FALSE,TRUE,1,#N/A,1,1,"=R1C1:R16C13",FALSE,#N/A,#N/A,FALSE,FALSE,FALSE,9,300,300,FALSE,FALSE,TRUE,TRUE,TRUE}</definedName>
    <definedName name="sksmslsk">#N/A</definedName>
    <definedName name="skwk" hidden="1">{#N/A,#N/A,FALSE,"CDA Plan"}</definedName>
    <definedName name="skyz">#REF!</definedName>
    <definedName name="skyzfr">#REF!</definedName>
    <definedName name="skyzshare">#REF!</definedName>
    <definedName name="sl" hidden="1">{#N/A,#N/A,FALSE,"CDA Plan"}</definedName>
    <definedName name="slaba_2">NA()</definedName>
    <definedName name="slaba_3">NA()</definedName>
    <definedName name="slaba_4">NA()</definedName>
    <definedName name="slaba_5">NA()</definedName>
    <definedName name="slaba_6">NA()</definedName>
    <definedName name="slabthk_2">"#REF!"</definedName>
    <definedName name="slabthk_3">"#REF!"</definedName>
    <definedName name="slabthk_4">"#REF!"</definedName>
    <definedName name="slabthk_5">"#REF!"</definedName>
    <definedName name="slabthk_6">"#REF!"</definedName>
    <definedName name="slabthk_7">"#REF!"</definedName>
    <definedName name="sldfkj" hidden="1">{#N/A,#N/A,FALSE,"Model";#N/A,#N/A,FALSE,"Division"}</definedName>
    <definedName name="SLDK">#N/A</definedName>
    <definedName name="sleke" hidden="1">{#N/A,#N/A,FALSE,"CDA Plan"}</definedName>
    <definedName name="slfjslfj" hidden="1">{#N/A,#N/A,FALSE,"Model";#N/A,#N/A,FALSE,"Division"}</definedName>
    <definedName name="SlopeWI">3.8</definedName>
    <definedName name="slsk">#N/A</definedName>
    <definedName name="slskkl">#N/A</definedName>
    <definedName name="slsks">#N/A</definedName>
    <definedName name="smk" hidden="1">{"QTD_GENERALH2",#N/A,FALSE,"QTD"}</definedName>
    <definedName name="sName">#REF!</definedName>
    <definedName name="SOCIETE">#REF!</definedName>
    <definedName name="Society">#REF!</definedName>
    <definedName name="sohteihthtsotjh" hidden="1">{"'PRODUCTIONCOST SHEET'!$B$3:$G$48"}</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0.6</definedName>
    <definedName name="SONBOH">#N/A</definedName>
    <definedName name="SONEOH">#N/A</definedName>
    <definedName name="SORT">#REF!</definedName>
    <definedName name="Source">#REF!</definedName>
    <definedName name="SP">#N/A</definedName>
    <definedName name="Spaces">"      "</definedName>
    <definedName name="spell">City&amp;" "&amp;State</definedName>
    <definedName name="SplitSkillSummary_11">"#REF!"</definedName>
    <definedName name="SplitSkillSummary_15">"#REF!"</definedName>
    <definedName name="SplitSkillSummary_8">"#REF!"</definedName>
    <definedName name="SplitSkillSummary_9">"#REF!"</definedName>
    <definedName name="spread1">#N/A</definedName>
    <definedName name="spreadadj">#N/A</definedName>
    <definedName name="springs">#REF!</definedName>
    <definedName name="SPWS_WBID">"A36A800C-985F-42E9-A73D-1C4A2BFE17A3"</definedName>
    <definedName name="SqFt">#REF!</definedName>
    <definedName name="sre" hidden="1">{"vol data",#N/A,FALSE,"Datasheet";"vol graph",#N/A,FALSE,"Volume";"price data",#N/A,FALSE,"Datasheet";"price graph",#N/A,FALSE,"Price";"dp data",#N/A,FALSE,"Datasheet";"dp graph",#N/A,FALSE,"DirectProfit"}</definedName>
    <definedName name="srhj" hidden="1">{"'7'!$B$15:$D$32"}</definedName>
    <definedName name="SRS"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s" hidden="1">{"detail",#N/A,FALSE,"mfg";"summary",#N/A,FALSE,"mfg"}</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D" hidden="1">{#N/A,#N/A,FALSE,"REPORT"}</definedName>
    <definedName name="ssddd">#N/A</definedName>
    <definedName name="ssdddd">#N/A</definedName>
    <definedName name="ssddsfsd">#N/A</definedName>
    <definedName name="SSDP" hidden="1">{#N/A,#N/A,FALSE,"Cipta-All";#N/A,#N/A,FALSE,"Individual"}</definedName>
    <definedName name="ssdsa" hidden="1">{#N/A,#N/A,FALSE,"FREE"}</definedName>
    <definedName name="ssdsa_2" hidden="1">{#N/A,#N/A,FALSE,"FREE"}</definedName>
    <definedName name="ssdsa_3" hidden="1">{#N/A,#N/A,FALSE,"FREE"}</definedName>
    <definedName name="ssdsa_4" hidden="1">{#N/A,#N/A,FALSE,"FREE"}</definedName>
    <definedName name="ssdsd" hidden="1">{"'Demand Units'!$Z$2:$AF$53"}</definedName>
    <definedName name="sse" hidden="1">{"YD GENERALH2",#N/A,FALSE,"YTD"}</definedName>
    <definedName name="SSK" hidden="1">{#N/A,#N/A,FALSE,"COMP"}</definedName>
    <definedName name="SS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sss" hidden="1">{#N/A,"PURCHM",FALSE,"Business Analysis";#N/A,"SPADD",FALSE,"Business Analysis"}</definedName>
    <definedName name="sssss" hidden="1">{#N/A,#N/A,FALSE,"Calc";#N/A,#N/A,FALSE,"Sensitivity";#N/A,#N/A,FALSE,"LT Earn.Dil.";#N/A,#N/A,FALSE,"Dil. AVP"}</definedName>
    <definedName name="SSSSS_1" hidden="1">{#N/A,#N/A,FALSE,"Staffnos &amp; cost"}</definedName>
    <definedName name="ssssss" hidden="1">{#N/A,#N/A,TRUE,"CIN-11";#N/A,#N/A,TRUE,"CIN-13";#N/A,#N/A,TRUE,"CIN-14";#N/A,#N/A,TRUE,"CIN-16";#N/A,#N/A,TRUE,"CIN-17";#N/A,#N/A,TRUE,"CIN-18";#N/A,#N/A,TRUE,"CIN Earnings To Fixed Charges";#N/A,#N/A,TRUE,"CIN Financial Ratios";#N/A,#N/A,TRUE,"CIN-IS";#N/A,#N/A,TRUE,"CIN-BS";#N/A,#N/A,TRUE,"CIN-CS";#N/A,#N/A,TRUE,"Invest In Unconsol Subs"}</definedName>
    <definedName name="sssssss" hidden="1">{#N/A,#N/A,TRUE,"Sheet1"}</definedName>
    <definedName name="sssssssss">#N/A</definedName>
    <definedName name="ssssssssss">#N/A</definedName>
    <definedName name="ssssssssssss" hidden="1">{"'PRODUCTIONCOST SHEET'!$B$3:$G$48"}</definedName>
    <definedName name="sssssssssssssssss" hidden="1">{"detail",#N/A,FALSE,"mfg";"summary",#N/A,FALSE,"mfg"}</definedName>
    <definedName name="sssswwww" hidden="1">{#N/A,"PURCHM",FALSE,"Business Analysis";#N/A,"SPADD",FALSE,"Business Analysis"}</definedName>
    <definedName name="st" hidden="1">{#N/A,#N/A,TRUE,"Front";#N/A,#N/A,TRUE,"Simple Letter";#N/A,#N/A,TRUE,"Inside";#N/A,#N/A,TRUE,"Contents";#N/A,#N/A,TRUE,"Basis";#N/A,#N/A,TRUE,"Inclusions";#N/A,#N/A,TRUE,"Exclusions";#N/A,#N/A,TRUE,"Areas";#N/A,#N/A,TRUE,"Summary";#N/A,#N/A,TRUE,"Detail"}</definedName>
    <definedName name="ST_RATINGS">#N/A</definedName>
    <definedName name="Staff_Pension">10%</definedName>
    <definedName name="StaffSalaries">"Staff Salaries"</definedName>
    <definedName name="Stage_3">NA()</definedName>
    <definedName name="Staircase_2">"#REF!"</definedName>
    <definedName name="Staircase_3">"#REF!"</definedName>
    <definedName name="Staircase_4">"#REF!"</definedName>
    <definedName name="Staircase_5">"#REF!"</definedName>
    <definedName name="Staircase_6">"#REF!"</definedName>
    <definedName name="Staircase_7">"#REF!"</definedName>
    <definedName name="stampa">#REF!</definedName>
    <definedName name="Staril" hidden="1">{#N/A,#N/A,FALSE,"REPORT"}</definedName>
    <definedName name="Start6">#REF!</definedName>
    <definedName name="Start60">#REF!</definedName>
    <definedName name="StartRow">6</definedName>
    <definedName name="StartValue">4136.55411844792</definedName>
    <definedName name="State">"'file://Bks/D/draftfinancialsbymanojindushyd/BANDHAN-NBFC-_Fin_Statatement-2009-Ver-1-27.04.2009.xlsx'#$''.$B$2"</definedName>
    <definedName name="State_1">"'file://Bks/D/draftfinancialsbymanojindushyd/BANDHAN-NBFC-_Fin_Statatement-2009-Ver-1-27.04.2009.xlsx'#$''.$B$2"</definedName>
    <definedName name="step_2">"#REF!"</definedName>
    <definedName name="step_3">"#REF!"</definedName>
    <definedName name="step_4">"#REF!"</definedName>
    <definedName name="step_5">"#REF!"</definedName>
    <definedName name="step_6">"#REF!"</definedName>
    <definedName name="step_7">"#REF!"</definedName>
    <definedName name="StepValue">99.3716814159292</definedName>
    <definedName name="stock02" hidden="1">{#N/A,#N/A,FALSE,"gc (2)"}</definedName>
    <definedName name="stocked">"Specs'!$B$727:$B$728"</definedName>
    <definedName name="StoryPrice">42</definedName>
    <definedName name="STP_2">"#REF!"</definedName>
    <definedName name="STP_3">"#REF!"</definedName>
    <definedName name="STP_4">"#REF!"</definedName>
    <definedName name="STP_5">"#REF!"</definedName>
    <definedName name="STP_6">"#REF!"</definedName>
    <definedName name="STP_7">"#REF!"</definedName>
    <definedName name="Strategy"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ings">#N/A</definedName>
    <definedName name="StratPlanAP" hidden="1">{#N/A,#N/A,FALSE,"Pharm";#N/A,#N/A,FALSE,"WWCM"}</definedName>
    <definedName name="StrID_2">"#REF!"</definedName>
    <definedName name="StrID_3">"#REF!"</definedName>
    <definedName name="StrID_4">"#REF!"</definedName>
    <definedName name="StrID_5">"#REF!"</definedName>
    <definedName name="StrID_6">"#REF!"</definedName>
    <definedName name="StrID_7">"#REF!"</definedName>
    <definedName name="strike">#REF!</definedName>
    <definedName name="STRUCTURAL_1">"#REF!"</definedName>
    <definedName name="STRUCTURAL_2">"#REF!"</definedName>
    <definedName name="structure_2">"#REF!"</definedName>
    <definedName name="structure_3">"#REF!"</definedName>
    <definedName name="structure_4">"#REF!"</definedName>
    <definedName name="structure_5">"#REF!"</definedName>
    <definedName name="structure_6">"#REF!"</definedName>
    <definedName name="structure_7">"#REF!"</definedName>
    <definedName name="stu" hidden="1">{#N/A,#N/A,FALSE,"Tabl. D1";#N/A,#N/A,FALSE,"Tabl. D1 b";#N/A,#N/A,FALSE,"Tabl. D2";#N/A,#N/A,FALSE,"Tabl. D2 b";#N/A,#N/A,FALSE,"Tabl. D3";#N/A,#N/A,FALSE,"Tabl. D4";#N/A,#N/A,FALSE,"Tabl. D5"}</definedName>
    <definedName name="Stub">#REF!</definedName>
    <definedName name="stuff" hidden="1">{"TOTAL",#N/A,FALSE,"A";"FISCAL94",#N/A,FALSE,"A";"FISCAL95",#N/A,FALSE,"A";"FISCAL96",#N/A,FALSE,"A";"misc page",#N/A,FALSE,"A"}</definedName>
    <definedName name="stupid">#REF!</definedName>
    <definedName name="sub">#REF!</definedName>
    <definedName name="SUB1EQ">#REF!</definedName>
    <definedName name="SUB1EQ1">#REF!</definedName>
    <definedName name="SUB1RATE">#REF!</definedName>
    <definedName name="SUB1RATE1">#REF!</definedName>
    <definedName name="SUB1TERM">#REF!</definedName>
    <definedName name="SUB1TERM1">#REF!</definedName>
    <definedName name="SUB2EQ">#REF!</definedName>
    <definedName name="SUB2RATE">#REF!</definedName>
    <definedName name="SUB2TERM">#REF!</definedName>
    <definedName name="Subject_2">"#REF!"</definedName>
    <definedName name="Subject_3">"#REF!"</definedName>
    <definedName name="Subject_4">"#REF!"</definedName>
    <definedName name="Subject_5">"#REF!"</definedName>
    <definedName name="Subject_6">"#REF!"</definedName>
    <definedName name="Subject_7">"#REF!"</definedName>
    <definedName name="subpart" hidden="1">{#N/A,#N/A,FALSE,"Summary";#N/A,#N/A,FALSE,"Fed.State Prov";#N/A,#N/A,FALSE,"Foreign Prov";#N/A,#N/A,FALSE,"Thera Fgrn";#N/A,#N/A,FALSE,"CCD Fgrn";#N/A,#N/A,FALSE,"Biocine Fgrn";#N/A,#N/A,FALSE,"Vision Fgrn";#N/A,#N/A,FALSE,"Frgn vs Dom"}</definedName>
    <definedName name="SUBTITLE">#N/A</definedName>
    <definedName name="suchi" hidden="1">{#N/A,#N/A,FALSE,"Aging Summary";#N/A,#N/A,FALSE,"Ratio Analysis";#N/A,#N/A,FALSE,"Test 120 Day Accts";#N/A,#N/A,FALSE,"Tickmarks"}</definedName>
    <definedName name="SUCHITANDIN" hidden="1">{"mndview",#N/A,TRUE,"Total 95";"vakview",#N/A,TRUE,"Total 95";#N/A,#N/A,TRUE,"Graphs"}</definedName>
    <definedName name="sum">#REF!</definedName>
    <definedName name="sumit" hidden="1">{#N/A,#N/A,FALSE,"Tabl. FB300";#N/A,#N/A,FALSE,"Tabl. FB350";#N/A,#N/A,FALSE,"Tabl. FB400";#N/A,#N/A,FALSE,"Tabl. FB500";#N/A,#N/A,FALSE,"Tabl. FS090"}</definedName>
    <definedName name="SUMM">#N/A</definedName>
    <definedName name="Summaries">#REF!</definedName>
    <definedName name="summary">#N/A</definedName>
    <definedName name="SUMMARY_1">NA()</definedName>
    <definedName name="SUMMARY_2">NA()</definedName>
    <definedName name="SUMMARY_3">NA()</definedName>
    <definedName name="SUMMARY_4">NA()</definedName>
    <definedName name="SUMMARY_5">NA()</definedName>
    <definedName name="summary_print">#REF!</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pliers" hidden="1">{#N/A,#N/A,FALSE,"HMF";#N/A,#N/A,FALSE,"FACIL";#N/A,#N/A,FALSE,"HMFINANCE";#N/A,#N/A,FALSE,"HMEUROPE";#N/A,#N/A,FALSE,"HHAB CONSO";#N/A,#N/A,FALSE,"PAB";#N/A,#N/A,FALSE,"MMC";#N/A,#N/A,FALSE,"THAI";#N/A,#N/A,FALSE,"SINPA";#N/A,#N/A,FALSE,"POLAND"}</definedName>
    <definedName name="supply" hidden="1">{#N/A,#N/A,FALSE,"PMTABB";#N/A,#N/A,FALSE,"PMTABB"}</definedName>
    <definedName name="supply_2" hidden="1">{#N/A,#N/A,FALSE,"PMTABB";#N/A,#N/A,FALSE,"PMTABB"}</definedName>
    <definedName name="supply_3" hidden="1">{#N/A,#N/A,FALSE,"PMTABB";#N/A,#N/A,FALSE,"PMTABB"}</definedName>
    <definedName name="supply_4" hidden="1">{#N/A,#N/A,FALSE,"PMTABB";#N/A,#N/A,FALSE,"PMTABB"}</definedName>
    <definedName name="SURYA_2">"#REF!"</definedName>
    <definedName name="SURYA_3">"#REF!"</definedName>
    <definedName name="SURYA_4">"#REF!"</definedName>
    <definedName name="SURYA_5">"#REF!"</definedName>
    <definedName name="SURYA_6">"#REF!"</definedName>
    <definedName name="SURYA_7">"#REF!"</definedName>
    <definedName name="Susan" hidden="1">{#N/A,#N/A,FALSE,"Revised cover";#N/A,#N/A,FALSE,"Trends";"main view",#N/A,FALSE,"As Reported";#N/A,#N/A,FALSE,"delegations";#N/A,#N/A,FALSE,"(un) Commited"}</definedName>
    <definedName name="svc">#REF!</definedName>
    <definedName name="svf">#N/A</definedName>
    <definedName name="sw" hidden="1">{#N/A,"PURCHM",FALSE,"Business Analysis";#N/A,"SPADD",FALSE,"Business Analysis"}</definedName>
    <definedName name="Swain">"city"&amp;" "&amp;"state"</definedName>
    <definedName name="Swain_1">"city"&amp;" "&amp;"state"</definedName>
    <definedName name="Swain_2">"city"&amp;" "&amp;"state"</definedName>
    <definedName name="Swain_3">"city"&amp;" "&amp;"state"</definedName>
    <definedName name="Swain_4">"city"&amp;" "&amp;"state"</definedName>
    <definedName name="Swain_5">"city"&amp;" "&amp;"state"</definedName>
    <definedName name="swamy">"f19"</definedName>
    <definedName name="swaw" hidden="1">{"TEXO2N2_VOL",#N/A,FALSE,"MTHLYVOL";"TEXH2_VOL",#N/A,FALSE,"MTHLYVOL";"LOUIS_VOL",#N/A,FALSE,"MTHLYVOL";"H2_VOL",#N/A,FALSE,"MTHLYVOL";"O2N2_VOL",#N/A,FALSE,"MTHLYVOL";"PACKAGE_VOL",#N/A,FALSE,"MTHLYVOL"}</definedName>
    <definedName name="SWITCH">#REF!</definedName>
    <definedName name="swq" hidden="1">{#N/A,"PURCHM",FALSE,"Business Analysis";#N/A,"SPADD",FALSE,"Business Analysis"}</definedName>
    <definedName name="swr" hidden="1">{"Polymers Details",#N/A,FALSE,"Current Yr";"Polymer Details",#N/A,FALSE,"Budget";"Polymer Details",#N/A,FALSE,"Prior Year"}</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cg" hidden="1">{#N/A,#N/A,FALSE,"PGW"}</definedName>
    <definedName name="sxcg_2" hidden="1">{#N/A,#N/A,FALSE,"PGW"}</definedName>
    <definedName name="sxcg_3" hidden="1">{#N/A,#N/A,FALSE,"PGW"}</definedName>
    <definedName name="sxcg_4" hidden="1">{#N/A,#N/A,FALSE,"PGW"}</definedName>
    <definedName name="sy" hidden="1">{#N/A,#N/A,FALSE,"Part ABC"}</definedName>
    <definedName name="Synergy">#REF!</definedName>
    <definedName name="SYNTHESE">#REF!</definedName>
    <definedName name="SystemName_2">"#REF!"</definedName>
    <definedName name="SystemName_3">"#REF!"</definedName>
    <definedName name="SystemName_4">"#REF!"</definedName>
    <definedName name="SystemName_5">"#REF!"</definedName>
    <definedName name="SystemName_6">"#REF!"</definedName>
    <definedName name="SystemName_7">"#REF!"</definedName>
    <definedName name="sz"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x" hidden="1">{"LAPO2N2",#N/A,FALSE,"CM"}</definedName>
    <definedName name="T"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2" hidden="1">{#N/A,#N/A,FALSE,"Umsatz EO BP";#N/A,#N/A,FALSE,"Umsatz EO OP";#N/A,#N/A,FALSE,"ER EO BP";#N/A,#N/A,FALSE,"ER EO OP";#N/A,#N/A,FALSE,"EA EO (2)";#N/A,#N/A,FALSE,"EA EO";#N/A,#N/A,FALSE,"EA EO (3)";#N/A,#N/A,FALSE,"EA EO (4)";#N/A,#N/A,FALSE,"KA EO  (2)";#N/A,#N/A,FALSE,"KA EO";#N/A,#N/A,FALSE,"KA EO  (3)";#N/A,#N/A,FALSE,"KA EO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_2">"#REF!"</definedName>
    <definedName name="T_3">"#REF!"</definedName>
    <definedName name="T_4">"#REF!"</definedName>
    <definedName name="T_5">"#REF!"</definedName>
    <definedName name="T_6">"#REF!"</definedName>
    <definedName name="T_7">"#REF!"</definedName>
    <definedName name="T_P">Scheduled_Payment+Extra_Payment</definedName>
    <definedName name="T1àT116">#REF!,#REF!,#REF!,#REF!,#REF!,#REF!,#REF!,#REF!,#REF!,#REF!,#REF!,#REF!,#REF!</definedName>
    <definedName name="T1àT61">#REF!,#REF!,#REF!,#REF!,#REF!,#REF!,#REF!,#REF!,#REF!,#REF!,#REF!,#REF!,#REF!,#REF!,#REF!,#REF!,#REF!</definedName>
    <definedName name="T22àT61">#REF!,#REF!,#REF!,#REF!,#REF!,#REF!</definedName>
    <definedName name="t3tr" hidden="1">{#N/A,#N/A,FALSE,"COMP"}</definedName>
    <definedName name="TA" hidden="1">{#N/A,#N/A,TRUE,"Financials";#N/A,#N/A,TRUE,"Operating Statistics";#N/A,#N/A,TRUE,"Capex &amp; Depreciation";#N/A,#N/A,TRUE,"Debt"}</definedName>
    <definedName name="tabl" hidden="1">{#N/A,#N/A,FALSE,"Tabl. H1";#N/A,#N/A,FALSE,"Tabl. H2"}</definedName>
    <definedName name="TABLE">#REF!</definedName>
    <definedName name="Table_2">"#REF!"</definedName>
    <definedName name="Table_3">"#REF!"</definedName>
    <definedName name="Table_4">"#REF!"</definedName>
    <definedName name="Table_5">"#REF!"</definedName>
    <definedName name="Table_6">"#REF!"</definedName>
    <definedName name="Table_7">"#REF!"</definedName>
    <definedName name="table1_2">NA()</definedName>
    <definedName name="table1_3">NA()</definedName>
    <definedName name="TABLE2_2">"#REF!"</definedName>
    <definedName name="TABLE2_3">"#REF!"</definedName>
    <definedName name="TABLE2_4">"#REF!"</definedName>
    <definedName name="TABLE2_5">"#REF!"</definedName>
    <definedName name="TABLE2_6">"#REF!"</definedName>
    <definedName name="TABLE2_7">"#REF!"</definedName>
    <definedName name="table9">#REF!</definedName>
    <definedName name="tableau" hidden="1">{#N/A,#N/A,FALSE,"Tabl. A1";#N/A,#N/A,FALSE,"Tabl. A1 b";#N/A,#N/A,FALSE,"Tabl. A2";#N/A,#N/A,FALSE,"Tabl. A2-1";#N/A,#N/A,FALSE,"Tabl. A2-2"}</definedName>
    <definedName name="TableName">"Dummy"</definedName>
    <definedName name="TableRange_2">"#REF!"</definedName>
    <definedName name="TableRange_3">"#REF!"</definedName>
    <definedName name="TableRange_4">"#REF!"</definedName>
    <definedName name="TableRange_5">"#REF!"</definedName>
    <definedName name="TableRange_6">"#REF!"</definedName>
    <definedName name="TableRange_7">"#REF!"</definedName>
    <definedName name="TABLES">#REF!</definedName>
    <definedName name="TABLESORT">#REF!</definedName>
    <definedName name="tai.v4" hidden="1">{#N/A,#N/A,FALSE,"Umsatz EO BP";#N/A,#N/A,FALSE,"Umsatz EO OP";#N/A,#N/A,FALSE,"ER EO BP";#N/A,#N/A,FALSE,"ER EO OP";#N/A,#N/A,FALSE,"EA EO (2)";#N/A,#N/A,FALSE,"EA EO";#N/A,#N/A,FALSE,"EA EO (3)";#N/A,#N/A,FALSE,"EA EO (4)";#N/A,#N/A,FALSE,"KA EO  (2)";#N/A,#N/A,FALSE,"KA EO";#N/A,#N/A,FALSE,"KA EO  (3)";#N/A,#N/A,FALSE,"KA EO (4)"}</definedName>
    <definedName name="Tail.2" hidden="1">{#N/A,#N/A,FALSE,"KA CH  (2)"}</definedName>
    <definedName name="Target_Shares_Out__Mkt_Val">#REF!</definedName>
    <definedName name="tax">#REF!</definedName>
    <definedName name="tax.xls"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Tax_Case">#REF!</definedName>
    <definedName name="tax_rate">38%</definedName>
    <definedName name="taxol" hidden="1">{#N/A,#N/A,FALSE,"Pharm";#N/A,#N/A,FALSE,"WWCM"}</definedName>
    <definedName name="TaxTV">10%</definedName>
    <definedName name="TaxXL">5%</definedName>
    <definedName name="TB" hidden="1">{#N/A,#N/A,FALSE,"One Pager";#N/A,#N/A,FALSE,"Technical"}</definedName>
    <definedName name="tbg" hidden="1">{#N/A,#N/A,FALSE,"Tabl. G1";#N/A,#N/A,FALSE,"Tabl. G2"}</definedName>
    <definedName name="TC">#REF!</definedName>
    <definedName name="td" hidden="1">{"QTR_ACT",#N/A,FALSE,"PROP_PBIT_DEV_Q3";"QTR_BUD",#N/A,FALSE,"PROP_PBIT_DEV_Q3";"YTD_BUD",#N/A,FALSE,"PROP_PBIT_DEV_Q3";"YTD_ACT",#N/A,FALSE,"PROP_PBIT_DEV_Q3";"FY95 SNAP3",#N/A,FALSE,"PROP_PBIT_DEV_Q3";"FY95_BUD",#N/A,FALSE,"PROP_PBIT_DEV_Q3";"FY96_BUD",#N/A,FALSE,"PROP_PBIT_DEV_Q3"}</definedName>
    <definedName name="TDATE">#REF!</definedName>
    <definedName name="tdc">{"'April 24'!$J$11"}</definedName>
    <definedName name="tdr">#REF!</definedName>
    <definedName name="TDS" hidden="1">{#N/A,#N/A,FALSE,"CDA Plan"}</definedName>
    <definedName name="te">{"Client Name or Project Name"}</definedName>
    <definedName name="TECh_WRTUP" hidden="1">{"CASH FLOW",#N/A,FALSE,"A"}</definedName>
    <definedName name="techmgmt1_11">"#REF!"</definedName>
    <definedName name="techmgmt1_15">"#REF!"</definedName>
    <definedName name="techmgmt1_8">"#REF!"</definedName>
    <definedName name="techmgmt1_9">"#REF!"</definedName>
    <definedName name="Tem" hidden="1">{#N/A,#N/A,FALSE,"Pharm";#N/A,#N/A,FALSE,"WWCM"}</definedName>
    <definedName name="Temp">{"Client Name or Project Name"}</definedName>
    <definedName name="temp_15">"#REF!"</definedName>
    <definedName name="teq" hidden="1">{#N/A,#N/A,FALSE,"Pharm";#N/A,#N/A,FALSE,"WWCM"}</definedName>
    <definedName name="Tequin" hidden="1">{#N/A,#N/A,FALSE,"Pharm";#N/A,#N/A,FALSE,"WWCM"}</definedName>
    <definedName name="tequinol" hidden="1">{#N/A,#N/A,FALSE,"REPORT"}</definedName>
    <definedName name="ter"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c" hidden="1">{"YD GENERALH2",#N/A,FALSE,"YTD"}</definedName>
    <definedName name="test">{"Client Name or Project Name"}</definedName>
    <definedName name="TEST_1" hidden="1">{#N/A,#N/A,FALSE,"PMTABB";#N/A,#N/A,FALSE,"PMTABB"}</definedName>
    <definedName name="test_11">"#REF!"</definedName>
    <definedName name="test_15">"#REF!"</definedName>
    <definedName name="test_8">"#REF!"</definedName>
    <definedName name="test_9">"#REF!"</definedName>
    <definedName name="Test1" hidden="1">{#N/A,#N/A,TRUE,"Summary";#N/A,"1",TRUE,"Summary";#N/A,"2",TRUE,"Summary";#N/A,"3",TRUE,"Summary";#N/A,"4",TRUE,"Summary";#N/A,"5",TRUE,"Summary";#N/A,"6",TRUE,"Summary";#N/A,"7",TRUE,"Summary";#N/A,"8",TRUE,"Summary";#N/A,"9",TRUE,"Summary";#N/A,"10",TRUE,"Summary";#N/A,"11",TRUE,"Summary"}</definedName>
    <definedName name="Test2" hidden="1">{#N/A,#N/A,TRUE,"Summary";#N/A,"1",TRUE,"Summary";#N/A,"2",TRUE,"Summary";#N/A,"3",TRUE,"Summary";#N/A,"4",TRUE,"Summary";#N/A,"5",TRUE,"Summary";#N/A,"6",TRUE,"Summary";#N/A,"7",TRUE,"Summary";#N/A,"8",TRUE,"Summary";#N/A,"9",TRUE,"Summary";#N/A,"10",TRUE,"Summary";#N/A,"11",TRUE,"Summary"}</definedName>
    <definedName name="TestAdd">"Test RefersTo1"</definedName>
    <definedName name="teste" hidden="1">{#N/A,#N/A,FALSE,"Pharm";#N/A,#N/A,FALSE,"WWCM"}</definedName>
    <definedName name="tete" hidden="1">{#N/A,#N/A,FALSE,"Calc";#N/A,#N/A,FALSE,"Sensitivity";#N/A,#N/A,FALSE,"LT Earn.Dil.";#N/A,#N/A,FALSE,"Dil. AVP"}</definedName>
    <definedName name="text">#REF!</definedName>
    <definedName name="TextRefCopyRangeCount" hidden="1">3</definedName>
    <definedName name="TextRefCopyRangeCount_1" hidden="1">2</definedName>
    <definedName name="tf" hidden="1">{"Performance Details",#N/A,FALSE,"Current Yr";"Performance Details",#N/A,FALSE,"Budget";"Performance Details",#N/A,FALSE,"Prior Year"}</definedName>
    <definedName name="tft" hidden="1">{#N/A,#N/A,TRUE,"constb"}</definedName>
    <definedName name="tgdfdf">"#REF!"</definedName>
    <definedName name="tgdfdf_1">"#REF!"</definedName>
    <definedName name="tgdfdf_2">"#REF!"</definedName>
    <definedName name="tgdfdf_3">"#REF!"</definedName>
    <definedName name="tgdfdf_4">"#REF!"</definedName>
    <definedName name="tgdfdf_5">"#REF!"</definedName>
    <definedName name="TGHG" hidden="1">{#N/A,#N/A,FALSE,"SUMMARY";#N/A,#N/A,FALSE,"SUMMARY"}</definedName>
    <definedName name="TGHG_1" hidden="1">{#N/A,#N/A,FALSE,"SUMMARY";#N/A,#N/A,FALSE,"SUMMARY"}</definedName>
    <definedName name="TGHG_2" hidden="1">{#N/A,#N/A,FALSE,"SUMMARY";#N/A,#N/A,FALSE,"SUMMARY"}</definedName>
    <definedName name="TGHG_3" hidden="1">{#N/A,#N/A,FALSE,"SUMMARY";#N/A,#N/A,FALSE,"SUMMARY"}</definedName>
    <definedName name="TGHG_4" hidden="1">{#N/A,#N/A,FALSE,"SUMMARY";#N/A,#N/A,FALSE,"SUMMARY"}</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City&amp;" "&amp;State</definedName>
    <definedName name="tha.2" hidden="1">{#N/A,#N/A,FALSE,"Produkte Erw.";#N/A,#N/A,FALSE,"Produkte Plan";#N/A,#N/A,FALSE,"Leistungen Erw.";#N/A,#N/A,FALSE,"Leistungen Plan";#N/A,#N/A,FALSE,"KA Allg.Kosten (2)";#N/A,#N/A,FALSE,"KA All.Kosten"}</definedName>
    <definedName name="tha.3" hidden="1">{#N/A,#N/A,FALSE,"KA CH  (2)"}</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hidden="1">{#N/A,#N/A,FALSE,"Umsatz 99";#N/A,#N/A,FALSE,"ER 99 "}</definedName>
    <definedName name="Thail.2" hidden="1">{#N/A,#N/A,FALSE,"Umsatz 99";#N/A,#N/A,FALSE,"ER 99 "}</definedName>
    <definedName name="the" hidden="1">{#N/A,#N/A,FALSE,"gc (2)"}</definedName>
    <definedName name="Thiagarajan" hidden="1">{"'Sheet1'!$A$4386:$N$4591"}</definedName>
    <definedName name="THNEN" hidden="1">{#N/A,#N/A,FALSE,"Tabl. FB300";#N/A,#N/A,FALSE,"Tabl. FB350";#N/A,#N/A,FALSE,"Tabl. FB400";#N/A,#N/A,FALSE,"Tabl. FB500";#N/A,#N/A,FALSE,"Tabl. FS090"}</definedName>
    <definedName name="Thousand">1/1000</definedName>
    <definedName name="threemonthprice">#REF!</definedName>
    <definedName name="threeyearsago">#REF!</definedName>
    <definedName name="thth" hidden="1">{#N/A,#N/A,FALSE,"Calc";#N/A,#N/A,FALSE,"Sensitivity";#N/A,#N/A,FALSE,"LT Earn.Dil.";#N/A,#N/A,FALSE,"Dil. AVP"}</definedName>
    <definedName name="THTH_1" hidden="1">{#N/A,#N/A,FALSE,"TOWNSHIP"}</definedName>
    <definedName name="THTH_2" hidden="1">{#N/A,#N/A,FALSE,"TOWNSHIP"}</definedName>
    <definedName name="THTH_3" hidden="1">{#N/A,#N/A,FALSE,"TOWNSHIP"}</definedName>
    <definedName name="THTH_4" hidden="1">{#N/A,#N/A,FALSE,"TOWNSHIP"}</definedName>
    <definedName name="thue">6</definedName>
    <definedName name="ticker">#REF!</definedName>
    <definedName name="TICKET">#REF!</definedName>
    <definedName name="Time">#REF!</definedName>
    <definedName name="Time_BoYR">#REF!</definedName>
    <definedName name="Time_efficiency">#REF!</definedName>
    <definedName name="Time_Period">#REF!</definedName>
    <definedName name="Tirath">#N/A</definedName>
    <definedName name="Title_2">NA()</definedName>
    <definedName name="Title_3">NA()</definedName>
    <definedName name="Title1_2">"#REF!"</definedName>
    <definedName name="Title1_3">"#REF!"</definedName>
    <definedName name="Title1_4">"#REF!"</definedName>
    <definedName name="Title1_5">"#REF!"</definedName>
    <definedName name="Title1_6">"#REF!"</definedName>
    <definedName name="Title1_7">"#REF!"</definedName>
    <definedName name="Title2_2">"#REF!"</definedName>
    <definedName name="Title2_3">"#REF!"</definedName>
    <definedName name="Title2_4">"#REF!"</definedName>
    <definedName name="Title2_5">"#REF!"</definedName>
    <definedName name="Title2_6">"#REF!"</definedName>
    <definedName name="Title2_7">"#REF!"</definedName>
    <definedName name="TITLES">#REF!</definedName>
    <definedName name="tl" hidden="1">{"Commentary",#N/A,FALSE,"May"}</definedName>
    <definedName name="tll_LOAN">DATE(YEAR(#REF!),MONTH(#REF!)+#REF!,DAY(#REF!))</definedName>
    <definedName name="TLTH">#N/A</definedName>
    <definedName name="TLTH1">#N/A</definedName>
    <definedName name="tm" hidden="1">{"ICD Details",#N/A,FALSE,"Current Yr";"ICD Details",#N/A,FALSE,"Budget";"ICD Details",#N/A,FALSE,"Prior Year"}</definedName>
    <definedName name="tmp" hidden="1">{#N/A,#N/A,FALSE,"earnings"}</definedName>
    <definedName name="tmto" hidden="1">{"detail",#N/A,FALSE,"mfg";"summary",#N/A,FALSE,"mfg"}</definedName>
    <definedName name="t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o" hidden="1">{#N/A,#N/A,FALSE,"CDA Plan"}</definedName>
    <definedName name="TO_Actual">#N/A</definedName>
    <definedName name="TO_Budget">#N/A</definedName>
    <definedName name="TOL">#N/A</definedName>
    <definedName name="tol_2">"#REF!"</definedName>
    <definedName name="tol_3">"#REF!"</definedName>
    <definedName name="tol_4">"#REF!"</definedName>
    <definedName name="tol_5">"#REF!"</definedName>
    <definedName name="tol_6">"#REF!"</definedName>
    <definedName name="tol_7">"#REF!"</definedName>
    <definedName name="topedition">#REF!</definedName>
    <definedName name="TOPFBTDEC0506" hidden="1">{#N/A,#N/A,FALSE,"PMTABB";#N/A,#N/A,FALSE,"PMTABB"}</definedName>
    <definedName name="TOPFBTDEC0506_1" hidden="1">{#N/A,#N/A,FALSE,"PMTABB";#N/A,#N/A,FALSE,"PMTABB"}</definedName>
    <definedName name="topl_2">"#REF!"</definedName>
    <definedName name="topl_3">"#REF!"</definedName>
    <definedName name="topl_4">"#REF!"</definedName>
    <definedName name="topl_5">"#REF!"</definedName>
    <definedName name="topl_6">"#REF!"</definedName>
    <definedName name="topl_7">"#REF!"</definedName>
    <definedName name="topn_2">"#REF!"</definedName>
    <definedName name="topn_3">"#REF!"</definedName>
    <definedName name="topn_4">"#REF!"</definedName>
    <definedName name="topn_5">"#REF!"</definedName>
    <definedName name="topn_6">"#REF!"</definedName>
    <definedName name="topn_7">"#REF!"</definedName>
    <definedName name="total">#N/A</definedName>
    <definedName name="Total_Business_Report">#REF!</definedName>
    <definedName name="Total_Costs">#REF!</definedName>
    <definedName name="Total_income_rounded_off_as_per_section_288A_of_the_Act">"main_2"</definedName>
    <definedName name="Total_Payment">Scheduled_Payment+Extra_Payment</definedName>
    <definedName name="Total_payments">#REF!*#REF!</definedName>
    <definedName name="total2">#REF!</definedName>
    <definedName name="TOTAL2P">#REF!,#REF!,#REF!,#REF!,#REF!,#REF!,#REF!,#REF!,#REF!,#REF!,#REF!,#REF!,#REF!,#REF!,#REF!</definedName>
    <definedName name="TotalAssets">CapitalEmployed+CurrentLiab</definedName>
    <definedName name="TotalDebt">LongTermDebt+ShortTermDebt+CurrentPortion</definedName>
    <definedName name="TOTALS_1998">#REF!</definedName>
    <definedName name="TP">__IDC2_3+#REF!</definedName>
    <definedName name="TPNL">#REF!</definedName>
    <definedName name="TRANS">#REF!</definedName>
    <definedName name="Translations">NA()</definedName>
    <definedName name="TRAV" hidden="1">{#N/A,#N/A,FALSE,"Staffnos &amp; cost"}</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DSTK">#N/A</definedName>
    <definedName name="TRE">City&amp;" "&amp;State</definedName>
    <definedName name="tread_2">"#REF!"</definedName>
    <definedName name="tread_3">"#REF!"</definedName>
    <definedName name="tread_4">"#REF!"</definedName>
    <definedName name="tread_5">"#REF!"</definedName>
    <definedName name="tread_6">"#REF!"</definedName>
    <definedName name="tread_7">"#REF!"</definedName>
    <definedName name="treeList" hidden="1">"00000000000000000000000000000000000000000000000000000000000000000000000000000000000000000000000000000000000000000000000000000000000000000000000000000000000000000000000000000000000000000000000000000000"</definedName>
    <definedName name="trendanalysis" hidden="1">{#N/A,#N/A,FALSE,"Aging Summary";#N/A,#N/A,FALSE,"Ratio Analysis";#N/A,#N/A,FALSE,"Test 120 Day Accts";#N/A,#N/A,FALSE,"Tickmarks"}</definedName>
    <definedName name="Trial">{"Client Name or Project Name"}</definedName>
    <definedName name="trigger_all">#REF!</definedName>
    <definedName name="trinity">{"Client Name or Project Name"}</definedName>
    <definedName name="trop" hidden="1">{#N/A,#N/A,FALSE,"CDA Plan"}</definedName>
    <definedName name="trop." hidden="1">{#N/A,#N/A,FALSE,"CDA Plan"}</definedName>
    <definedName name="trou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R">#N/A</definedName>
    <definedName name="TRU" hidden="1">{#N/A,#N/A,TRUE,"Front";#N/A,#N/A,TRUE,"Simple Letter";#N/A,#N/A,TRUE,"Inside";#N/A,#N/A,TRUE,"Contents";#N/A,#N/A,TRUE,"Basis";#N/A,#N/A,TRUE,"Inclusions";#N/A,#N/A,TRUE,"Exclusions";#N/A,#N/A,TRUE,"Areas";#N/A,#N/A,TRUE,"Summary";#N/A,#N/A,TRUE,"Detail"}</definedName>
    <definedName name="TrusSteel">#REF!</definedName>
    <definedName name="tryeuyit" hidden="1">{#N/A,#N/A,FALSE,"Pharm";#N/A,#N/A,FALSE,"WWCM"}</definedName>
    <definedName name="ts" hidden="1">{"oct_res_comm",#N/A,FALSE,"VarToBud"}</definedName>
    <definedName name="TT" hidden="1">{#N/A,#N/A,TRUE,"Financials";#N/A,#N/A,TRUE,"Operating Statistics";#N/A,#N/A,TRUE,"Capex &amp; Depreciation";#N/A,#N/A,TRUE,"Debt"}</definedName>
    <definedName name="tt.8" hidden="1">{#N/A,#N/A,FALSE,"PMW Gruppe 99_98";#N/A,#N/A,FALSE,"PMW KG 98_99";#N/A,#N/A,FALSE,"PMW Inc. 99_98";#N/A,#N/A,FALSE,"PMW VTECH 99_98";#N/A,#N/A,FALSE,"PMW Thail. 99_98";#N/A,#N/A,FALSE,"PMW Canada 99_98";#N/A,#N/A,FALSE,"Währungsabw. 99_98"}</definedName>
    <definedName name="ttc">City&amp;" "&amp;State</definedName>
    <definedName name="TTL_COS">#N/A</definedName>
    <definedName name="TTL_SALE">#N/A</definedName>
    <definedName name="TTL_UC">#N/A</definedName>
    <definedName name="TTLSALE">#N/A</definedName>
    <definedName name="ttt" hidden="1">{#N/A,"PURCHM",FALSE,"Business Analysis";#N/A,"SPADD",FALSE,"Business Analysis"}</definedName>
    <definedName name="TTT_1" hidden="1">{#N/A,#N/A,FALSE,"Staffnos &amp; cost"}</definedName>
    <definedName name="ttthtr" hidden="1">{#N/A,#N/A,FALSE,"TOWNSHIP"}</definedName>
    <definedName name="ttthtr_1" hidden="1">{#N/A,#N/A,FALSE,"TOWNSHIP"}</definedName>
    <definedName name="ttthtr_2" hidden="1">{#N/A,#N/A,FALSE,"TOWNSHIP"}</definedName>
    <definedName name="ttthtr_3" hidden="1">{#N/A,#N/A,FALSE,"TOWNSHIP"}</definedName>
    <definedName name="ttthtr_4" hidden="1">{#N/A,#N/A,FALSE,"TOWNSHIP"}</definedName>
    <definedName name="tttt" hidden="1">{#N/A,#N/A,FALSE,"Produkte Erw.";#N/A,#N/A,FALSE,"Produkte Plan";#N/A,#N/A,FALSE,"Leistungen Erw.";#N/A,#N/A,FALSE,"Leistungen Plan";#N/A,#N/A,FALSE,"KA Allg.Kosten (2)";#N/A,#N/A,FALSE,"KA All.Kosten"}</definedName>
    <definedName name="ttttttt" hidden="1">{"'PRODUCTIONCOST SHEET'!$B$3:$G$48"}</definedName>
    <definedName name="ttzz" hidden="1">{#N/A,#N/A,FALSE,"Umsatz CH";#N/A,#N/A,FALSE,"ER CH";#N/A,#N/A,FALSE,"EA CH (2) ";#N/A,#N/A,FALSE,"EA CH";#N/A,#N/A,FALSE,"EA CH (3) ";#N/A,#N/A,FALSE,"EA CH (4)";#N/A,#N/A,FALSE,"KA CH";#N/A,#N/A,FALSE,"KA CH  (2)";#N/A,#N/A,FALSE,"KA CH  (3)";#N/A,#N/A,FALSE,"KA CH (4)"}</definedName>
    <definedName name="tu"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turd" hidden="1">{"detail",#N/A,FALSE,"mfg";"summary",#N/A,FALSE,"mfg"}</definedName>
    <definedName name="t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wertert" hidden="1">{#N/A,#N/A,FALSE,"COMP"}</definedName>
    <definedName name="TwoAndAHalfMonthdate">#N/A</definedName>
    <definedName name="twoyrsago">#REF!</definedName>
    <definedName name="TY">City&amp;" "&amp;State</definedName>
    <definedName name="tyff" hidden="1">{#N/A,#N/A,FALSE,"PGW"}</definedName>
    <definedName name="tyff_2" hidden="1">{#N/A,#N/A,FALSE,"PGW"}</definedName>
    <definedName name="tyff_3" hidden="1">{#N/A,#N/A,FALSE,"PGW"}</definedName>
    <definedName name="tyff_4" hidden="1">{#N/A,#N/A,FALSE,"PGW"}</definedName>
    <definedName name="tynm" hidden="1">{"apci",#N/A,FALSE,"Chem_CY";"eastman",#N/A,FALSE,"Eastman";"betz",#N/A,FALSE,"Betz";"great lakes",#N/A,FALSE,"Great_Lakes";"hercules",#N/A,FALSE,"Hercules Chem Seg Data";"rohm",#N/A,FALSE,"Rohm";"union carbide",#N/A,FALSE,"Union";"witco",#N/A,FALSE,"Witco"}</definedName>
    <definedName name="type_3">NA()</definedName>
    <definedName name="Type1_2">"#REF!"</definedName>
    <definedName name="Type1_3">"#REF!"</definedName>
    <definedName name="Type1_4">"#REF!"</definedName>
    <definedName name="Type1_5">"#REF!"</definedName>
    <definedName name="Type1_6">"#REF!"</definedName>
    <definedName name="Type1_7">"#REF!"</definedName>
    <definedName name="Type2_2">"#REF!"</definedName>
    <definedName name="Type2_3">"#REF!"</definedName>
    <definedName name="Type2_4">"#REF!"</definedName>
    <definedName name="Type2_5">"#REF!"</definedName>
    <definedName name="Type2_6">"#REF!"</definedName>
    <definedName name="Type2_7">"#REF!"</definedName>
    <definedName name="tyty_2">"#REF!"</definedName>
    <definedName name="tyty_3">"#REF!"</definedName>
    <definedName name="tyty_4">"#REF!"</definedName>
    <definedName name="tyty_5">"#REF!"</definedName>
    <definedName name="tyty_6">"#REF!"</definedName>
    <definedName name="tyty_7">"#REF!"</definedName>
    <definedName name="tyu" hidden="1">{"oct_res_comm",#N/A,FALSE,"VarToBud"}</definedName>
    <definedName name="tyui" hidden="1">{"ICD Details",#N/A,FALSE,"Current Yr";"ICD Details",#N/A,FALSE,"Budget";"ICD Details",#N/A,FALSE,"Prior Year"}</definedName>
    <definedName name="tyutytyi" hidden="1">{#N/A,#N/A,FALSE,"Pharm";#N/A,#N/A,FALSE,"WWCM"}</definedName>
    <definedName name="tyyufkjkhjd" hidden="1">{#N/A,#N/A,FALSE,"Pharm";#N/A,#N/A,FALSE,"WWCM"}</definedName>
    <definedName name="tzt" hidden="1">{#N/A,#N/A,FALSE,"Umsatz HM";#N/A,#N/A,FALSE,"ER HM";#N/A,#N/A,FALSE,"EA HM  (2)";#N/A,#N/A,FALSE,"EA HM ";#N/A,#N/A,FALSE,"EA HM  (4)";#N/A,#N/A,FALSE,"EA HM  (3)";#N/A,#N/A,FALSE,"KA HM  (2)";#N/A,#N/A,FALSE,"KA HM";#N/A,#N/A,FALSE,"KA HM  (3)";#N/A,#N/A,FALSE,"KA HM (4)"}</definedName>
    <definedName name="tzutz.lkjkljk" hidden="1">{#N/A,#N/A,FALSE,"Umsatz CH";#N/A,#N/A,FALSE,"ER CH";#N/A,#N/A,FALSE,"EA CH (2) ";#N/A,#N/A,FALSE,"EA CH";#N/A,#N/A,FALSE,"EA CH (3) ";#N/A,#N/A,FALSE,"EA CH (4)";#N/A,#N/A,FALSE,"KA CH";#N/A,#N/A,FALSE,"KA CH  (2)";#N/A,#N/A,FALSE,"KA CH  (3)";#N/A,#N/A,FALSE,"KA CH (4)"}</definedName>
    <definedName name="uehfiueqf" hidden="1">{#N/A,#N/A,FALSE,"Calc";#N/A,#N/A,FALSE,"Sensitivity";#N/A,#N/A,FALSE,"LT Earn.Dil.";#N/A,#N/A,FALSE,"Dil. AVP"}</definedName>
    <definedName name="UFPrn20000704101659">#REF!</definedName>
    <definedName name="UFPrn20010107172632">#REF!</definedName>
    <definedName name="UFPrn20010201083834">#REF!</definedName>
    <definedName name="UFPrn20010201085445">#REF!</definedName>
    <definedName name="UFPrn20010201104732">#REF!</definedName>
    <definedName name="UFPrn20010201111727">#REF!</definedName>
    <definedName name="UFPrn20010201111854">#REF!</definedName>
    <definedName name="UFPrn20010201112015">#REF!</definedName>
    <definedName name="UFPrn20010201112127">#REF!</definedName>
    <definedName name="UFPrn20010215091430">#REF!</definedName>
    <definedName name="UFPrn20010215100819">#REF!</definedName>
    <definedName name="UFPrn20010215100844">#REF!</definedName>
    <definedName name="UFPrn20010215100937">#REF!</definedName>
    <definedName name="UFPrn20010215101010">#REF!</definedName>
    <definedName name="UFPrn20010215101311">#REF!</definedName>
    <definedName name="UFPrn20010402142103">#REF!</definedName>
    <definedName name="UFPrn20010402142350">#REF!</definedName>
    <definedName name="UFPrn20010402142415">#REF!</definedName>
    <definedName name="UFPrn20010402142443">#REF!</definedName>
    <definedName name="UFPrn20010402142531">#REF!</definedName>
    <definedName name="UFPrn20010402142632">#REF!</definedName>
    <definedName name="UFPrn20010402143058">#REF!</definedName>
    <definedName name="UFPrn20010613101153">#REF!</definedName>
    <definedName name="UFPrn20010704144509">#REF!</definedName>
    <definedName name="UFPrn20011008090051">#REF!</definedName>
    <definedName name="UFPrn20011008090128">#REF!</definedName>
    <definedName name="UFPrn20011008090154">#REF!</definedName>
    <definedName name="UFPrn20011008090213">#REF!</definedName>
    <definedName name="UFPrn20011008090323">#REF!</definedName>
    <definedName name="UFPrn20011008094249">#REF!</definedName>
    <definedName name="UFPrn20011008094354">#REF!</definedName>
    <definedName name="UFPrn20011008094416">#REF!</definedName>
    <definedName name="UFPrn20011008094649">#REF!</definedName>
    <definedName name="UFPrn20011008094717">#REF!</definedName>
    <definedName name="UFPrn20011008094747">#REF!</definedName>
    <definedName name="UFPrn20011008094816">#REF!</definedName>
    <definedName name="UFPrn20011008094917">#REF!</definedName>
    <definedName name="UFPrn20011008094953">#REF!</definedName>
    <definedName name="UFPrn20011008095316">#REF!</definedName>
    <definedName name="UFPrn20011008095335">#REF!</definedName>
    <definedName name="UFPrn20011008095412">#REF!</definedName>
    <definedName name="UFPrn20011008095434">#REF!</definedName>
    <definedName name="UFPrn20011008095454">#REF!</definedName>
    <definedName name="UFPrn20011008095534">#REF!</definedName>
    <definedName name="UFPrn20011008152420">#REF!</definedName>
    <definedName name="UFPrn20011009151416">#REF!</definedName>
    <definedName name="UFPrn20011102084039">#REF!</definedName>
    <definedName name="UFPrn20011102084106">#REF!</definedName>
    <definedName name="UFPrn20011102084246">#REF!</definedName>
    <definedName name="UFPrn20011102084829">#REF!</definedName>
    <definedName name="UFPrn20011102084912">#REF!</definedName>
    <definedName name="UFPrn20011102085107">#REF!</definedName>
    <definedName name="UFPrn20011102090021">#REF!</definedName>
    <definedName name="UFPrn20011106075359">#REF!</definedName>
    <definedName name="uh" hidden="1">{"detail",#N/A,FALSE,"mfg";"summary",#N/A,FALSE,"mfg"}</definedName>
    <definedName name="UHJ" hidden="1">{#N/A,#N/A,FALSE,"Tabl. FB300";#N/A,#N/A,FALSE,"Tabl. FB350";#N/A,#N/A,FALSE,"Tabl. FB400";#N/A,#N/A,FALSE,"Tabl. FB500";#N/A,#N/A,FALSE,"Tabl. FS090"}</definedName>
    <definedName name="uiim" hidden="1">{"Pg1",#N/A,FALSE,"OpExYTDvsBud";"Pg2",#N/A,FALSE,"OpExYTDvsBud"}</definedName>
    <definedName name="uioui" hidden="1">{#N/A,#N/A,FALSE,"COMP"}</definedName>
    <definedName name="uiui" hidden="1">{#N/A,#N/A,FALSE,"Umsatz HM";#N/A,#N/A,FALSE,"ER HM";#N/A,#N/A,FALSE,"EA HM  (2)";#N/A,#N/A,FALSE,"EA HM ";#N/A,#N/A,FALSE,"EA HM  (4)";#N/A,#N/A,FALSE,"EA HM  (3)";#N/A,#N/A,FALSE,"KA HM  (2)";#N/A,#N/A,FALSE,"KA HM";#N/A,#N/A,FALSE,"KA HM  (3)";#N/A,#N/A,FALSE,"KA HM (4)"}</definedName>
    <definedName name="uiyg" hidden="1">{#N/A,#N/A,FALSE,"COMP"}</definedName>
    <definedName name="UL">"               "</definedName>
    <definedName name="und">{0;0;0;0;1;1;0;0;0.6;0.3;2;FALSE;FALSE;FALSE;FALSE;FALSE;#N/A;1;100;#N/A;#N/A;"";""}</definedName>
    <definedName name="underline">"              "</definedName>
    <definedName name="UNIDON">#N/A</definedName>
    <definedName name="Unit" hidden="1">{#N/A,#N/A,FALSE,"Pharm";#N/A,#N/A,FALSE,"WWCM"}</definedName>
    <definedName name="Unit_Risk" hidden="1">{#N/A,#N/A,FALSE,"CDA Plan"}</definedName>
    <definedName name="UNITE">#REF!</definedName>
    <definedName name="Units">#REF!</definedName>
    <definedName name="Unprotect_Sheets">#REF!</definedName>
    <definedName name="unsecured_2">"#REF!"</definedName>
    <definedName name="unsecured_3">"#REF!"</definedName>
    <definedName name="unsecured_4">"#REF!"</definedName>
    <definedName name="unsecured_5">"#REF!"</definedName>
    <definedName name="unsecured_6">"#REF!"</definedName>
    <definedName name="unsecured_7">"#REF!"</definedName>
    <definedName name="Untitled">#REF!</definedName>
    <definedName name="up">#N/A</definedName>
    <definedName name="uq" hidden="1">{"detail",#N/A,FALSE,"mfg";"summary",#N/A,FALSE,"mfg"}</definedName>
    <definedName name="us">{"Client Name or Project Name"}</definedName>
    <definedName name="USBSPSOFTbk">39214.2271990741</definedName>
    <definedName name="usd">43.75</definedName>
    <definedName name="usd_2">"#REF!"</definedName>
    <definedName name="usd_3">"#REF!"</definedName>
    <definedName name="usd_4">"#REF!"</definedName>
    <definedName name="usd_5">"#REF!"</definedName>
    <definedName name="usd_6">"#REF!"</definedName>
    <definedName name="usd_7">"#REF!"</definedName>
    <definedName name="USD_PDP">#REF!</definedName>
    <definedName name="USDHKD">#REF!</definedName>
    <definedName name="USDRMB">#REF!</definedName>
    <definedName name="UseExpUtility">FALSE</definedName>
    <definedName name="ut" hidden="1">{#N/A,"PURCHM",FALSE,"Business Analysis";#N/A,"SPADD",FALSE,"Business Analysis"}</definedName>
    <definedName name="utg" hidden="1">{#N/A,#N/A,FALSE,"Tabl. H1";#N/A,#N/A,FALSE,"Tabl. H2"}</definedName>
    <definedName name="uu" hidden="1">{#N/A,#N/A,FALSE,"gc (2)"}</definedName>
    <definedName name="uu.kk" hidden="1">{#N/A,#N/A,FALSE,"KA CH  (2)"}</definedName>
    <definedName name="üü.l" hidden="1">{#N/A,#N/A,FALSE,"Umsatz EO BP";#N/A,#N/A,FALSE,"Umsatz EO OP";#N/A,#N/A,FALSE,"ER EO BP";#N/A,#N/A,FALSE,"ER EO OP";#N/A,#N/A,FALSE,"EA EO (2)";#N/A,#N/A,FALSE,"EA EO";#N/A,#N/A,FALSE,"EA EO (3)";#N/A,#N/A,FALSE,"EA EO (4)";#N/A,#N/A,FALSE,"KA EO  (2)";#N/A,#N/A,FALSE,"KA EO";#N/A,#N/A,FALSE,"KA EO  (3)";#N/A,#N/A,FALSE,"KA EO (4)"}</definedName>
    <definedName name="UU001UK" hidden="1">{"Geo - Detail Detail",#N/A,FALSE,"Geo View";"Geo - Detail",#N/A,FALSE,"Geo View";"Dept - Detail Detail",#N/A,FALSE,"Dept View";"Dept - Detail",#N/A,FALSE,"Dept View"}</definedName>
    <definedName name="UU001UK_2" hidden="1">{"Geo - Detail Detail",#N/A,FALSE,"Geo View";"Geo - Detail",#N/A,FALSE,"Geo View";"Dept - Detail Detail",#N/A,FALSE,"Dept View";"Dept - Detail",#N/A,FALSE,"Dept View"}</definedName>
    <definedName name="uui" hidden="1">{#N/A,#N/A,FALSE,"CDA Plan"}</definedName>
    <definedName name="UUJNN?JNJ" hidden="1">{#N/A,#N/A,FALSE,"Tabl. G1";#N/A,#N/A,FALSE,"Tabl. G2"}</definedName>
    <definedName name="üüü" hidden="1">{#N/A,#N/A,FALSE,"Umsatz HM";#N/A,#N/A,FALSE,"ER HM";#N/A,#N/A,FALSE,"EA HM  (2)";#N/A,#N/A,FALSE,"EA HM ";#N/A,#N/A,FALSE,"EA HM  (4)";#N/A,#N/A,FALSE,"EA HM  (3)";#N/A,#N/A,FALSE,"KA HM  (2)";#N/A,#N/A,FALSE,"KA HM";#N/A,#N/A,FALSE,"KA HM  (3)";#N/A,#N/A,FALSE,"KA HM (4)"}</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uu_2">"#REF!"</definedName>
    <definedName name="uuuu_3">"#REF!"</definedName>
    <definedName name="uuuu_4">"#REF!"</definedName>
    <definedName name="uuuu_5">"#REF!"</definedName>
    <definedName name="uuuu_6">"#REF!"</definedName>
    <definedName name="uuuu_7">"#REF!"</definedName>
    <definedName name="UUYYYYYYYY" hidden="1">{#N/A,#N/A,FALSE,"Tabl. A1";#N/A,#N/A,FALSE,"Tabl. A1 b";#N/A,#N/A,FALSE,"Tabl. A2";#N/A,#N/A,FALSE,"Tabl. A2-1";#N/A,#N/A,FALSE,"Tabl. A2-2"}</definedName>
    <definedName name="UYB" hidden="1">{#N/A,#N/A,FALSE,"Tabl. A1";#N/A,#N/A,FALSE,"Tabl. A1 b";#N/A,#N/A,FALSE,"Tabl. A2";#N/A,#N/A,FALSE,"Tabl. A2-1";#N/A,#N/A,FALSE,"Tabl. A2-2"}</definedName>
    <definedName name="uyt" hidden="1">{#N/A,"PURADD",FALSE,"Business Analysis";#N/A,"PURSPP",FALSE,"Business Analysis";#N/A,"CTGIND",FALSE,"Business Analysis";#N/A,"PURCHM",FALSE,"Business Analysis";#N/A,"SPADD",FALSE,"Business Analysis";#N/A,"EPOXY",FALSE,"Business Analysis";#N/A,"PURPER",FALSE,"Business Analysis"}</definedName>
    <definedName name="uytr" hidden="1">{#N/A,"PURCHM",FALSE,"Business Analysis";#N/A,"SPADD",FALSE,"Business Analysis"}</definedName>
    <definedName name="uytt">#N/A</definedName>
    <definedName name="uztuz" hidden="1">{#N/A,#N/A,FALSE,"Umsatz OK";#N/A,#N/A,FALSE,"ER OK ";#N/A,#N/A,FALSE,"EA OK (2)";#N/A,#N/A,FALSE,"EA OK";#N/A,#N/A,FALSE,"EA OK (3)";#N/A,#N/A,FALSE,"EA OK (4)";#N/A,#N/A,FALSE,"KA OK  (2)";#N/A,#N/A,FALSE,"KA OK";#N/A,#N/A,FALSE,"KA OK  (3)";#N/A,#N/A,FALSE,"KA OK (4)"}</definedName>
    <definedName name="uzuztt" hidden="1">{#N/A,#N/A,FALSE,"Umsatz HM";#N/A,#N/A,FALSE,"ER HM";#N/A,#N/A,FALSE,"EA HM  (2)";#N/A,#N/A,FALSE,"EA HM ";#N/A,#N/A,FALSE,"EA HM  (4)";#N/A,#N/A,FALSE,"EA HM  (3)";#N/A,#N/A,FALSE,"KA HM  (2)";#N/A,#N/A,FALSE,"KA HM";#N/A,#N/A,FALSE,"KA HM  (3)";#N/A,#N/A,FALSE,"KA HM (4)"}</definedName>
    <definedName name="v" hidden="1">{#N/A,#N/A,FALSE,"Umsatz CH";#N/A,#N/A,FALSE,"ER CH";#N/A,#N/A,FALSE,"EA CH (2) ";#N/A,#N/A,FALSE,"EA CH";#N/A,#N/A,FALSE,"EA CH (3) ";#N/A,#N/A,FALSE,"EA CH (4)";#N/A,#N/A,FALSE,"KA CH";#N/A,#N/A,FALSE,"KA CH  (2)";#N/A,#N/A,FALSE,"KA CH  (3)";#N/A,#N/A,FALSE,"KA CH (4)"}</definedName>
    <definedName name="v.1" hidden="1">{#N/A,#N/A,FALSE,"Umsatz HM";#N/A,#N/A,FALSE,"ER HM";#N/A,#N/A,FALSE,"EA HM  (2)";#N/A,#N/A,FALSE,"EA HM ";#N/A,#N/A,FALSE,"EA HM  (4)";#N/A,#N/A,FALSE,"EA HM  (3)";#N/A,#N/A,FALSE,"KA HM  (2)";#N/A,#N/A,FALSE,"KA HM";#N/A,#N/A,FALSE,"KA HM  (3)";#N/A,#N/A,FALSE,"KA HM (4)"}</definedName>
    <definedName name="v.10"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hidden="1">{#N/A,#N/A,FALSE,"Produkte Erw.";#N/A,#N/A,FALSE,"Produkte Plan";#N/A,#N/A,FALSE,"Leistungen Erw.";#N/A,#N/A,FALSE,"Leistungen Plan";#N/A,#N/A,FALSE,"KA Allg.Kosten (2)";#N/A,#N/A,FALSE,"KA All.Kosten"}</definedName>
    <definedName name="V_1">"#REF!"</definedName>
    <definedName name="V_2">"#REF!"</definedName>
    <definedName name="V_3">"#REF!"</definedName>
    <definedName name="V_4">"#REF!"</definedName>
    <definedName name="V_5">"#REF!"</definedName>
    <definedName name="VAE">#REF!</definedName>
    <definedName name="Vail" hidden="1">{"PVGraph2",#N/A,FALSE,"PV Data"}</definedName>
    <definedName name="val" hidden="1">{#N/A,#N/A,FALSE,"Valuation Assumptions";#N/A,#N/A,FALSE,"Summary";#N/A,#N/A,FALSE,"DCF";#N/A,#N/A,FALSE,"Valuation";#N/A,#N/A,FALSE,"WACC";#N/A,#N/A,FALSE,"UBVH";#N/A,#N/A,FALSE,"Free Cash Flow"}</definedName>
    <definedName name="VAL3Q" hidden="1">{"annual",#N/A,FALSE,"IBMFIN";"bal sheet tracking",#N/A,FALSE,"IBMFIN";"prodrev",#N/A,FALSE,"IBMFIN";"quarterly",#N/A,FALSE,"IBMFIN"}</definedName>
    <definedName name="VALIDATEFLAG">"$Mar05.$#REF!$13"</definedName>
    <definedName name="value">3</definedName>
    <definedName name="values">IF(Loan_Amount*#REF!*#REF!*Loan_Start&gt;0,1,0)</definedName>
    <definedName name="Values_Entered">IF(Loan_Amount*Interest_Rate*Loan_Years*Loan_Start&gt;0,1,0)</definedName>
    <definedName name="valve2_2">"#REF!"</definedName>
    <definedName name="valve2_3">"#REF!"</definedName>
    <definedName name="valve2_4">"#REF!"</definedName>
    <definedName name="valve2_5">"#REF!"</definedName>
    <definedName name="valve2_6">"#REF!"</definedName>
    <definedName name="valve2_7">"#REF!"</definedName>
    <definedName name="valve3_2">"#REF!"</definedName>
    <definedName name="valve3_3">"#REF!"</definedName>
    <definedName name="valve3_4">"#REF!"</definedName>
    <definedName name="valve3_5">"#REF!"</definedName>
    <definedName name="valve3_6">"#REF!"</definedName>
    <definedName name="valve3_7">"#REF!"</definedName>
    <definedName name="ValveCfg_2">"#REF!"</definedName>
    <definedName name="ValveCfg_3">"#REF!"</definedName>
    <definedName name="ValveCfg_4">"#REF!"</definedName>
    <definedName name="ValveCfg_5">"#REF!"</definedName>
    <definedName name="ValveCfg_6">"#REF!"</definedName>
    <definedName name="ValveCfg_7">"#REF!"</definedName>
    <definedName name="ValveCloseoff_2">"#REF!"</definedName>
    <definedName name="ValveCloseoff_3">"#REF!"</definedName>
    <definedName name="ValveCloseoff_4">"#REF!"</definedName>
    <definedName name="ValveCloseoff_5">"#REF!"</definedName>
    <definedName name="ValveCloseoff_6">"#REF!"</definedName>
    <definedName name="ValveCloseoff_7">"#REF!"</definedName>
    <definedName name="ValveCode_2">"#REF!"</definedName>
    <definedName name="ValveCode_3">"#REF!"</definedName>
    <definedName name="ValveCode_4">"#REF!"</definedName>
    <definedName name="ValveCode_5">"#REF!"</definedName>
    <definedName name="ValveCode_6">"#REF!"</definedName>
    <definedName name="ValveCode_7">"#REF!"</definedName>
    <definedName name="ValveConn_2">"#REF!"</definedName>
    <definedName name="ValveConn_3">"#REF!"</definedName>
    <definedName name="ValveConn_4">"#REF!"</definedName>
    <definedName name="ValveConn_5">"#REF!"</definedName>
    <definedName name="ValveConn_6">"#REF!"</definedName>
    <definedName name="ValveConn_7">"#REF!"</definedName>
    <definedName name="ValveCv_2">"#REF!"</definedName>
    <definedName name="ValveCv_3">"#REF!"</definedName>
    <definedName name="ValveCv_4">"#REF!"</definedName>
    <definedName name="ValveCv_5">"#REF!"</definedName>
    <definedName name="ValveCv_6">"#REF!"</definedName>
    <definedName name="ValveCv_7">"#REF!"</definedName>
    <definedName name="ValveFlow_2">"#REF!"</definedName>
    <definedName name="ValveFlow_3">"#REF!"</definedName>
    <definedName name="ValveFlow_4">"#REF!"</definedName>
    <definedName name="ValveFlow_5">"#REF!"</definedName>
    <definedName name="ValveFlow_6">"#REF!"</definedName>
    <definedName name="ValveFlow_7">"#REF!"</definedName>
    <definedName name="ValveFP_2">"#REF!"</definedName>
    <definedName name="ValveFP_3">"#REF!"</definedName>
    <definedName name="ValveFP_4">"#REF!"</definedName>
    <definedName name="ValveFP_5">"#REF!"</definedName>
    <definedName name="ValveFP_6">"#REF!"</definedName>
    <definedName name="ValveFP_7">"#REF!"</definedName>
    <definedName name="ValveQty_2">"#REF!"</definedName>
    <definedName name="ValveQty_3">"#REF!"</definedName>
    <definedName name="ValveQty_4">"#REF!"</definedName>
    <definedName name="ValveQty_5">"#REF!"</definedName>
    <definedName name="ValveQty_6">"#REF!"</definedName>
    <definedName name="ValveQty_7">"#REF!"</definedName>
    <definedName name="valves_2">"#REF!"</definedName>
    <definedName name="valves_3">"#REF!"</definedName>
    <definedName name="valves_4">"#REF!"</definedName>
    <definedName name="valves_5">"#REF!"</definedName>
    <definedName name="valves_6">"#REF!"</definedName>
    <definedName name="valves_7">"#REF!"</definedName>
    <definedName name="ValveSize_2">"#REF!"</definedName>
    <definedName name="ValveSize_3">"#REF!"</definedName>
    <definedName name="ValveSize_4">"#REF!"</definedName>
    <definedName name="ValveSize_5">"#REF!"</definedName>
    <definedName name="ValveSize_6">"#REF!"</definedName>
    <definedName name="ValveSize_7">"#REF!"</definedName>
    <definedName name="VARAMT">#N/A</definedName>
    <definedName name="VAREOH">#N/A</definedName>
    <definedName name="VBA_Target">#REF!</definedName>
    <definedName name="vbhj" hidden="1">{#N/A,"PURCHM",FALSE,"Business Analysis";#N/A,"SPADD",FALSE,"Business Analysis"}</definedName>
    <definedName name="vbnm" hidden="1">{"net assets",#N/A,FALSE,"summary";"asset turnover",#N/A,FALSE,"summary";"orona",#N/A,FALSE,"summary"}</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V"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vcvc" hidden="1">{"Polymers Details",#N/A,FALSE,"Current Yr";"Polymer Details",#N/A,FALSE,"Budget";"Polymer Details",#N/A,FALSE,"Prior Year"}</definedName>
    <definedName name="vcvcv" hidden="1">{#N/A,#N/A,FALSE,"Umsatz EO BP";#N/A,#N/A,FALSE,"Umsatz EO OP";#N/A,#N/A,FALSE,"ER EO BP";#N/A,#N/A,FALSE,"ER EO OP";#N/A,#N/A,FALSE,"EA EO (2)";#N/A,#N/A,FALSE,"EA EO";#N/A,#N/A,FALSE,"EA EO (3)";#N/A,#N/A,FALSE,"EA EO (4)";#N/A,#N/A,FALSE,"KA EO  (2)";#N/A,#N/A,FALSE,"KA EO";#N/A,#N/A,FALSE,"KA EO  (3)";#N/A,#N/A,FALSE,"KA EO (4)"}</definedName>
    <definedName name="vcx" hidden="1">{"YD PACKAGE",#N/A,FALSE,"YTD"}</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d">#N/A</definedName>
    <definedName name="VDNSummary_11">"#REF!"</definedName>
    <definedName name="VDNSummary_15">"#REF!"</definedName>
    <definedName name="VDNSummary_2">"#REF!"</definedName>
    <definedName name="VDNSummary_8">"#REF!"</definedName>
    <definedName name="VDNSummary_9">"#REF!"</definedName>
    <definedName name="VE">IF(#REF!*#REF!*#REF!*#REF!&gt;0,1,0)</definedName>
    <definedName name="VERNON">#N/A</definedName>
    <definedName name="verrouillage">#REF!,#REF!,#REF!,#REF!,#REF!,#REF!</definedName>
    <definedName name="versionno">"1.0"</definedName>
    <definedName name="vf" hidden="1">{#N/A,"PURADD",FALSE,"Business Analysis";#N/A,"PURSPP",FALSE,"Business Analysis";#N/A,"CTGIND",FALSE,"Business Analysis";#N/A,"PURCHM",FALSE,"Business Analysis";#N/A,"SPADD",FALSE,"Business Analysis";#N/A,"EPOXY",FALSE,"Business Analysis";#N/A,"PURPER",FALSE,"Business Analysis"}</definedName>
    <definedName name="vfcd" hidden="1">{"QTD",#N/A,FALSE,"SUM"}</definedName>
    <definedName name="vfg" hidden="1">{#N/A,#N/A,FALSE,"Staffnos &amp; cost"}</definedName>
    <definedName name="vfhy" hidden="1">{"GENERALH2",#N/A,FALSE,"CM"}</definedName>
    <definedName name="vgf" hidden="1">{"GENERALH2",#N/A,FALSE,"CM"}</definedName>
    <definedName name="vhdiuhvc" hidden="1">{#N/A,#N/A,FALSE,"Layout Aktiva";#N/A,#N/A,FALSE,"Layout Passiva";#N/A,#N/A,FALSE,"Layout GuV";#N/A,#N/A,FALSE,"Layout Cash Flow";#N/A,#N/A,FALSE,"Mittelherkunft";#N/A,#N/A,FALSE,"Mittelverwendung";#N/A,#N/A,FALSE,"Finanzbedarsrechnung"}</definedName>
    <definedName name="vimlesh" hidden="1">{#N/A,#N/A,FALSE,"Staffnos &amp; cost"}</definedName>
    <definedName name="vishnu" hidden="1">{#N/A,#N/A,TRUE,"Staffnos &amp; cost"}</definedName>
    <definedName name="VK" hidden="1">{#N/A,#N/A,FALSE,"CDA Plan"}</definedName>
    <definedName name="vn.2" hidden="1">{#N/A,#N/A,FALSE,"KA CH  (2)"}</definedName>
    <definedName name="vn.9" hidden="1">{#N/A,#N/A,FALSE,"Umsatz CH";#N/A,#N/A,FALSE,"ER CH";#N/A,#N/A,FALSE,"EA CH (2) ";#N/A,#N/A,FALSE,"EA CH";#N/A,#N/A,FALSE,"EA CH (3) ";#N/A,#N/A,FALSE,"EA CH (4)";#N/A,#N/A,FALSE,"KA CH";#N/A,#N/A,FALSE,"KA CH  (2)";#N/A,#N/A,FALSE,"KA CH  (3)";#N/A,#N/A,FALSE,"KA CH (4)"}</definedName>
    <definedName name="vnbvnvnbv">#N/A</definedName>
    <definedName name="vnjoiuf" hidden="1">{#N/A,#N/A,FALSE,"1996";#N/A,#N/A,FALSE,"1995";#N/A,#N/A,FALSE,"1994"}</definedName>
    <definedName name="vo" hidden="1">{"consolidated",#N/A,FALSE,"Sheet1";"cms",#N/A,FALSE,"Sheet1";"fse",#N/A,FALSE,"Sheet1"}</definedName>
    <definedName name="voiejvce"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VOLACT95">#N/A</definedName>
    <definedName name="VOLUME">135%</definedName>
    <definedName name="volvo">#REF!</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able2">#REF!</definedName>
    <definedName name="VTC">#N/A</definedName>
    <definedName name="vt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 hidden="1">{#N/A,#N/A,FALSE,"IS US";#N/A,#N/A,FALSE,"BS US";#N/A,#N/A,FALSE,"IS LOCAL";#N/A,#N/A,FALSE,"BS INPUT";#N/A,#N/A,FALSE,"EQUITY";#N/A,#N/A,FALSE,"LOCAL ADJ";#N/A,#N/A,FALSE,"GAAP ADJ"}</definedName>
    <definedName name="vvv.dd"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hidden="1">{#N/A,#N/A,FALSE,"TOWNSHIP"}</definedName>
    <definedName name="vvv.ss_2" hidden="1">{#N/A,#N/A,FALSE,"TOWNSHIP"}</definedName>
    <definedName name="vvv.ss_3" hidden="1">{#N/A,#N/A,FALSE,"TOWNSHIP"}</definedName>
    <definedName name="vvv.ss_4" hidden="1">{#N/A,#N/A,FALSE,"TOWNSHIP"}</definedName>
    <definedName name="vvv.xxx" hidden="1">{#N/A,#N/A,FALSE,"SUMMARY";#N/A,#N/A,FALSE,"SUMMARY"}</definedName>
    <definedName name="vvv.xxx_2" hidden="1">{#N/A,#N/A,FALSE,"SUMMARY";#N/A,#N/A,FALSE,"SUMMARY"}</definedName>
    <definedName name="vvv.xxx_3" hidden="1">{#N/A,#N/A,FALSE,"SUMMARY";#N/A,#N/A,FALSE,"SUMMARY"}</definedName>
    <definedName name="vvv.xxx_4" hidden="1">{#N/A,#N/A,FALSE,"SUMMARY";#N/A,#N/A,FALSE,"SUMMARY"}</definedName>
    <definedName name="vvv_1">"#REF!"</definedName>
    <definedName name="vvv_2">"#REF!"</definedName>
    <definedName name="VVVVVVV" hidden="1">{#N/A,#N/A,FALSE,"CDA Plan"}</definedName>
    <definedName name="vvvvvvvvvv" hidden="1">{"net assets",#N/A,FALSE,"summary";"asset turnover",#N/A,FALSE,"summary";"orona",#N/A,FALSE,"summary"}</definedName>
    <definedName name="vwx" hidden="1">{#N/A,#N/A,FALSE,"Tabl. FB300";#N/A,#N/A,FALSE,"Tabl. FB350";#N/A,#N/A,FALSE,"Tabl. FB400";#N/A,#N/A,FALSE,"Tabl. FB500";#N/A,#N/A,FALSE,"Tabl. FS090"}</definedName>
    <definedName name="vz" hidden="1">{"detail",#N/A,FALSE,"mfg";"summary",#N/A,FALSE,"mfg"}</definedName>
    <definedName name="w" hidden="1">{#N/A,"PURCHM",FALSE,"Business Analysis";#N/A,"SPADD",FALSE,"Business Analysis"}</definedName>
    <definedName name="w.capi">{"'Int.-Cem.unit -SUMMARY'!$A$1:$J$25"}</definedName>
    <definedName name="w.l" hidden="1">{#N/A,#N/A,FALSE,"Umsatz HM";#N/A,#N/A,FALSE,"ER HM";#N/A,#N/A,FALSE,"EA HM  (2)";#N/A,#N/A,FALSE,"EA HM ";#N/A,#N/A,FALSE,"EA HM  (4)";#N/A,#N/A,FALSE,"EA HM  (3)";#N/A,#N/A,FALSE,"KA HM  (2)";#N/A,#N/A,FALSE,"KA HM";#N/A,#N/A,FALSE,"KA HM  (3)";#N/A,#N/A,FALSE,"KA HM (4)"}</definedName>
    <definedName name="w2f" hidden="1">{"QTD_LPO2N2",#N/A,FALSE,"QTD";"QTD_HYCO",#N/A,FALSE,"QTD";"QTD_LOUISIANA",#N/A,FALSE,"QTD";"QTD_GENERALH2",#N/A,FALSE,"QTD";"QTD_PACKAGE",#N/A,FALSE,"QTD";"QTD_PRS",#N/A,FALSE,"QTD";"QTD_OTHER",#N/A,FALSE,"QTD"}</definedName>
    <definedName name="w2r5" hidden="1">{"QTD_OTHER",#N/A,FALSE,"QTD"}</definedName>
    <definedName name="wa" hidden="1">{"apci",#N/A,FALSE,"Chem_CY";"eastman",#N/A,FALSE,"Eastman";"betz",#N/A,FALSE,"Betz";"great lakes",#N/A,FALSE,"Great_Lakes";"hercules",#N/A,FALSE,"Hercules Chem Seg Data";"rohm",#N/A,FALSE,"Rohm";"union carbide",#N/A,FALSE,"Union";"witco",#N/A,FALSE,"Witco"}</definedName>
    <definedName name="WACC">#N/A</definedName>
    <definedName name="wae.2" hidden="1">{#N/A,#N/A,FALSE,"Umsatz CH";#N/A,#N/A,FALSE,"ER CH";#N/A,#N/A,FALSE,"EA CH (2) ";#N/A,#N/A,FALSE,"EA CH";#N/A,#N/A,FALSE,"EA CH (3) ";#N/A,#N/A,FALSE,"EA CH (4)";#N/A,#N/A,FALSE,"KA CH";#N/A,#N/A,FALSE,"KA CH  (2)";#N/A,#N/A,FALSE,"KA CH  (3)";#N/A,#N/A,FALSE,"KA CH (4)"}</definedName>
    <definedName name="wae.er_er." hidden="1">{#N/A,#N/A,FALSE,"Umsatz EO BP";#N/A,#N/A,FALSE,"Umsatz EO OP";#N/A,#N/A,FALSE,"ER EO BP";#N/A,#N/A,FALSE,"ER EO OP";#N/A,#N/A,FALSE,"EA EO (2)";#N/A,#N/A,FALSE,"EA EO";#N/A,#N/A,FALSE,"EA EO (3)";#N/A,#N/A,FALSE,"EA EO (4)";#N/A,#N/A,FALSE,"KA EO  (2)";#N/A,#N/A,FALSE,"KA EO";#N/A,#N/A,FALSE,"KA EO  (3)";#N/A,#N/A,FALSE,"KA EO (4)"}</definedName>
    <definedName name="Waiting">"Picture 1"</definedName>
    <definedName name="was" hidden="1">{#N/A,#N/A,FALSE,"Sales Graph";#N/A,#N/A,FALSE,"BUC Graph";#N/A,#N/A,FALSE,"P&amp;L - YTD"}</definedName>
    <definedName name="washsandr_1">NA()</definedName>
    <definedName name="wat_2">"#REF!"</definedName>
    <definedName name="wat_3">"#REF!"</definedName>
    <definedName name="wat_4">"#REF!"</definedName>
    <definedName name="wat_5">"#REF!"</definedName>
    <definedName name="wat_6">"#REF!"</definedName>
    <definedName name="wat_7">"#REF!"</definedName>
    <definedName name="WATERCHARGES_2">"#REF!"</definedName>
    <definedName name="WATERCHARGES_3">"#REF!"</definedName>
    <definedName name="WATERCHARGES_4">"#REF!"</definedName>
    <definedName name="WATERCHARGES_5">"#REF!"</definedName>
    <definedName name="WATERCHARGES_6">"#REF!"</definedName>
    <definedName name="WATERCHARGES_7">"#REF!"</definedName>
    <definedName name="wb" hidden="1">{#N/A,#N/A,FALSE,"Pharm";#N/A,#N/A,FALSE,"WWCM"}</definedName>
    <definedName name="WBS">#N/A</definedName>
    <definedName name="wc" hidden="1">{#N/A,#N/A,FALSE,"Pharm";#N/A,#N/A,FALSE,"WWCM"}</definedName>
    <definedName name="wcementr_2">NA()</definedName>
    <definedName name="wcementr_3">NA()</definedName>
    <definedName name="wcementr_4">NA()</definedName>
    <definedName name="wcementr_5">NA()</definedName>
    <definedName name="wcementr_6">NA()</definedName>
    <definedName name="wcy" hidden="1">{"YD PRS",#N/A,FALSE,"YTD"}</definedName>
    <definedName name="WDESAX" hidden="1">{#N/A,#N/A,FALSE,"SUMMARY";#N/A,#N/A,FALSE,"SUMMARY"}</definedName>
    <definedName name="WDESAX_1" hidden="1">{#N/A,#N/A,FALSE,"SUMMARY";#N/A,#N/A,FALSE,"SUMMARY"}</definedName>
    <definedName name="WDESAX_2" hidden="1">{#N/A,#N/A,FALSE,"SUMMARY";#N/A,#N/A,FALSE,"SUMMARY"}</definedName>
    <definedName name="WDESAX_3" hidden="1">{#N/A,#N/A,FALSE,"SUMMARY";#N/A,#N/A,FALSE,"SUMMARY"}</definedName>
    <definedName name="WDESAX_4" hidden="1">{#N/A,#N/A,FALSE,"SUMMARY";#N/A,#N/A,FALSE,"SUMMARY"}</definedName>
    <definedName name="wdfgrtyghn" hidden="1">{"'7'!$B$15:$D$32"}</definedName>
    <definedName name="wdsd">NA()</definedName>
    <definedName name="wdsd_1">NA()</definedName>
    <definedName name="wdsd_2">NA()</definedName>
    <definedName name="wdsd_3">NA()</definedName>
    <definedName name="WDSX" hidden="1">{#N/A,#N/A,FALSE,"PGW"}</definedName>
    <definedName name="WDSX_1" hidden="1">{#N/A,#N/A,FALSE,"PGW"}</definedName>
    <definedName name="WDSX_2" hidden="1">{#N/A,#N/A,FALSE,"PGW"}</definedName>
    <definedName name="WDSX_3" hidden="1">{#N/A,#N/A,FALSE,"PGW"}</definedName>
    <definedName name="WDSX_4" hidden="1">{#N/A,#N/A,FALSE,"PGW"}</definedName>
    <definedName name="WDWD" hidden="1">{#N/A,#N/A,FALSE,"PGW"}</definedName>
    <definedName name="wdwedwew">#REF!</definedName>
    <definedName name="we">City&amp;" "&amp;State</definedName>
    <definedName name="we.3" hidden="1">{#N/A,#N/A,FALSE,"PMW Gruppe 99_98";#N/A,#N/A,FALSE,"PMW KG 98_99";#N/A,#N/A,FALSE,"PMW Inc. 99_98";#N/A,#N/A,FALSE,"PMW VTECH 99_98";#N/A,#N/A,FALSE,"PMW Thail. 99_98";#N/A,#N/A,FALSE,"PMW Canada 99_98";#N/A,#N/A,FALSE,"Währungsabw. 99_98"}</definedName>
    <definedName name="we.gb.gg" hidden="1">{#N/A,#N/A,FALSE,"Umsatz HM";#N/A,#N/A,FALSE,"ER HM";#N/A,#N/A,FALSE,"EA HM  (2)";#N/A,#N/A,FALSE,"EA HM ";#N/A,#N/A,FALSE,"EA HM  (4)";#N/A,#N/A,FALSE,"EA HM  (3)";#N/A,#N/A,FALSE,"KA HM  (2)";#N/A,#N/A,FALSE,"KA HM";#N/A,#N/A,FALSE,"KA HM  (3)";#N/A,#N/A,FALSE,"KA HM (4)"}</definedName>
    <definedName name="we3x" hidden="1">{"QTD_LPO2N2",#N/A,FALSE,"QTD"}</definedName>
    <definedName name="weaw" hidden="1">{"YTD",#N/A,FALSE,"SUM"}</definedName>
    <definedName name="weawe" hidden="1">{"QTD_HYCO",#N/A,FALSE,"QTD"}</definedName>
    <definedName name="web" hidden="1">{#N/A,#N/A,FALSE,"Taxblinc";#N/A,#N/A,FALSE,"Rsvsacls"}</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hidden="1">{"QTD_PRS",#N/A,FALSE,"QTD"}</definedName>
    <definedName name="wecsd" hidden="1">{"sales growth",#N/A,FALSE,"summary";"oper income",#N/A,FALSE,"summary";"oros rank",#N/A,FALSE,"summary";"net assets",#N/A,FALSE,"summary";"asset turnover",#N/A,FALSE,"summary";"orona",#N/A,FALSE,"summary"}</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s" hidden="1">{"overview",#N/A,FALSE,"summary";"net assets",#N/A,FALSE,"summary";"asset turnover",#N/A,FALSE,"summary";"orona",#N/A,FALSE,"summary"}</definedName>
    <definedName name="WEDWQDX" hidden="1">{#N/A,#N/A,FALSE,"OSBL"}</definedName>
    <definedName name="WEDWQDX_1" hidden="1">{#N/A,#N/A,FALSE,"OSBL"}</definedName>
    <definedName name="WEDWQDX_2" hidden="1">{#N/A,#N/A,FALSE,"OSBL"}</definedName>
    <definedName name="WEDWQDX_3" hidden="1">{#N/A,#N/A,FALSE,"OSBL"}</definedName>
    <definedName name="WEDWQDX_4" hidden="1">{#N/A,#N/A,FALSE,"OSBL"}</definedName>
    <definedName name="wee" hidden="1">{#N/A,#N/A,FALSE,"KA CH  (2)"}</definedName>
    <definedName name="wef">#N/A</definedName>
    <definedName name="weix" hidden="1">{"Comp_of_Price_Effect",#N/A,FALSE,"QTRDPVAR"}</definedName>
    <definedName name="wen.gb._hm." hidden="1">{#N/A,#N/A,FALSE,"Umsatz HM";#N/A,#N/A,FALSE,"ER HM";#N/A,#N/A,FALSE,"EA HM  (2)";#N/A,#N/A,FALSE,"EA HM ";#N/A,#N/A,FALSE,"EA HM  (4)";#N/A,#N/A,FALSE,"EA HM  (3)";#N/A,#N/A,FALSE,"KA HM  (2)";#N/A,#N/A,FALSE,"KA HM";#N/A,#N/A,FALSE,"KA HM  (3)";#N/A,#N/A,FALSE,"KA HM (4)"}</definedName>
    <definedName name="weop" hidden="1">{"oct_res_comm",#N/A,FALSE,"VarToBud"}</definedName>
    <definedName name="wer" hidden="1">{#N/A,#N/A,FALSE,"Umsatz 99";#N/A,#N/A,FALSE,"ER 99 "}</definedName>
    <definedName name="wer.g" hidden="1">{#N/A,#N/A,FALSE,"KA CH  (2)"}</definedName>
    <definedName name="wer_1" hidden="1">{#N/A,#N/A,FALSE,"Staffnos &amp; cost"}</definedName>
    <definedName name="werfwe" hidden="1">{#N/A,#N/A,FALSE,"COMP"}</definedName>
    <definedName name="werrr" hidden="1">{#N/A,#N/A,FALSE,"Pharm";#N/A,#N/A,FALSE,"WWCM"}</definedName>
    <definedName name="wert" hidden="1">{#N/A,"PURADD",FALSE,"Business Analysis";#N/A,"PURSPP",FALSE,"Business Analysis";#N/A,"CTGIND",FALSE,"Business Analysis";#N/A,"PURCHM",FALSE,"Business Analysis";#N/A,"SPADD",FALSE,"Business Analysis";#N/A,"EPOXY",FALSE,"Business Analysis";#N/A,"PURPER",FALSE,"Business Analysis"}</definedName>
    <definedName name="werwe" hidden="1">{#N/A,#N/A,FALSE,"COMP"}</definedName>
    <definedName name="wetewtwt">#N/A</definedName>
    <definedName name="wetrew">#N/A</definedName>
    <definedName name="wett">#N/A</definedName>
    <definedName name="wew"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e" hidden="1">{"LOUISIANA",#N/A,FALSE,"CM"}</definedName>
    <definedName name="wews" hidden="1">{"pro_view",#N/A,FALSE,"EEFSNAP2";"rep_view",#N/A,FALSE,"EEFSNAP2"}</definedName>
    <definedName name="weza" hidden="1">{"QTD_PACKAGE",#N/A,FALSE,"QTD"}</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hidden="1">{"YD PACKAGE",#N/A,FALSE,"YTD"}</definedName>
    <definedName name="WF">{0;0;0;0;1;1;0;0;0.6;0.3;2;FALSE;FALSE;FALSE;FALSE;FALSE;#N/A;1;100;#N/A;#N/A;"";""}</definedName>
    <definedName name="WG">#N/A</definedName>
    <definedName name="wgbwt" hidden="1">{#N/A,#N/A,FALSE,"ISBL"}</definedName>
    <definedName name="wgbwt_1" hidden="1">{#N/A,#N/A,FALSE,"ISBL"}</definedName>
    <definedName name="wgbwt_2" hidden="1">{#N/A,#N/A,FALSE,"ISBL"}</definedName>
    <definedName name="wgbwt_3" hidden="1">{#N/A,#N/A,FALSE,"ISBL"}</definedName>
    <definedName name="wgbwt_4" hidden="1">{#N/A,#N/A,FALSE,"ISBL"}</definedName>
    <definedName name="whatever" hidden="1">{#N/A,#N/A,FALSE,"Australia";#N/A,#N/A,FALSE,"Austria";#N/A,#N/A,FALSE,"Belgium";#N/A,#N/A,FALSE,"Canada";#N/A,#N/A,FALSE,"France";#N/A,#N/A,FALSE,"Germany";#N/A,#N/A,FALSE,"Hong Kong";#N/A,#N/A,FALSE,"Italy";#N/A,#N/A,FALSE,"Japan";#N/A,#N/A,FALSE,"Korea";#N/A,#N/A,FALSE,"Mexico";#N/A,#N/A,FALSE,"Poland";#N/A,#N/A,FALSE,"Spain";#N/A,#N/A,FALSE,"Switzerland";#N/A,#N/A,FALSE,"UK"}</definedName>
    <definedName name="Width">2</definedName>
    <definedName name="WINFL">#REF!</definedName>
    <definedName name="WinW1105_2">NA()</definedName>
    <definedName name="WinW1105_3">NA()</definedName>
    <definedName name="WinW1105_4">NA()</definedName>
    <definedName name="WinW1105_5">NA()</definedName>
    <definedName name="WinW1105_6">NA()</definedName>
    <definedName name="WinW1105_7">NA()</definedName>
    <definedName name="WinW1575_2">NA()</definedName>
    <definedName name="WinW1575_3">NA()</definedName>
    <definedName name="WinW1575_4">NA()</definedName>
    <definedName name="WinW1575_5">NA()</definedName>
    <definedName name="wip_2">"#REF!"</definedName>
    <definedName name="wip_3">"#REF!"</definedName>
    <definedName name="wip_4">"#REF!"</definedName>
    <definedName name="wip_5">"#REF!"</definedName>
    <definedName name="wip_6">"#REF!"</definedName>
    <definedName name="wip_7">"#REF!"</definedName>
    <definedName name="Wires_CY">#REF!</definedName>
    <definedName name="WLEBNON">#N/A</definedName>
    <definedName name="woi" hidden="1">{"detail",#N/A,FALSE,"mfg";"summary",#N/A,FALSE,"mfg"}</definedName>
    <definedName name="womxien" hidden="1">{"detail",#N/A,FALSE,"mfg";"summary",#N/A,FALSE,"mfg"}</definedName>
    <definedName name="Woods" hidden="1">#REF!</definedName>
    <definedName name="words">#REF!</definedName>
    <definedName name="work" hidden="1">{#N/A,#N/A,FALSE,"CDA Plan"}</definedName>
    <definedName name="work_2">"#REF!"</definedName>
    <definedName name="work_3">"#REF!"</definedName>
    <definedName name="work_4">"#REF!"</definedName>
    <definedName name="work_5">"#REF!"</definedName>
    <definedName name="work_6">"#REF!"</definedName>
    <definedName name="work_7">"#REF!"</definedName>
    <definedName name="working" hidden="1">{#N/A,#N/A,FALSE,"REPORT"}</definedName>
    <definedName name="Working_Capital_Balances">#REF!</definedName>
    <definedName name="workstatus">City&amp;" "&amp;State</definedName>
    <definedName name="wq" hidden="1">{"PRS",#N/A,FALSE,"CM"}</definedName>
    <definedName name="wqa" hidden="1">{#N/A,"PURCHM",FALSE,"Business Analysis";#N/A,"SPADD",FALSE,"Business Analysis"}</definedName>
    <definedName name="wqc" hidden="1">{"ACT",#N/A,FALSE,"Q3Elec P&amp;L fy 99  ";"BUD",#N/A,FALSE,"Q3Elec P&amp;L fy 99  ";"PRIOR",#N/A,FALSE,"Q3Elec P&amp;L fy 99  "}</definedName>
    <definedName name="wqd" hidden="1">{"OTHER",#N/A,FALSE,"CM"}</definedName>
    <definedName name="WQDAW" hidden="1">{#N/A,#N/A,FALSE,"ISBL"}</definedName>
    <definedName name="WQDAW_1" hidden="1">{#N/A,#N/A,FALSE,"ISBL"}</definedName>
    <definedName name="WQDAW_2" hidden="1">{#N/A,#N/A,FALSE,"ISBL"}</definedName>
    <definedName name="WQDAW_3" hidden="1">{#N/A,#N/A,FALSE,"ISBL"}</definedName>
    <definedName name="WQDAW_4" hidden="1">{#N/A,#N/A,FALSE,"ISBL"}</definedName>
    <definedName name="WQDSA" hidden="1">{#N/A,#N/A,FALSE,"PGW"}</definedName>
    <definedName name="WQDSA_1" hidden="1">{#N/A,#N/A,FALSE,"PGW"}</definedName>
    <definedName name="WQDSA_2" hidden="1">{#N/A,#N/A,FALSE,"PGW"}</definedName>
    <definedName name="WQDSA_3" hidden="1">{#N/A,#N/A,FALSE,"PGW"}</definedName>
    <definedName name="WQDSA_4" hidden="1">{#N/A,#N/A,FALSE,"PGW"}</definedName>
    <definedName name="WQDWAX"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hidden="1">{#N/A,#N/A,FALSE,"FREE"}</definedName>
    <definedName name="WQEFAS_1" hidden="1">{#N/A,#N/A,FALSE,"FREE"}</definedName>
    <definedName name="WQEFAS_2" hidden="1">{#N/A,#N/A,FALSE,"FREE"}</definedName>
    <definedName name="WQEFAS_3" hidden="1">{#N/A,#N/A,FALSE,"FREE"}</definedName>
    <definedName name="WQEFAS_4" hidden="1">{#N/A,#N/A,FALSE,"FREE"}</definedName>
    <definedName name="wqeq" hidden="1">{"Commentary",#N/A,FALSE,"May"}</definedName>
    <definedName name="wqer" hidden="1">{"TXO2N2_SLS",#N/A,FALSE,"MTHLYSLES";"TXH2_SLS",#N/A,FALSE,"MTHLYSLES";"LOUIS_SLS",#N/A,FALSE,"MTHLYSLES";"H2_SLS",#N/A,FALSE,"MTHLYSLES";"O2N2_SLS",#N/A,FALSE,"MTHLYSLES";"PACKAGE_SLS",#N/A,FALSE,"MTHLYSLES"}</definedName>
    <definedName name="wqwq" hidden="1">{"BA detail",#N/A,FALSE,"Q3YTD "}</definedName>
    <definedName name="wqwwj" hidden="1">{"'7'!$B$15:$D$32"}</definedName>
    <definedName name="wqx" hidden="1">{"Comp_of_Price_Effect",#N/A,FALSE,"QTRDPVAR"}</definedName>
    <definedName name="wr" hidden="1">{#N/A,#N/A,FALSE,"COMP"}</definedName>
    <definedName name="wr34ar" hidden="1">{"QTD_LOUISIANA",#N/A,FALSE,"QTD"}</definedName>
    <definedName name="wradw" hidden="1">{"YD LAPO2",#N/A,FALSE,"YTD";"YD LPH2",#N/A,FALSE,"YTD";"YD LOUISIANA",#N/A,FALSE,"YTD";"YD GENERALH2",#N/A,FALSE,"YTD";"YD PRS",#N/A,FALSE,"YTD";"YD PACKAGE",#N/A,FALSE,"YTD";"YD OTHER",#N/A,FALSE,"YTD"}</definedName>
    <definedName name="wrc" hidden="1">{#N/A,#N/A,FALSE,"TECH CENTRE RXDU66";#N/A,#N/A,FALSE,"ASU VAAX66";#N/A,#N/A,FALSE,"TCM VAKX66"}</definedName>
    <definedName name="wrd" hidden="1">{#N/A,#N/A,FALSE,"INPUTS";#N/A,#N/A,FALSE,"PROFORMA BSHEET";#N/A,#N/A,FALSE,"COMBINED";#N/A,#N/A,FALSE,"HIGH YIELD";#N/A,#N/A,FALSE,"COMB_GRAPHS"}</definedName>
    <definedName name="wrd.2._.pagers.3" hidden="1">{"Cover",#N/A,FALSE,"Cover";"Summary",#N/A,FALSE,"Summarpage"}</definedName>
    <definedName name="wresult">#REF!</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hidden="1">{#N/A,"PURCHM",FALSE,"Business Analysis";#N/A,"SPADD",FALSE,"Business Analysis"}</definedName>
    <definedName name="WRI" hidden="1">{#N/A,#N/A,FALSE,"COMP"}</definedName>
    <definedName name="wrm.pucspaddq2" hidden="1">{#N/A,"PURCHM",FALSE,"Business Analysis";#N/A,"SPADD",FALSE,"Business Analysis"}</definedName>
    <definedName name="wrn.091598." hidden="1">{#N/A,"1500-1700-45",FALSE,"CF Model";#N/A,"1500-1700-33",FALSE,"CF Model";#N/A,"1500-2300-45",FALSE,"CF Model";#N/A,"1500-2300-33",FALSE,"CF Model";#N/A,"1500-2900-45",FALSE,"CF Model";#N/A,"1500-2900-33",FALSE,"CF Model";#N/A,"1500-3500-45",FALSE,"CF Model";#N/A,"1500-3500-33",FALSE,"CF Model";#N/A,"3000-1700-45",FALSE,"CF Model";#N/A,"3000-1700-33",FALSE,"CF Model";#N/A,"3000-2300-45",FALSE,"CF Model";#N/A,"3000-2300-33",FALSE,"CF Model";#N/A,"3000-2900-45",FALSE,"CF Model";#N/A,"3000-2900-33",FALSE,"CF Model";#N/A,"3000-3500-45",FALSE,"CF Model";#N/A,"3000-3500-33",FALSE,"CF Model";#N/A,"6000-1700-45",FALSE,"CF Model";#N/A,"6000-1700-33",FALSE,"CF Model";#N/A,"6000-2300-45",FALSE,"CF Model";#N/A,"6000-2300-33",FALSE,"CF Model";#N/A,"6000-2900-45",FALSE,"CF Model";#N/A,"6000-2900-33",FALSE,"CF Model";#N/A,"6000-3500-45",FALSE,"CF Model";#N/A,"6000-3500-33",FALSE,"CF Model";#N/A,"9000-1700-45",FALSE,"CF Model";#N/A,"9000-1700-33",FALSE,"CF Model";#N/A,"9000-2300-45",FALSE,"CF Model";#N/A,"9000-2300-33",FALSE,"CF Model";#N/A,"9000-2900-45",FALSE,"CF Model";#N/A,"9000-2900-33",FALSE,"CF Model";#N/A,"9000-3500-45",FALSE,"CF Model";#N/A,"9000-3500-33",FALSE,"CF Model"}</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{#N/A,#N/A,FALSE,"Calc";#N/A,#N/A,FALSE,"Sensitivity";#N/A,#N/A,FALSE,"LT Earn.Dil.";#N/A,#N/A,FALSE,"Dil. AVP"}</definedName>
    <definedName name="wrn.10." hidden="1">{"cover",#N/A,TRUE,"Cover";"toc3",#N/A,TRUE,"TOC";"over",#N/A,TRUE,"Overview";"ts2",#N/A,TRUE,"Det_Trans_Sum";"ei1c",#N/A,TRUE,"Earnings Impact";"ad1",#N/A,TRUE,"accretion dilution";"pfis1",#N/A,TRUE,"Pro Forma Income Statement";"acq1c",#N/A,TRUE,"Acquirer";"tar1c",#N/A,TRUE,"Target"}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2." hidden="1">{"cover",#N/A,TRUE,"Cover";"toc1",#N/A,TRUE,"TOC";"ts1",#N/A,TRUE,"Transaction Summary";"ei1",#N/A,TRUE,"Earnings Impact";"ad1",#N/A,TRUE,"accretion dilution"}</definedName>
    <definedName name="wrn.2._.pagers." hidden="1">{"Cover",#N/A,FALSE,"Cover";"Summary",#N/A,FALSE,"Summarpage"}</definedName>
    <definedName name="wrn.2._.pagers.2" hidden="1">{"Cover",#N/A,FALSE,"Cover";"Summary",#N/A,FALSE,"Summarpage"}</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4."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5PROV." hidden="1">{#N/A,#N/A,FALSE,"Taxblinc";#N/A,#N/A,FALSE,"Rsvsacls"}</definedName>
    <definedName name="wrn.99._.IG._.Contracts." hidden="1">{#N/A,#N/A,FALSE,"COL";#N/A,#N/A,FALSE,"MIN";#N/A,#N/A,FALSE,"STC";#N/A,#N/A,FALSE,"MED";#N/A,#N/A,FALSE,"PHX";#N/A,#N/A,FALSE,"SEA";#N/A,#N/A,FALSE,"OMA";#N/A,#N/A,FALSE,"EGS";#N/A,#N/A,FALSE,"SAL";#N/A,#N/A,FALSE,"DUL";#N/A,#N/A,FALSE,"SFE";#N/A,#N/A,FALSE,"GRE";#N/A,#N/A,FALSE,"KSP";#N/A,#N/A,FALSE,"SKI";#N/A,#N/A,FALSE,"STP";#N/A,#N/A,FALSE,"TUC";#N/A,#N/A,FALSE,"TUC-Hispanic";#N/A,#N/A,FALSE,"SPO";#N/A,#N/A,FALSE,"SLK ";#N/A,#N/A,FALSE,"MTC";#N/A,#N/A,FALSE,"TOTAL IG";#N/A,#N/A,FALSE,"99Print";#N/A,#N/A,FALSE,"IG Perf";#N/A,#N/A,FALSE,"OLY";#N/A,#N/A,FALSE,"DVP";#N/A,#N/A,FALSE,"SC";#N/A,#N/A,FALSE,"POR";#N/A,#N/A,FALSE,"DM";#N/A,#N/A,FALSE,"DEN";#N/A,#N/A,FALSE,"VAN";#N/A,#N/A,FALSE,"BOS";#N/A,#N/A,FALSE,"BDR";#N/A,#N/A,FALSE,"ALB";#N/A,#N/A,FALSE,"PUY";#N/A,#N/A,FALSE,"TAC"}</definedName>
    <definedName name="wrn.99999" hidden="1">{#N/A,#N/A,FALSE,"REPORT"}</definedName>
    <definedName name="wrn.AA." hidden="1">{#N/A,#N/A,FALSE,"PMTABB";#N/A,#N/A,FALSE,"PMTABB"}</definedName>
    <definedName name="wrn.AA._1" hidden="1">{#N/A,#N/A,FALSE,"PMTABB";#N/A,#N/A,FALSE,"PMTABB"}</definedName>
    <definedName name="wrn.AA._2" hidden="1">{#N/A,#N/A,FALSE,"PMTABB";#N/A,#N/A,FALSE,"PMTABB"}</definedName>
    <definedName name="wrn.AA._3" hidden="1">{#N/A,#N/A,FALSE,"PMTABB";#N/A,#N/A,FALSE,"PMTABB"}</definedName>
    <definedName name="wrn.AA._4" hidden="1">{#N/A,#N/A,FALSE,"PMTABB";#N/A,#N/A,FALSE,"PMTABB"}</definedName>
    <definedName name="wrn.aaa" hidden="1">{#N/A,#N/A,FALSE,"Pharm";#N/A,#N/A,FALSE,"WWCM"}</definedName>
    <definedName name="wrn.aaaaaaa" hidden="1">{#N/A,#N/A,FALSE,"Pharm";#N/A,#N/A,FALSE,"WWCM"}</definedName>
    <definedName name="wrn.AASFINANCIALS." hidden="1">{#N/A,#N/A,FALSE,"INCOME STATEMENT";#N/A,#N/A,FALSE,"DETAIL BALANCE SHEET";#N/A,#N/A,FALSE,"Summary Balance Sheet";#N/A,#N/A,FALSE,"EQUITY STATEMENT";#N/A,#N/A,FALSE,"AASINTERNAL"}</definedName>
    <definedName name="wrn.Accounts." hidden="1">{"turnover",#N/A,FALSE;"profits",#N/A,FALSE;"cash",#N/A,FALSE}</definedName>
    <definedName name="wrn.Act._.w._.Comments." hidden="1">{#N/A,#N/A,FALSE,"mar act"}</definedName>
    <definedName name="wrn.adj95." hidden="1">{"adj95mult",#N/A,FALSE,"COMPCO";"adj95est",#N/A,FALSE,"COMPCO"}</definedName>
    <definedName name="wrn.Administrators._.Data." hidden="1">{"Data Input Sheet 1",#N/A,FALSE,"Data Input - Sheet 1";"Plot Data Sheet 1",#N/A,FALSE,"Plot Data - Sheet 1";"Data Input Sheet 2",#N/A,FALSE,"Data Input - Sheet 2";"Plot Data Sheet 2",#N/A,FALSE,"Plot Data - Sheet 2"}</definedName>
    <definedName name="wrn.Aging"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ging._.and._.Trend._.Analysis._3" hidden="1">{#N/A,#N/A,FALSE,"Aging Summary";#N/A,#N/A,FALSE,"Ratio Analysis";#N/A,#N/A,FALSE,"Test 120 Day Accts";#N/A,#N/A,FALSE,"Tickmarks"}</definedName>
    <definedName name="wrn.Aging._.and._.Trend._.Analysis._4" hidden="1">{#N/A,#N/A,FALSE,"Aging Summary";#N/A,#N/A,FALSE,"Ratio Analysis";#N/A,#N/A,FALSE,"Test 120 Day Accts";#N/A,#N/A,FALSE,"Tickmarks"}</definedName>
    <definedName name="wrn.Aging._.and._.Trend._.Analysis.1" hidden="1">{#N/A,#N/A,FALSE,"Aging Summary";#N/A,#N/A,FALSE,"Ratio Analysis";#N/A,#N/A,FALSE,"Test 120 Day Accts";#N/A,#N/A,FALSE,"Tickmarks"}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3._.years." hidden="1">{#N/A,#N/A,FALSE,"Worldwide FY00";#N/A,#N/A,FALSE,"Worldwide FY01";#N/A,#N/A,FALSE,"Worldwide FY02"}</definedName>
    <definedName name="wrn.All._.Countries." hidden="1">{#N/A,#N/A,FALSE,"Australia";#N/A,#N/A,FALSE,"Austria";#N/A,#N/A,FALSE,"Belgium";#N/A,#N/A,FALSE,"Canada";#N/A,#N/A,FALSE,"France";#N/A,#N/A,FALSE,"Germany";#N/A,#N/A,FALSE,"Hong Kong";#N/A,#N/A,FALSE,"Italy";#N/A,#N/A,FALSE,"Japan";#N/A,#N/A,FALSE,"Korea";#N/A,#N/A,FALSE,"Mexico";#N/A,#N/A,FALSE,"Poland";#N/A,#N/A,FALSE,"Spain";#N/A,#N/A,FALSE,"Switzerland";#N/A,#N/A,FALSE,"UK"}</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{#N/A,#N/A,FALSE,"Summary";#N/A,#N/A,FALSE,"Fed.State Prov";#N/A,#N/A,FALSE,"Foreign Prov";#N/A,#N/A,FALSE,"Thera Fgrn";#N/A,#N/A,FALSE,"CCD Fgrn";#N/A,#N/A,FALSE,"Biocine Fgrn";#N/A,#N/A,FALSE,"Vision Fgrn";#N/A,#N/A,FALSE,"Frgn vs Dom"}</definedName>
    <definedName name="wrn.All._.PnLs." hidden="1">{"Sep 98 Segment PnL",#N/A,FALSE,"Full Income Statements";"Sep 99 Segment PnL",#N/A,FALSE,"Full Income Statements";"Sep 98 PnL",#N/A,FALSE,"Full Income Statements";"Sep 99 PnL",#N/A,FALSE,"Full Income Statements"}</definedName>
    <definedName name="wrn.all._.reports." hidden="1">{"qty and inventory value",#N/A,FALSE,"MPartners";"general ledger entries",#N/A,FALSE,"MPartners"}</definedName>
    <definedName name="wrn.All._.sheets."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lides." hidden="1">{#N/A,#N/A,FALSE,"Trends";#N/A,#N/A,FALSE,"As Reported";#N/A,#N/A,FALSE,"(un) Commited"}</definedName>
    <definedName name="wrn.all._.views." hidden="1">{"vol data",#N/A,FALSE,"Datasheet";"vol graph",#N/A,FALSE,"Volume";"price data",#N/A,FALSE,"Datasheet";"price graph",#N/A,FALSE,"Price";"dp data",#N/A,FALSE,"Datasheet";"dp graph",#N/A,FALSE,"DirectProfit"}</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2" hidden="1">{#N/A,#N/A,FALSE,"DCF";#N/A,#N/A,FALSE,"WACC";#N/A,#N/A,FALSE,"Sales_EBIT";#N/A,#N/A,FALSE,"Capex_Depreciation";#N/A,#N/A,FALSE,"WC";#N/A,#N/A,FALSE,"Interest";#N/A,#N/A,FALSE,"Assumptions"}</definedName>
    <definedName name="wrn.ALL_RECOS."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wrn.All_Subscribe_Projects." hidden="1">{#N/A,#N/A,FALSE,"SUBSCRIBE";#N/A,#N/A,FALSE,"BARIMP";#N/A,#N/A,FALSE,"MTCIMP";#N/A,#N/A,FALSE,"MTCIMP1";#N/A,#N/A,FALSE,"RCTIMP";#N/A,#N/A,FALSE,"RCTSTUDY";#N/A,#N/A,FALSE,"SUBS2000";#N/A,#N/A,FALSE,"VUAIMP"}</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DataPages." hidden="1">{#N/A,#N/A,FALSE,"Balance Sheet";#N/A,#N/A,FALSE,"Income Statement";#N/A,#N/A,FALSE,"Changes in Financial Position"}</definedName>
    <definedName name="wrn.AMTNOL." hidden="1">{#N/A,#N/A,TRUE,"91AMTNOL";#N/A,#N/A,TRUE,"92AMTNOL";#N/A,#N/A,TRUE,"93AMTNOL"}</definedName>
    <definedName name="wrn.Annex2." hidden="1">{#N/A,#N/A,FALSE,"Annex-II"}</definedName>
    <definedName name="wrn.annual" hidden="1">{#N/A,#N/A,FALSE,"earnings"}</definedName>
    <definedName name="wrn.Annual._.Income._.Statement." hidden="1">{#N/A,#N/A,FALSE,"earnings"}</definedName>
    <definedName name="wrn.Annual._.revenue._.model." hidden="1">{#N/A,#N/A,FALSE,"earnings"}</definedName>
    <definedName name="wrn.ANZ._.Report." hidden="1">{#N/A,#N/A,FALSE,"Balance Sheets";#N/A,#N/A,FALSE,"96 Conservative";#N/A,#N/A,FALSE,"96 Possible"}</definedName>
    <definedName name="wrn.APCI._.Tab." hidden="1">{#N/A,#N/A,FALSE,"P and L ";#N/A,#N/A,FALSE,"Sales";#N/A,#N/A,FALSE,"Overheads";#N/A,#N/A,FALSE,"R and D";#N/A,#N/A,FALSE,"Operating Income";#N/A,#N/A,FALSE,"Equity Affiliate Income";"M Factors Print",#N/A,FALSE,"Major Factors"}</definedName>
    <definedName name="wrn.APCT." hidden="1">{"Page1",#N/A,FALSE,"APCT";"Page2",#N/A,FALSE,"APCT"}</definedName>
    <definedName name="wrn.APL." hidden="1">{"Page1",#N/A,FALSE,"APL";"Page2",#N/A,FALSE,"APL"}</definedName>
    <definedName name="wrn.ARGON._.PRICING." hidden="1">{"ARGON PRICING",#N/A,FALSE,"ARGON"}</definedName>
    <definedName name="wrn.ARGON._.REVENUE." hidden="1">{"ARGON REVENUE",#N/A,FALSE,"ARGON"}</definedName>
    <definedName name="wrn.ARGON._.VOLUME." hidden="1">{"ARGON VOLUME",#N/A,FALSE,"ARGON"}</definedName>
    <definedName name="wrn.ARGON_VOL" hidden="1">{"ARGON VOLUME",#N/A,FALSE,"ARGON"}</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_.Book." hidden="1">{#N/A,#N/A,FALSE,"Model Assumptions"}</definedName>
    <definedName name="wrn.audit._.adjustments." hidden="1">{#N/A,#N/A,TRUE,"Summary";#N/A,#N/A,TRUE,"Amort.";#N/A,#N/A,TRUE,"93TAX";#N/A,#N/A,TRUE,"93NOLCB";#N/A,#N/A,TRUE,"92TAX";#N/A,#N/A,TRUE,"92NOLCB";#N/A,#N/A,TRUE,"91TAX";#N/A,#N/A,TRUE,"91NOLCB";#N/A,#N/A,TRUE,"92AMTNOL";#N/A,#N/A,TRUE,"921120X"}</definedName>
    <definedName name="wrn.B.SHEET." hidden="1">{#N/A,#N/A,FALSE,"COMICRO";#N/A,#N/A,FALSE,"BALSCH";#N/A,#N/A,FALSE,"GLASS";#N/A,#N/A,FALSE,"DEPRE";#N/A,#N/A,FALSE,"A&amp;MCUR";#N/A,#N/A,FALSE,"AGEANAlysis";#N/A,#N/A,FALSE,"CHECKS";#N/A,#N/A,FALSE,"CHECKS"}</definedName>
    <definedName name="wrn.Back._.Page." hidden="1">{"Back Page",#N/A,FALSE,"Front and Back"}</definedName>
    <definedName name="wrn.backup." hidden="1">{"financials",#N/A,FALSE,"BASIC";"interest",#N/A,FALSE,"BASIC";"leasing and financing",#N/A,FALSE,"BASIC";"returns back up",#N/A,FALSE,"BASIC"}</definedName>
    <definedName name="wrn.Balance._.Sheet._.Set." hidden="1">{"Balance Sheet",#N/A,FALSE,"bsheet";"Assets Schedule",#N/A,FALSE,"bsheet";"Notes",#N/A,FALSE,"bsheet";"Abstract",#N/A,FALSE,"bsheet";"Cash Flow",#N/A,FALSE,"bsheet";"groupings",#N/A,FALSE,"bsheet";"Stocks",#N/A,FALSE,"bsheet";"Trial",#N/A,FALSE,"bsheet"}</definedName>
    <definedName name="wrn.balsheet." hidden="1">{"ICDANDNONDIV",#N/A,FALSE,"BSALLNOW.XLS";"polyandpurperf",#N/A,FALSE,"BSALLNOW.XLS"}</definedName>
    <definedName name="wrn.bank._.model." hidden="1">{"banks",#N/A,FALSE,"BASIC"}</definedName>
    <definedName name="wrn.BB." hidden="1">{"P1",#N/A,TRUE,"P1";"P2",#N/A,TRUE,"P2"}</definedName>
    <definedName name="wrn.betz." hidden="1">{"net assets",#N/A,FALSE,"summary";"asset turnover",#N/A,FALSE,"summary";"orona",#N/A,FALSE,"summary"}</definedName>
    <definedName name="wrn.Bewegungsbilanz." hidden="1">{#N/A,#N/A,FALSE,"Mittelherkunft";#N/A,#N/A,FALSE,"Mittelverwendung"}</definedName>
    <definedName name="wrn.Bilanz." hidden="1">{#N/A,#N/A,FALSE,"Layout Aktiva";#N/A,#N/A,FALSE,"Layout Passiva"}</definedName>
    <definedName name="wrn.blabla." hidden="1">{"eingeklappt",#N/A,FALSE,"TOTAL SHARED";"ausgeklappt",#N/A,FALSE,"TOTAL SHARED"}</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oth." hidden="1">{"detail",#N/A,FALSE,"mfg";"summary",#N/A,FALSE,"mfg"}</definedName>
    <definedName name="wrn.Both.2" hidden="1">{"detail",#N/A,FALSE,"mfg";"summary",#N/A,FALSE,"mfg"}</definedName>
    <definedName name="wrn.both1" hidden="1">{"detail",#N/A,FALSE,"mfg";"summary",#N/A,FALSE,"mfg"}</definedName>
    <definedName name="wrn.both10" hidden="1">{"detail",#N/A,FALSE,"mfg";"summary",#N/A,FALSE,"mfg"}</definedName>
    <definedName name="wrn.both102" hidden="1">{"detail",#N/A,FALSE,"mfg";"summary",#N/A,FALSE,"mfg"}</definedName>
    <definedName name="wrn.both11" hidden="1">{"detail",#N/A,FALSE,"mfg";"summary",#N/A,FALSE,"mfg"}</definedName>
    <definedName name="wrn.both12" hidden="1">{"detail",#N/A,FALSE,"mfg";"summary",#N/A,FALSE,"mfg"}</definedName>
    <definedName name="wrn.Both31" hidden="1">{"detail",#N/A,FALSE,"mfg";"summary",#N/A,FALSE,"mfg"}</definedName>
    <definedName name="wrn.Both32" hidden="1">{"detail",#N/A,FALSE,"mfg";"summary",#N/A,FALSE,"mfg"}</definedName>
    <definedName name="wrn.Both34" hidden="1">{"detail",#N/A,FALSE,"mfg";"summary",#N/A,FALSE,"mfg"}</definedName>
    <definedName name="wrn.Both35" hidden="1">{"detail",#N/A,FALSE,"mfg";"summary",#N/A,FALSE,"mfg"}</definedName>
    <definedName name="wrn.Both42" hidden="1">{"detail",#N/A,FALSE,"mfg";"summary",#N/A,FALSE,"mfg"}</definedName>
    <definedName name="wrn.both71" hidden="1">{"detail",#N/A,FALSE,"mfg";"summary",#N/A,FALSE,"mfg"}</definedName>
    <definedName name="wrn.botha11" hidden="1">{"detail",#N/A,FALSE,"mfg";"summary",#N/A,FALSE,"mfg"}</definedName>
    <definedName name="wrn.botha2" hidden="1">{"detail",#N/A,FALSE,"mfg";"summary",#N/A,FALSE,"mfg"}</definedName>
    <definedName name="wrn.bothab2" hidden="1">{"detail",#N/A,FALSE,"mfg";"summary",#N/A,FALSE,"mfg"}</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RIDGE._.REPORTS." hidden="1">{"ENLARGED",#N/A,FALSE,"Bridge";"CALCULATIONS",#N/A,FALSE,"Bridge"}</definedName>
    <definedName name="wrn.BROCHURE." hidden="1">{"ACT",#N/A,FALSE,"Q3Elec P&amp;L fy 99  ";"BUD",#N/A,FALSE,"Q3Elec P&amp;L fy 99  ";"PRIOR",#N/A,FALSE,"Q3Elec P&amp;L fy 99  "}</definedName>
    <definedName name="wrn.BROCHYTD." hidden="1">{"YTDACT",#N/A,FALSE,"YTD Cum";"YTDBUD",#N/A,FALSE,"YTD Cum";"YTDPRIOR",#N/A,FALSE,"YTD Cum"}</definedName>
    <definedName name="wrn.bsall." hidden="1">{"pg1",#N/A,FALSE,"BSALLNOW.XLS";"pg2",#N/A,FALSE,"BSALLNOW.XLS";"pg3",#N/A,FALSE,"BSALLNOW.XLS"}</definedName>
    <definedName name="wrn.BSPL." hidden="1">{"BS",#N/A,FALSE,"Accounts2002 New";"PL",#N/A,FALSE,"Accounts2002 New"}</definedName>
    <definedName name="wrn.budget." hidden="1">{"assumptions",#N/A,FALSE,"HC-TOTAL";"misc. - standards",#N/A,FALSE,"HC-TOTAL";"misc - total",#N/A,FALSE,"HC-TOTAL";"R&amp;M - STANDARDS",#N/A,FALSE,"HC-TOTAL";"R&amp;M - TOTAL",#N/A,FALSE,"I.T. COSTS";"IT COSTS - STD.",#N/A,FALSE,"HC-TOTAL";"IT COSTS - TOTAL",#N/A,FALSE,"HC-TOTAL";"SPACE COSTS - STD.",#N/A,FALSE,"HC-TOTAL";"SPACE COSTS - TOTAL",#N/A,FALSE,"HC-TOTAL";"RENT",#N/A,FALSE,"HC-TOTAL";"COST SHEET",#N/A,FALSE,"HC-TOTAL";"COMM. LINKS",#N/A,FALSE,"HC-TOTAL";"ADVERTISEMENT",#N/A,FALSE,"HC-TOTAL";"business support head count",#N/A,FALSE,"HC-TOTAL";"capacity",#N/A,FALSE,"HC-TOTAL";"capacity",#N/A,FALSE,"HC-TOTAL"}</definedName>
    <definedName name="wrn.Business._.Case."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CALL._.SUCCESS._.RATE." hidden="1">{#N/A,#N/A,TRUE,"TOTALS";#N/A,#N/A,TRUE,"ROUTES"}</definedName>
    <definedName name="wrn.CapersPlotter." hidden="1">{#N/A,#N/A,FALSE,"DI 2 YEAR MASTER SCHEDULE"}</definedName>
    <definedName name="wrn.Cardiovasculars." hidden="1">{#N/A,#N/A,FALSE,"Card";#N/A,#N/A,FALSE,"Prav";#N/A,#N/A,FALSE,"Irbe";#N/A,#N/A,FALSE,"Plavix";#N/A,#N/A,FALSE,"Capt";#N/A,#N/A,FALSE,"Fosi"}</definedName>
    <definedName name="wrn.CASH." hidden="1">{#N/A,#N/A,FALSE,"ACTUAL";#N/A,#N/A,FALSE,"FORECAST";#N/A,#N/A,FALSE,"PAYMENTS";#N/A,#N/A,FALSE,"SUMMARY";#N/A,#N/A,FALSE,"BALANCE CHECK"}</definedName>
    <definedName name="wrn.Cash._.Flow." hidden="1">{#N/A,#N/A,FALSE,"Layout Cash Flow"}</definedName>
    <definedName name="wrn.CDA._.Plan._.Page." hidden="1">{#N/A,#N/A,FALSE,"CDA Plan"}</definedName>
    <definedName name="wrn.CEA._.FY97." hidden="1">{"CEA FY97",#N/A,FALSE,"C.E.A. FY97"}</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ntral._.Nervous._.System." hidden="1">{#N/A,#N/A,FALSE,"CNS";#N/A,#N/A,FALSE,"Serz";#N/A,#N/A,FALSE,"Ace"}</definedName>
    <definedName name="wrn.CF._.Combined." hidden="1">{#N/A,"3000-1500",FALSE,"CF Combined";#N/A,"3000-2000",FALSE,"CF Combined";#N/A,"3000-2500",FALSE,"CF Combined";#N/A,"6000-1500",FALSE,"CF Combined";#N/A,"6000-2000",FALSE,"CF Combined";#N/A,"6000-2500",FALSE,"CF Combined";#N/A,"9000-1500",FALSE,"CF Combined";#N/A,"9000-2000",FALSE,"CF Combined";#N/A,"9000-2500",FALSE,"CF Combined";#N/A,"12000-1500",FALSE,"CF Combined";#N/A,"12000-2000",FALSE,"CF Combined";#N/A,"12000-2500",FALSE,"CF Combined"}</definedName>
    <definedName name="wrn.Cf._.Improved." hidden="1">{#N/A,#N/A,FALSE,"To Do";#N/A,#N/A,FALSE,"Index";#N/A,#N/A,FALSE,"(1) Summary Provision ";#N/A,#N/A,FALSE,"(2) M-1 Summary";#N/A,#N/A,FALSE,"(3) Deferred Detail";#N/A,#N/A,FALSE,"(9a) Refunds";#N/A,#N/A,FALSE,"(11) State NOL cfwd";#N/A,#N/A,FALSE,"(12) MA ITC";#N/A,#N/A,FALSE,"(12a) GA ITC";#N/A,#N/A,FALSE,"FN Prov";#N/A,#N/A,FALSE,"FN Rate Rec";#N/A,#N/A,FALSE,"Cushion"}</definedName>
    <definedName name="wrn.CFQ." hidden="1">{#N/A,#N/A,TRUE,"Delivery Summary";#N/A,#N/A,TRUE,"DU1 Summary";#N/A,#N/A,TRUE,"DU2 Summary";#N/A,#N/A,TRUE,"DU3 Summary";#N/A,#N/A,TRUE,"DU4 Summary"}</definedName>
    <definedName name="wrn.CFQ._1" hidden="1">{#N/A,#N/A,TRUE,"Delivery Summary";#N/A,#N/A,TRUE,"DU1 Summary";#N/A,#N/A,TRUE,"DU2 Summary";#N/A,#N/A,TRUE,"DU3 Summary";#N/A,#N/A,TRUE,"DU4 Summary"}</definedName>
    <definedName name="wrn.CFQ._2" hidden="1">{#N/A,#N/A,TRUE,"Delivery Summary";#N/A,#N/A,TRUE,"DU1 Summary";#N/A,#N/A,TRUE,"DU2 Summary";#N/A,#N/A,TRUE,"DU3 Summary";#N/A,#N/A,TRUE,"DU4 Summary"}</definedName>
    <definedName name="wrn.CFQ._3" hidden="1">{#N/A,#N/A,TRUE,"Delivery Summary";#N/A,#N/A,TRUE,"DU1 Summary";#N/A,#N/A,TRUE,"DU2 Summary";#N/A,#N/A,TRUE,"DU3 Summary";#N/A,#N/A,TRUE,"DU4 Summary"}</definedName>
    <definedName name="wrn.CFQ._4" hidden="1">{#N/A,#N/A,TRUE,"Delivery Summary";#N/A,#N/A,TRUE,"DU1 Summary";#N/A,#N/A,TRUE,"DU2 Summary";#N/A,#N/A,TRUE,"DU3 Summary";#N/A,#N/A,TRUE,"DU4 Summary"}</definedName>
    <definedName name="wrn.CFQ._5" hidden="1">{#N/A,#N/A,TRUE,"Delivery Summary";#N/A,#N/A,TRUE,"DU1 Summary";#N/A,#N/A,TRUE,"DU2 Summary";#N/A,#N/A,TRUE,"DU3 Summary";#N/A,#N/A,TRUE,"DU4 Summary"}</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hemicals." hidden="1">{"PnL",#N/A,FALSE,"Chem P&amp;L";"Responsibility",#N/A,FALSE,"Chem P&amp;L";"Cost Control",#N/A,FALSE,"Chem P&amp;L"}</definedName>
    <definedName name="wrn.Chiron._.IRS._.Audit." hidden="1">{#N/A,#N/A,FALSE,"Summary";#N/A,#N/A,FALSE,"1991";#N/A,#N/A,FALSE,"91 AMT";#N/A,#N/A,FALSE,"1992";#N/A,#N/A,FALSE,"92 AMT";#N/A,#N/A,FALSE,"1993";#N/A,#N/A,FALSE,"93 AMT"}</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_ALL." hidden="1">{"LAPO2N2",#N/A,FALSE,"CM";"TOTTEXAS",#N/A,FALSE,"CM";"LOUISIANA",#N/A,FALSE,"CM";"GENERALH2",#N/A,FALSE,"CM";"PRS",#N/A,FALSE,"CM";"PACKAGE",#N/A,FALSE,"CM";"OTHER",#N/A,FALSE,"CM"}</definedName>
    <definedName name="wrn.CM_GENERALH2." hidden="1">{"GENERALH2",#N/A,FALSE,"CM"}</definedName>
    <definedName name="wrn.CM_LAPORTE_O2N2." hidden="1">{"LAPO2N2",#N/A,FALSE,"CM"}</definedName>
    <definedName name="wrn.CM_LOUISIANA." hidden="1">{"LOUISIANA",#N/A,FALSE,"CM"}</definedName>
    <definedName name="wrn.CM_OTHER." hidden="1">{"OTHER",#N/A,FALSE,"CM"}</definedName>
    <definedName name="wrn.CM_PACKAGE." hidden="1">{"PACKAGE",#N/A,FALSE,"CM"}</definedName>
    <definedName name="wrn.CM_PRS." hidden="1">{"PRS",#N/A,FALSE,"CM"}</definedName>
    <definedName name="wrn.CM_TEXAS._.HYCO." hidden="1">{"TOTTEXAS",#N/A,FALSE,"CM"}</definedName>
    <definedName name="wrn.CMN_FE_1." hidden="1">{#N/A,#N/A,FALSE,"CMN_FE"}</definedName>
    <definedName name="wrn.CMN_FE_2." hidden="1">{#N/A,#N/A,FALSE,"CMN_FE"}</definedName>
    <definedName name="wrn.CMN_FE_3." hidden="1">{#N/A,#N/A,FALSE,"CMN_FE"}</definedName>
    <definedName name="wrn.CMVsBud." hidden="1">{"Page1",#N/A,FALSE,"OpExJanvsBud";"Page2",#N/A,FALSE,"OpExJanvsBud"}</definedName>
    <definedName name="wrn.CMVsPY." hidden="1">{"Page 1",#N/A,FALSE,"OpExJanVsPY";"Page 2",#N/A,FALSE,"OpExJanVsPY"}</definedName>
    <definedName name="wrn.Columbia._.Scenarios." hidden="1">{#N/A,"3000initial-3000increment",FALSE,"CF Model";#N/A,"3000initial--6000increment",FALSE,"CF Model";#N/A,"6000initial--3000increment",FALSE,"CF Model";#N/A,"6000initial--6000increment",FALSE,"CF Model";#N/A,"9000initial-3000increment",FALSE,"CF Model";#N/A,"9000initial--6000increment",FALSE,"CF Model"}</definedName>
    <definedName name="wrn.COMBINED." hidden="1">{#N/A,#N/A,FALSE,"INPUTS";#N/A,#N/A,FALSE,"PROFORMA BSHEET";#N/A,#N/A,FALSE,"COMBINED";#N/A,#N/A,FALSE,"HIGH YIELD";#N/A,#N/A,FALSE,"COMB_GRAPHS"}</definedName>
    <definedName name="wrn.COMPCO." hidden="1">{"Page1",#N/A,FALSE,"CompCo";"Page2",#N/A,FALSE,"CompCo"}</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Set." hidden="1">{#N/A,#N/A,FALSE,"Full";#N/A,#N/A,FALSE,"Half";#N/A,#N/A,FALSE,"Op Expenses";#N/A,#N/A,FALSE,"Cap Charge";#N/A,#N/A,FALSE,"Cost C";#N/A,#N/A,FALSE,"PP&amp;E";#N/A,#N/A,FALSE,"R&amp;D"}</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utation._.3CD._.Details." hidden="1">{"Computation Tax",#N/A,FALSE,"43B";"Dep I.Tax",#N/A,FALSE,"43B";"I Tax Losses",#N/A,FALSE,"43B";"Annex-III 3CD",#N/A,FALSE,"43B";"Cash Payments",#N/A,FALSE,"43B";"43B",#N/A,FALSE,"43B"}</definedName>
    <definedName name="wrn.Consolidated." hidden="1">{"PnL",#N/A,FALSE,"Total P&amp;L";"Cost Control",#N/A,FALSE,"Total P&amp;L"}</definedName>
    <definedName name="wrn.Consumer._.Medicines." hidden="1">{#N/A,#N/A,FALSE,"OTC";#N/A,#N/A,FALSE,"Ther";#N/A,#N/A,FALSE,"Temp";#N/A,#N/A,FALSE,"Exce";#N/A,#N/A,FALSE,"Buff";#N/A,#N/A,FALSE,"Picot";#N/A,#N/A,FALSE,"Luftal";#N/A,#N/A,FALSE,"Comt"}</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 hidden="1">{"PAGE 1",#N/A,FALSE,"COS";"PAGE 2",#N/A,FALSE,"COS";"PAGE 3",#N/A,FALSE,"COS"}</definedName>
    <definedName name="wrn.COS._.EX._.GEISMAR." hidden="1">{"PAGE 1",#N/A,FALSE,"COS Excluding Geismar";"PAGE 2",#N/A,FALSE,"COS Excluding Geismar";"PAGE 3",#N/A,FALSE,"COS Excluding Geismar"}</definedName>
    <definedName name="wrn.COST._.OF._.SALES." hidden="1">{"COST OF SALES",#N/A,FALSE,"C.O.SALES"}</definedName>
    <definedName name="wrn.Cover." hidden="1">{"coverall",#N/A,FALSE,"Definitions";"cover1",#N/A,FALSE,"Definitions";"cover2",#N/A,FALSE,"Definitions";"cover3",#N/A,FALSE,"Definitions";"cover4",#N/A,FALSE,"Definitions";"cover5",#N/A,FALSE,"Definitions";"blank",#N/A,FALSE,"Definitions"}</definedName>
    <definedName name="wrn.CS_SCH_2." hidden="1">{"SP_MILL_MIX_150PRESS",#N/A,FALSE,"sch._cs";"SP_OTHERS",#N/A,FALSE,"sch._cs";"BP",#N/A,FALSE,"sch._cs";"KILN_SHAFT_SHUTTLE_L/UNL_BELL_CC",#N/A,FALSE,"sch._cs";"CHK_BTK_GPP_L/UNL-BP",#N/A,FALSE,"sch._cs"}</definedName>
    <definedName name="wrn.CS_SCHEDULE." hidden="1">{"RATIO",#N/A,FALSE,"sch._cs";"FB",#N/A,FALSE,"sch._cs";"SP_MILL_MIX_150PRESS",#N/A,FALSE,"sch._cs"}</definedName>
    <definedName name="wrn.CTC._.Report." hidden="1">{"CTCp1",#N/A,FALSE,"CTC Report";"CTCp2",#N/A,FALSE,"CTC Report";"CTCp3",#N/A,FALSE,"CTC Report";"CTCp4",#N/A,FALSE,"CTC Report"}</definedName>
    <definedName name="wrn.Current._.Month._.Current._.Yr._.Only." hidden="1">{"Month Summary",#N/A,FALSE,"Summary";"Total Details",#N/A,FALSE,"Current Yr";"Polymers Details",#N/A,FALSE,"Current Yr";"Performance Details",#N/A,FALSE,"Current Yr";"ICD Details",#N/A,FALSE,"Current Yr"}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ata." hidden="1">{"apci",#N/A,FALSE,"Chem_CY";"eastman",#N/A,FALSE,"Eastman";"betz",#N/A,FALSE,"Betz";"great lakes",#N/A,FALSE,"Great_Lakes";"hercules",#N/A,FALSE,"Hercules Chem Seg Data";"rohm",#N/A,FALSE,"Rohm";"union carbide",#N/A,FALSE,"Union";"witco",#N/A,FALSE,"Witco"}</definedName>
    <definedName name="wrn.Data._.Input." hidden="1">{"Data Input Sheet 1",#N/A,FALSE,"Data Input - Sheet 1";"Data Input Sheet 2",#N/A,FALSE,"Data Input - Sheet 2"}</definedName>
    <definedName name="wrn.datapak." hidden="1">{#N/A,#N/A,FALSE,"Status of Projects";#N/A,#N/A,FALSE,"CEA-TEC";#N/A,#N/A,FALSE,"U-Constr.";#N/A,#N/A,FALSE,"summary";#N/A,#N/A,FALSE,"PPP-3 yrs"}</definedName>
    <definedName name="wrn.dcf." hidden="1">{"mgmt forecast",#N/A,FALSE,"Mgmt Forecast";"dcf table",#N/A,FALSE,"Mgmt Forecast";"sensitivity",#N/A,FALSE,"Mgmt Forecast";"table inputs",#N/A,FALSE,"Mgmt Forecast";"calculations",#N/A,FALSE,"Mgmt Forecast"}</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D" hidden="1">{#N/A,#N/A,TRUE,"Summary";#N/A,"1",TRUE,"Summary";#N/A,"2",TRUE,"Summary";#N/A,"3",TRUE,"Summary";#N/A,"4",TRUE,"Summary";#N/A,"5",TRUE,"Summary";#N/A,"6",TRUE,"Summary";#N/A,"7",TRUE,"Summary";#N/A,"8",TRUE,"Summary";#N/A,"9",TRUE,"Summary";#N/A,"10",TRUE,"Summary";#N/A,"11",TRUE,"Summary"}</definedName>
    <definedName name="wrn.dd." hidden="1">{#N/A,#N/A,FALSE,"Sheet2"}</definedName>
    <definedName name="wrn.Default." hidden="1">{#N/A,#N/A,TRUE,"1-Executive Summary";#N/A,#N/A,TRUE,"2-Operations Summary";#N/A,#N/A,TRUE,"3-Account Detail";#N/A,#N/A,TRUE,"4-DU Detail";#N/A,#N/A,TRUE,"5-Account Metrics";#N/A,#N/A,TRUE,"6-CM Detail";#N/A,#N/A,TRUE,"7-Discounts ";#N/A,#N/A,TRUE,"8-Resource Summary";#N/A,#N/A,TRUE,"9-Account Radar";#N/A,#N/A,TRUE,"10-Skills Expertise"}</definedName>
    <definedName name="wrn.Default._1" hidden="1">{#N/A,#N/A,TRUE,"1-Executive Summary";#N/A,#N/A,TRUE,"2-Operations Summary";#N/A,#N/A,TRUE,"3-Account Detail";#N/A,#N/A,TRUE,"4-DU Detail";#N/A,#N/A,TRUE,"5-Account Metrics";#N/A,#N/A,TRUE,"6-CM Detail";#N/A,#N/A,TRUE,"7-Discounts ";#N/A,#N/A,TRUE,"8-Resource Summary";#N/A,#N/A,TRUE,"9-Account Radar";#N/A,#N/A,TRUE,"10-Skills Expertise"}</definedName>
    <definedName name="wrn.Default._2" hidden="1">{#N/A,#N/A,TRUE,"1-Executive Summary";#N/A,#N/A,TRUE,"2-Operations Summary";#N/A,#N/A,TRUE,"3-Account Detail";#N/A,#N/A,TRUE,"4-DU Detail";#N/A,#N/A,TRUE,"5-Account Metrics";#N/A,#N/A,TRUE,"6-CM Detail";#N/A,#N/A,TRUE,"7-Discounts ";#N/A,#N/A,TRUE,"8-Resource Summary";#N/A,#N/A,TRUE,"9-Account Radar";#N/A,#N/A,TRUE,"10-Skills Expertise"}</definedName>
    <definedName name="wrn.Default._3" hidden="1">{#N/A,#N/A,TRUE,"1-Executive Summary";#N/A,#N/A,TRUE,"2-Operations Summary";#N/A,#N/A,TRUE,"3-Account Detail";#N/A,#N/A,TRUE,"4-DU Detail";#N/A,#N/A,TRUE,"5-Account Metrics";#N/A,#N/A,TRUE,"6-CM Detail";#N/A,#N/A,TRUE,"7-Discounts ";#N/A,#N/A,TRUE,"8-Resource Summary";#N/A,#N/A,TRUE,"9-Account Radar";#N/A,#N/A,TRUE,"10-Skills Expertise"}</definedName>
    <definedName name="wrn.Default._4" hidden="1">{#N/A,#N/A,TRUE,"1-Executive Summary";#N/A,#N/A,TRUE,"2-Operations Summary";#N/A,#N/A,TRUE,"3-Account Detail";#N/A,#N/A,TRUE,"4-DU Detail";#N/A,#N/A,TRUE,"5-Account Metrics";#N/A,#N/A,TRUE,"6-CM Detail";#N/A,#N/A,TRUE,"7-Discounts ";#N/A,#N/A,TRUE,"8-Resource Summary";#N/A,#N/A,TRUE,"9-Account Radar";#N/A,#N/A,TRUE,"10-Skills Expertise"}</definedName>
    <definedName name="wrn.Default._5" hidden="1">{#N/A,#N/A,TRUE,"1-Executive Summary";#N/A,#N/A,TRUE,"2-Operations Summary";#N/A,#N/A,TRUE,"3-Account Detail";#N/A,#N/A,TRUE,"4-DU Detail";#N/A,#N/A,TRUE,"5-Account Metrics";#N/A,#N/A,TRUE,"6-CM Detail";#N/A,#N/A,TRUE,"7-Discounts ";#N/A,#N/A,TRUE,"8-Resource Summary";#N/A,#N/A,TRUE,"9-Account Radar";#N/A,#N/A,TRUE,"10-Skills Expertise"}</definedName>
    <definedName name="wrn.dep." hidden="1">{"dep. full detail",#N/A,FALSE,"annex";"3cd annex",#N/A,FALSE,"annex";"co. dep.",#N/A,FALSE,"annex"}</definedName>
    <definedName name="wrn.Depreciation." hidden="1">{"DE_asfiled",#N/A,TRUE,"Amort.";"IRS_addl",#N/A,TRUE,"Amort."}</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hidden="1">{#N/A,#N/A,FALSE,"Detail"}</definedName>
    <definedName name="wrn.Detail_Projection." hidden="1">{#N/A,#N/A,FALSE,"Detail YTD"}</definedName>
    <definedName name="wrn.Detailed._.P._.and._.L." hidden="1">{"P and L Detail Page 1",#N/A,FALSE,"Data";"P and L Detail Page 2",#N/A,FALSE,"Data"}</definedName>
    <definedName name="wrn.devdeal." hidden="1">{"top",#N/A,TRUE,"Detail";"next",#N/A,TRUE,"Detail";"then",#N/A,TRUE,"Detail";"and",#N/A,TRUE,"Detail";"inaddition",#N/A,TRUE,"Detail";"finally",#N/A,TRUE,"Detail"}</definedName>
    <definedName name="wrn.Divisions._.and._.Company._.Plans." hidden="1">{#N/A,#N/A,FALSE,"Company Plan";#N/A,#N/A,FALSE,"Maintenance Plan";#N/A,#N/A,FALSE,"Product Plan";#N/A,#N/A,FALSE,"Subscribe Plan";#N/A,#N/A,FALSE,"Central Plan"}</definedName>
    <definedName name="wrn.document." hidden="1">{"consolidated",#N/A,FALSE,"Sheet1";"cms",#N/A,FALSE,"Sheet1";"fse",#N/A,FALSE,"Sheet1"}</definedName>
    <definedName name="wrn.Draft." hidden="1">{"Draft",#N/A,FALSE,"Feb-96"}</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Economic._.Value._.Added._.Analysis." hidden="1">{"EVA",#N/A,FALSE,"EVA";"WACC",#N/A,FALSE,"WACC"}</definedName>
    <definedName name="wrn.Edutainment._.Priority._.List." hidden="1">{#N/A,#N/A,FALSE,"DI 2 YEAR MASTER SCHEDULE"}</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mg._.report." hidden="1">{#N/A,#N/A,FALSE,"Emerging Mkt Fund"}</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quipment." hidden="1">{"PnL",#N/A,FALSE,"Equip P&amp;L";"Responsibility",#N/A,FALSE,"Equip P&amp;L";"Cost Control",#N/A,FALSE,"Equip P&amp;L"}</definedName>
    <definedName name="wrn.esl." hidden="1">{"Monthly6Q",#N/A,FALSE,"0614ESL"}</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W." hidden="1">{#N/A,#N/A,FALSE,"EW"}</definedName>
    <definedName name="wrn.EW._1" hidden="1">{#N/A,#N/A,FALSE,"EW"}</definedName>
    <definedName name="wrn.EW._2" hidden="1">{#N/A,#N/A,FALSE,"EW"}</definedName>
    <definedName name="wrn.EW._3" hidden="1">{#N/A,#N/A,FALSE,"EW"}</definedName>
    <definedName name="wrn.EW._4" hidden="1">{#N/A,#N/A,FALSE,"EW"}</definedName>
    <definedName name="wrn.Ex.._.A." hidden="1">{"Page 1",#N/A,TRUE,"Sheet1";"Page 2",#N/A,TRUE,"Sheet1"}</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hibits." hidden="1">{#N/A,#N/A,FALSE,"IS";#N/A,#N/A,FALSE,"BS";#N/A,#N/A,FALSE,"RMA";#N/A,#N/A,FALSE,"INCOME";#N/A,#N/A,FALSE,"DCF";#N/A,#N/A,FALSE,"MARKET"}</definedName>
    <definedName name="wrn.fc." hidden="1">{"letter",#N/A,FALSE,"Letter";"amort",#N/A,FALSE,"Amort"}</definedName>
    <definedName name="wrn.FCB." hidden="1">{"FCB_ALL",#N/A,FALSE,"FCB"}</definedName>
    <definedName name="wrn.fcb2" hidden="1">{"FCB_ALL",#N/A,FALSE,"FCB"}</definedName>
    <definedName name="wrn.File."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 hidden="1">{"Final",#N/A,FALSE,"Feb-96"}</definedName>
    <definedName name="wrn.Financial._.Output." hidden="1">{"P and L",#N/A,FALSE,"Financial Output";"Cashflow",#N/A,FALSE,"Financial Output";"Balance Sheet",#N/A,FALSE,"Financial Output"}</definedName>
    <definedName name="wrn.Financials._.April._.02._.Rs._.00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zbedarfsrechnung." hidden="1">{#N/A,#N/A,FALSE,"Finanzbedarfsrechnung"}</definedName>
    <definedName name="wrn.FIVE._.YEAR._.PROJECTION." hidden="1">{"FIVEYEAR",#N/A,TRUE,"SUMMARY";"FIVEYEAR",#N/A,TRUE,"Ratios";"FIVEYEAR",#N/A,TRUE,"Revenue";"FIVEYEAR",#N/A,TRUE,"DETAIL";"FIVEYEAR",#N/A,TRUE,"Payroll"}</definedName>
    <definedName name="wrn.Five._.Year._.Record." hidden="1">{"Five Year Record",#N/A,FALSE,"Front and Back"}</definedName>
    <definedName name="wrn.fixed." hidden="1">{#N/A,#N/A,FALSE,"Fmoh-Vmoh 2002";#N/A,#N/A,FALSE,"Fmoh-Vmoh 2002"}</definedName>
    <definedName name="wrn.FORM1." hidden="1">{#N/A,#N/A,FALSE,"COMP"}</definedName>
    <definedName name="wrn.FORNDV." hidden="1">{"FORNDV",#N/A,FALSE,"Sheet1"}</definedName>
    <definedName name="wrn.FREE." hidden="1">{#N/A,#N/A,FALSE,"FREE"}</definedName>
    <definedName name="wrn.FREE._1" hidden="1">{#N/A,#N/A,FALSE,"FREE"}</definedName>
    <definedName name="wrn.FREE._2" hidden="1">{#N/A,#N/A,FALSE,"FREE"}</definedName>
    <definedName name="wrn.FREE._3" hidden="1">{#N/A,#N/A,FALSE,"FREE"}</definedName>
    <definedName name="wrn.FREE._4" hidden="1">{#N/A,#N/A,FALSE,"FREE"}</definedName>
    <definedName name="wrn.Front._.Page." hidden="1">{"Front Page",#N/A,FALSE,"Front and Back"}</definedName>
    <definedName name="wrn.FTS." hidden="1">{"FTS",#N/A,FALSE,"E"}</definedName>
    <definedName name="wrn.FTS._.PLANT._.BREAKUP." hidden="1">{"PLANT BREAKUP",#N/A,FALSE,"E"}</definedName>
    <definedName name="wrn.Ful._.Set." hidden="1">{"Bsheet",#N/A,FALSE,"Details";"P&amp;L",#N/A,FALSE,"Details";"Schedule",#N/A,FALSE,"Details";"Details",#N/A,FALSE,"Details"}</definedName>
    <definedName name="wrn.full." hidden="1">{"balance",#N/A,FALSE,"Remedy-model";"calendar quarterly",#N/A,FALSE,"Remedy-model";"cash flow",#N/A,FALSE,"Remedy-model";"fiscal quarter",#N/A,FALSE,"Remedy-model";"income",#N/A,FALSE,"Remedy-model";"percentage",#N/A,FALSE,"Remedy-model"}</definedName>
    <definedName name="wrn.Full._.Financials." hidden="1">{#N/A,#N/A,TRUE,"Financials";#N/A,#N/A,TRUE,"Operating Statistics";#N/A,#N/A,TRUE,"Capex &amp; Depreciation";#N/A,#N/A,TRUE,"Debt"}</definedName>
    <definedName name="wrn.Full._.Report." hidden="1">{#N/A,#N/A,TRUE,"Front";#N/A,#N/A,TRUE,"Simple Letter";#N/A,#N/A,TRUE,"Inside";#N/A,#N/A,TRUE,"Contents";#N/A,#N/A,TRUE,"Basis";#N/A,#N/A,TRUE,"Inclusions";#N/A,#N/A,TRUE,"Exclusions";#N/A,#N/A,TRUE,"Areas";#N/A,#N/A,TRUE,"Summary";#N/A,#N/A,TRUE,"Detail"}</definedName>
    <definedName name="wrn.Full._.Report._1">{#N/A,#N/A,TRUE,"Front";#N/A,#N/A,TRUE,"Simple Letter";#N/A,#N/A,TRUE,"Inside";#N/A,#N/A,TRUE,"Contents";#N/A,#N/A,TRUE,"Basis";#N/A,#N/A,TRUE,"Inclusions";#N/A,#N/A,TRUE,"Exclusions";#N/A,#N/A,TRUE,"Areas";#N/A,#N/A,TRUE,"Summary";#N/A,#N/A,TRUE,"Detail"}</definedName>
    <definedName name="wrn.Full._.Report._2">NA()</definedName>
    <definedName name="wrn.Full._.Report._3">NA()</definedName>
    <definedName name="wrn.Full._.Report._4">NA()</definedName>
    <definedName name="wrn.Full._.Report._5">NA()</definedName>
    <definedName name="wrn.Full._.Report._6">NA()</definedName>
    <definedName name="wrn.full._.reports" hidden="1">{#N/A,#N/A,TRUE,"Front";#N/A,#N/A,TRUE,"Simple Letter";#N/A,#N/A,TRUE,"Inside";#N/A,#N/A,TRUE,"Contents";#N/A,#N/A,TRUE,"Basis";#N/A,#N/A,TRUE,"Inclusions";#N/A,#N/A,TRUE,"Exclusions";#N/A,#N/A,TRUE,"Areas";#N/A,#N/A,TRUE,"Summary";#N/A,#N/A,TRUE,"Detail"}</definedName>
    <definedName name="wrn.Full._.Set." hidden="1">{"Bsheet",#N/A,FALSE,"Details";"P&amp;l",#N/A,FALSE,"Details";"Schedule",#N/A,FALSE,"Details";"Details",#N/A,FALSE,"Details";"Annexue II",#N/A,FALSE,"Details";"Branch Bs",#N/A,FALSE,"Details";"Branch PL",#N/A,FALSE,"Details"}</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fin.1" hidden="1">{#N/A,#N/A,TRUE,"Financials";#N/A,#N/A,TRUE,"Operating Statistics";#N/A,#N/A,TRUE,"Capex &amp; Depreciation";#N/A,#N/A,TRUE,"Debt"}</definedName>
    <definedName name="wrn.FY00._.Summary." hidden="1">{"FY00",#N/A,FALSE,"Sheet1"}</definedName>
    <definedName name="wrn.FY01._.Target." hidden="1">{"FY01 TARGET",#N/A,FALSE,"Sheet1"}</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C.P.L.." hidden="1">{#N/A,#N/A,FALSE,"gc (2)"}</definedName>
    <definedName name="wrn.GB._.99." hidden="1">{#N/A,#N/A,FALSE,"Umsatz 99";#N/A,#N/A,FALSE,"ER 99 "}</definedName>
    <definedName name="wrn.GB._.CH." hidden="1">{#N/A,#N/A,FALSE,"Umsatz CH";#N/A,#N/A,FALSE,"ER CH";#N/A,#N/A,FALSE,"EA CH (2) ";#N/A,#N/A,FALSE,"EA CH";#N/A,#N/A,FALSE,"EA CH (3) ";#N/A,#N/A,FALSE,"EA CH (4)";#N/A,#N/A,FALSE,"KA CH";#N/A,#N/A,FALSE,"KA CH  (2)";#N/A,#N/A,FALSE,"KA CH  (3)";#N/A,#N/A,FALSE,"KA CH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hidden="1">{#N/A,#N/A,FALSE,"Umsatz HM";#N/A,#N/A,FALSE,"ER HM";#N/A,#N/A,FALSE,"EA HM  (2)";#N/A,#N/A,FALSE,"EA HM ";#N/A,#N/A,FALSE,"EA HM  (4)";#N/A,#N/A,FALSE,"EA HM  (3)";#N/A,#N/A,FALSE,"KA HM  (2)";#N/A,#N/A,FALSE,"KA HM";#N/A,#N/A,FALSE,"KA HM  (3)";#N/A,#N/A,FALSE,"KA HM (4)"}</definedName>
    <definedName name="wrn.GB._.OK." hidden="1">{#N/A,#N/A,FALSE,"Umsatz OK";#N/A,#N/A,FALSE,"ER OK ";#N/A,#N/A,FALSE,"EA OK (2)";#N/A,#N/A,FALSE,"EA OK";#N/A,#N/A,FALSE,"EA OK (3)";#N/A,#N/A,FALSE,"EA OK (4)";#N/A,#N/A,FALSE,"KA OK  (2)";#N/A,#N/A,FALSE,"KA OK";#N/A,#N/A,FALSE,"KA OK  (3)";#N/A,#N/A,FALSE,"KA OK (4)"}</definedName>
    <definedName name="wrn.gb._hm."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ographic._.Trends." hidden="1">{"Geographic P1",#N/A,FALSE,"Division &amp; Geog"}</definedName>
    <definedName name="wrn.GRAPHS." hidden="1">{#N/A,#N/A,FALSE,"ACQ_GRAPHS";#N/A,#N/A,FALSE,"T_1 GRAPHS";#N/A,#N/A,FALSE,"T_2 GRAPHS";#N/A,#N/A,FALSE,"COMB_GRAPHS"}</definedName>
    <definedName name="wrn.Guidelines." hidden="1">{"Guidelines",#N/A,FALSE,"Guidelines"}</definedName>
    <definedName name="wrn.GuV." hidden="1">{#N/A,#N/A,FALSE,"Layout GuV"}</definedName>
    <definedName name="wrn.HELIUM._.PRICING." hidden="1">{"HELIUM PRICING",#N/A,FALSE,"HELIUM"}</definedName>
    <definedName name="wrn.HELIUM._.REVENUE." hidden="1">{"HELIUM REVENUE",#N/A,FALSE,"HELIUM"}</definedName>
    <definedName name="wrn.HELIUM._.VOLUME." hidden="1">{"HELIUM VOLUME",#N/A,FALSE,"HELIUM"}</definedName>
    <definedName name="wrn.ICD." hidden="1">{"ICD Details",#N/A,FALSE,"Current Yr";"ICD Details",#N/A,FALSE,"Budget";"ICD Details",#N/A,FALSE,"Prior Year"}</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hidden="1">{"income statement",#N/A,FALSE,"ATLAS-A"}</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fectious._.Diseases." hidden="1">{#N/A,#N/A,FALSE,"Anti";#N/A,#N/A,FALSE,"Cefa";#N/A,#N/A,FALSE,"Ceph";#N/A,#N/A,FALSE,"Cefp";#N/A,#N/A,FALSE,"Cefe";#N/A,#N/A,FALSE,"Pens";#N/A,#N/A,FALSE,"Ampi";#N/A,#N/A,FALSE,"Amox";#N/A,#N/A,FALSE,"Isox";#N/A,#N/A,FALSE,"Aztr";#N/A,#N/A,FALSE,"Videx";#N/A,#N/A,FALSE,"Zerit"}</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po." hidden="1">{"assumptions",#N/A,FALSE,"Scenario 1";"valuation",#N/A,FALSE,"Scenario 1"}</definedName>
    <definedName name="wrn.IPO._.Valuation." hidden="1">{"assumptions",#N/A,FALSE,"Scenario 1";"valuation",#N/A,FALSE,"Scenario 1"}</definedName>
    <definedName name="wrn.ISBL." hidden="1">{#N/A,#N/A,FALSE,"ISBL"}</definedName>
    <definedName name="wrn.ISBL._1" hidden="1">{#N/A,#N/A,FALSE,"ISBL"}</definedName>
    <definedName name="wrn.ISBL._2" hidden="1">{#N/A,#N/A,FALSE,"ISBL"}</definedName>
    <definedName name="wrn.ISBL._3" hidden="1">{#N/A,#N/A,FALSE,"ISBL"}</definedName>
    <definedName name="wrn.ISBL._4" hidden="1">{#N/A,#N/A,FALSE,"ISBL"}</definedName>
    <definedName name="wrn.ISRAEL." hidden="1">{#N/A,#N/A,FALSE,"TECH CENTRE RXDU66";#N/A,#N/A,FALSE,"ASU VAAX66";#N/A,#N/A,FALSE,"TCM VAKX66"}</definedName>
    <definedName name="wrn.JANI._.REBATES." hidden="1">{"TOTAL",#N/A,FALSE,"A";"FISCAL94",#N/A,FALSE,"A";"FISCAL95",#N/A,FALSE,"A";"FISCAL96",#N/A,FALSE,"A";"misc page",#N/A,FALSE,"A"}</definedName>
    <definedName name="wrn.Japan_Capers_Ed._.Pub." hidden="1">{"Japan_Capers_Ed_Pub",#N/A,FALSE,"DI 2 YEAR MASTER SCHEDULE"}</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KESPCal." hidden="1">{#N/A,#N/A,FALSE,"Cipta-All";#N/A,#N/A,FALSE,"Individual"}</definedName>
    <definedName name="wrn.Komplettausdruck." hidden="1">{#N/A,#N/A,FALSE,"Layout Aktiva";#N/A,#N/A,FALSE,"Layout Passiva";#N/A,#N/A,FALSE,"Layout GuV";#N/A,#N/A,FALSE,"Layout Cash Flow";#N/A,#N/A,FALSE,"Mittelherkunft";#N/A,#N/A,FALSE,"Mittelverwendung";#N/A,#N/A,FALSE,"Finanzbedarfsrechnung"}</definedName>
    <definedName name="wrn.LA._.SA." hidden="1">{"PnL",#N/A,FALSE,"Gas LA SA P&amp;L";"Responsibility",#N/A,FALSE,"Gas LA SA P&amp;L";"Cost Control",#N/A,FALSE,"Gas LA SA P&amp;L";"Program List",#N/A,FALSE,"Gas LA SA P&amp;L"}</definedName>
    <definedName name="wrn.LBO._.Summary." hidden="1">{"LBO Summary",#N/A,FALSE,"Summary"}</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vel._.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JD._.Review._.1." hidden="1">{"LJD 1",#N/A,FALSE,"Master";"LJD 2",#N/A,FALSE,"Sheet2";"LJD 3",#N/A,FALSE,"Sheet1";"LJD 4",#N/A,FALSE,"Sheet3";"LJD 5",#N/A,FALSE,"Sheet4"}</definedName>
    <definedName name="wrn.LPNL." hidden="1">{"LPNL1",#N/A,FALSE,"EntitiesWithReclasses";"LPNL2",#N/A,FALSE,"EntitiesWithReclasses";"LPNL3",#N/A,FALSE,"EntitiesWithReclasses"}</definedName>
    <definedName name="wrn.LTCG." hidden="1">{"office ltcg",#N/A,FALSE,"gain01";"IT LTCG",#N/A,FALSE,"gain01"}</definedName>
    <definedName name="wrn.MANAGEMENT._.COSTS." hidden="1">{"MANAGEMENT COSTS",#N/A,FALSE,"C.CENTRE"}</definedName>
    <definedName name="wrn.Market._.Values." hidden="1">{#N/A,#N/A,TRUE,"10 Yr Hold";#N/A,#N/A,TRUE,"7 Yr Hold";#N/A,#N/A,TRUE,"5 Yr Hold";#N/A,#N/A,TRUE,"3 Yr Hold"}</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F._.commentary._.on._.variance." hidden="1">{"Commentary",#N/A,FALSE,"May"}</definedName>
    <definedName name="wrn.MF._.with._.BA._.detail." hidden="1">{"BA detail",#N/A,FALSE,"Q3YTD "}</definedName>
    <definedName name="wrn.Mike._.070298." hidden="1">{#N/A,"Base 3-80-.8",FALSE,"Sheet1";#N/A,"Base 3-80-.95",FALSE,"Sheet1";#N/A,"Base 3-80-1",FALSE,"Sheet1";#N/A,"Greater 3-100-.8",FALSE,"Sheet1";#N/A,"Greater 3-100-.95",FALSE,"Sheet1";#N/A,"Greater 3-100-1",FALSE,"Sheet1";#N/A,"Greatest 3-80-.8",FALSE,"Sheet1";#N/A,"Greatest 3-80-.95",FALSE,"Sheet1";#N/A,"Greatest 3-80-1",FALSE,"Sheet1"}</definedName>
    <definedName name="wrn.model." hidden="1">{"basic",#N/A,FALSE,"BASIC"}</definedName>
    <definedName name="wrn.Model._.Level._.3." hidden="1">{"Income (All hidden)",#N/A,FALSE,"Income";"EPS (All Hidden)",#N/A,FALSE,"EPS";"EPS (All Hidden)",#N/A,FALSE,"CashFlow";"Quarterly (Last, Current and Next)",#N/A,FALSE,"Quarterly"}</definedName>
    <definedName name="wrn.Modelprint."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nthly." hidden="1">{#N/A,#N/A,FALSE,"cover";#N/A,#N/A,FALSE,"Balance Sheet";#N/A,#N/A,FALSE,"Comparatives";#N/A,#N/A,FALSE,"actuals"}</definedName>
    <definedName name="wrn.MTHLYGP." hidden="1">{"TXO2N2_GP",#N/A,FALSE,"MTHLYGP";"TXH2_GP",#N/A,FALSE,"MTHLYGP";"LOUIS_GP",#N/A,FALSE,"MTHLYGP";"H2_GP",#N/A,FALSE,"MTHLYGP";"O2N2_GP",#N/A,FALSE,"MTHLYGP";"PACKAGE_GP",#N/A,FALSE,"MTHLYGP";"OTHER_GP",#N/A,FALSE,"MTHLYGP"}</definedName>
    <definedName name="wrn.MTHLYSLES." hidden="1">{"TXO2N2_SLS",#N/A,FALSE,"MTHLYSLES";"TXH2_SLS",#N/A,FALSE,"MTHLYSLES";"LOUIS_SLS",#N/A,FALSE,"MTHLYSLES";"H2_SLS",#N/A,FALSE,"MTHLYSLES";"O2N2_SLS",#N/A,FALSE,"MTHLYSLES";"PACKAGE_SLS",#N/A,FALSE,"MTHLYSLES"}</definedName>
    <definedName name="wrn.MTHYLYVOL." hidden="1">{"TEXO2N2_VOL",#N/A,FALSE,"MTHLYVOL";"TEXH2_VOL",#N/A,FALSE,"MTHLYVOL";"LOUIS_VOL",#N/A,FALSE,"MTHLYVOL";"H2_VOL",#N/A,FALSE,"MTHLYVOL";"O2N2_VOL",#N/A,FALSE,"MTHLYVOL";"PACKAGE_VOL",#N/A,FALSE,"MTHLYVOL"}</definedName>
    <definedName name="wrn.mus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N.O.L.." hidden="1">{#N/A,#N/A,FALSE,"91NOLCB";#N/A,#N/A,FALSE,"92NOLCB";#N/A,#N/A,FALSE,"93NOLCB"}</definedName>
    <definedName name="wrn.NewRept.xls." hidden="1">{#N/A,#N/A,TRUE,"Sheet1";#N/A,#N/A,TRUE,"Sheet2";#N/A,#N/A,TRUE,"Sheet3";#N/A,#N/A,TRUE,"Sheet4";#N/A,#N/A,TRUE,"Sheet5";#N/A,#N/A,TRUE,"Sheet6";#N/A,#N/A,TRUE,"Sheet7"}</definedName>
    <definedName name="wrn.Nico." hidden="1">{#N/A,#N/A,TRUE,"Cover";#N/A,#N/A,TRUE,"Transaction Summary";#N/A,#N/A,TRUE,"Earnings Impact";#N/A,#N/A,TRUE,"accretion dilution"}</definedName>
    <definedName name="wrn.Non._.Div._.Balance._.Sheet." hidden="1">{#N/A,"NONDV",FALSE,"BSHIST.XLS"}</definedName>
    <definedName name="wrn.North._.America." hidden="1">{"PnL",#N/A,FALSE,"Gas NA P&amp;L";"Responsibility",#N/A,FALSE,"Gas NA P&amp;L";"Cost Control",#N/A,FALSE,"Gas NA P&amp;L";"Program List",#N/A,FALSE,"Gas NA P&amp;L"}</definedName>
    <definedName name="wrn.ntfinance." hidden="1">{"Rate",#N/A,TRUE,"SUMMARY";"Ratios",#N/A,TRUE,"Ratios";"BUDGETREVENUE",#N/A,TRUE,"Revenue";"TOTALS",#N/A,TRUE,"DETAIL"}</definedName>
    <definedName name="wrn.Ocotober." hidden="1">{#N/A,#N/A,TRUE,"95FORSUM.XLS";#N/A,#N/A,TRUE,"95FORSUM.XLS";#N/A,#N/A,TRUE,"95FORSUM.XLS"}</definedName>
    <definedName name="wrn.oct_res_comm." hidden="1">{"oct_res_comm",#N/A,FALSE,"VarToBud"}</definedName>
    <definedName name="wrn.Oncology." hidden="1">{#N/A,#N/A,FALSE,"Onco";#N/A,#N/A,FALSE,"Taxol";#N/A,#N/A,FALSE,"UFT";#N/A,#N/A,FALSE,"Carb"}</definedName>
    <definedName name="wrn.one" hidden="1">{"page1",#N/A,FALSE,"A";"page2",#N/A,FALSE,"A"}</definedName>
    <definedName name="wrn.one." hidden="1">{"page1",#N/A,FALSE,"A";"page2",#N/A,FALSE,"A"}</definedName>
    <definedName name="wrn.One._.Pager._.plus._.Technicals." hidden="1">{#N/A,#N/A,FALSE,"One Pager";#N/A,#N/A,FALSE,"Technical"}</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SBL." hidden="1">{#N/A,#N/A,FALSE,"OSBL"}</definedName>
    <definedName name="wrn.OSBL._1" hidden="1">{#N/A,#N/A,FALSE,"OSBL"}</definedName>
    <definedName name="wrn.OSBL._2" hidden="1">{#N/A,#N/A,FALSE,"OSBL"}</definedName>
    <definedName name="wrn.OSBL._3" hidden="1">{#N/A,#N/A,FALSE,"OSBL"}</definedName>
    <definedName name="wrn.OSBL._4" hidden="1">{#N/A,#N/A,FALSE,"OSBL"}</definedName>
    <definedName name="wrn.OTC._.Market._.Report." hidden="1">{#N/A,#N/A,FALSE,"Sales Graph";#N/A,#N/A,FALSE,"BUC Graph";#N/A,#N/A,FALSE,"P&amp;L - YTD"}</definedName>
    <definedName name="wrn.OTHER._.ADMIN._.COSTS." hidden="1">{"OTHER ADMIN COSTS",#N/A,FALSE,"C.CENTRE"}</definedName>
    <definedName name="wrn.Other._.Pharm." hidden="1">{#N/A,#N/A,FALSE,"Other";#N/A,#N/A,FALSE,"Ace";#N/A,#N/A,FALSE,"Derm"}</definedName>
    <definedName name="wrn.OTHER._.REVENUE." hidden="1">{"OTHER REVENUE",#N/A,FALSE,"OTHERS"}</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 hidden="1">{#N/A,#N/A,FALSE,"1";#N/A,#N/A,FALSE,"2";#N/A,#N/A,FALSE,"16 - 17";#N/A,#N/A,FALSE,"18 - 19";#N/A,#N/A,FALSE,"26";#N/A,#N/A,FALSE,"27";#N/A,#N/A,FALSE,"28"}</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erformance." hidden="1">{"Performance Details",#N/A,FALSE,"Current Yr";"Performance Details",#N/A,FALSE,"Budget";"Performance Details",#N/A,FALSE,"Prior Year"}</definedName>
    <definedName name="wrn.PFDBalance._.Sheet." hidden="1">{#N/A,"PURPER",FALSE,"BSHIST.XLS";#N/A,"PURADD",FALSE,"BSHIST.XLS";#N/A,"PURSPP",FALSE,"BSHIST.XLS";#N/A,"CTGIND",FALSE,"BSHIST.XLS";#N/A,"ANCHOR",FALSE,"BSHIST.XLS";#N/A,"SPADD",FALSE,"BSHIST.XLS"}</definedName>
    <definedName name="wrn.PGW." hidden="1">{#N/A,#N/A,FALSE,"PGW"}</definedName>
    <definedName name="wrn.PGW._1" hidden="1">{#N/A,#N/A,FALSE,"PGW"}</definedName>
    <definedName name="wrn.PGW._2" hidden="1">{#N/A,#N/A,FALSE,"PGW"}</definedName>
    <definedName name="wrn.PGW._3" hidden="1">{#N/A,#N/A,FALSE,"PGW"}</definedName>
    <definedName name="wrn.PGW._4" hidden="1">{#N/A,#N/A,FALSE,"PGW"}</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 hidden="1">{"20 Years",#N/A,FALSE,"P&amp;Ls";"2001",#N/A,FALSE,"P&amp;Ls"}</definedName>
    <definedName name="wrn.PL." hidden="1">{"20 Years",#N/A,FALSE,"P&amp;Ls";"2001",#N/A,FALSE,"P&amp;Ls"}</definedName>
    <definedName name="wrn.PLANNING." hidden="1">{"PLANNING",#N/A,FALSE,"A"}</definedName>
    <definedName name="wrn.Plannng." hidden="1">{#N/A,#N/A,FALSE,"Budegeted vs Actual"}</definedName>
    <definedName name="wrn.PM8._.table." hidden="1">{#N/A,#N/A,FALSE,"PM8 table"}</definedName>
    <definedName name="wrn.PMW._.Gruppe._.00_99." hidden="1">{#N/A,#N/A,FALSE,"PMW Gruppe 00_99";#N/A,#N/A,FALSE,"PMW KG 00_99";#N/A,#N/A,FALSE,"PMW Inc. 00_99";#N/A,#N/A,FALSE,"PMW VTECH 00_99";#N/A,#N/A,FALSE,"PMW Thail. 00_99";#N/A,#N/A,FALSE,"PMW Canada 00_99";#N/A,#N/A,FALSE,"Währungsabw. 00_99"}</definedName>
    <definedName name="wrn.PMW._.Gruppe._.99_98n." hidden="1">{#N/A,#N/A,FALSE,"PMW Gruppe 99_98";#N/A,#N/A,FALSE,"PMW KG 98_99";#N/A,#N/A,FALSE,"PMW Inc. 99_98";#N/A,#N/A,FALSE,"PMW VTECH 99_98";#N/A,#N/A,FALSE,"PMW Thail. 99_98";#N/A,#N/A,FALSE,"PMW Canada 99_98";#N/A,#N/A,FALSE,"Währungsabw. 99_98"}</definedName>
    <definedName name="wrn.Polymers." hidden="1">{"Polymers Details",#N/A,FALSE,"Current Yr";"Polymer Details",#N/A,FALSE,"Budget";"Polymer Details",#N/A,FALSE,"Prior Year"}</definedName>
    <definedName name="wrn.Polymers._.Balance._.Sheet." hidden="1">{#N/A,"POLY",FALSE,"BSHIST.XLS";#N/A,"EMUL",FALSE,"BSHIST.XLS";#N/A,"PVOH",FALSE,"BSHIST.XLS";#N/A,"ACET",FALSE,"BSHIST.XLS"}</definedName>
    <definedName name="wrn.polymwe."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p97schedules." hidden="1">{"plansummary",#N/A,FALSE,"PlanSummary";"sales",#N/A,FALSE,"Sales Rec";"productivity",#N/A,FALSE,"Productivity Rec";"capitalspending",#N/A,FALSE,"Capital Spending"}</definedName>
    <definedName name="wrn.ppp" hidden="1">{#N/A,#N/A,FALSE,"1";#N/A,#N/A,FALSE,"2";#N/A,#N/A,FALSE,"16 - 17";#N/A,#N/A,FALSE,"18 - 19";#N/A,#N/A,FALSE,"26";#N/A,#N/A,FALSE,"27";#N/A,#N/A,FALSE,"28"}</definedName>
    <definedName name="wrn.Presentation."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i." hidden="1">{"BS",#N/A,FALSE,"BS";"BS trend",#N/A,FALSE,"BS";"KPI",#N/A,FALSE,"KPI";"KPI trend",#N/A,FALSE,"KPI";"CF trend",#N/A,FALSE,"CF";"CF",#N/A,FALSE,"CF";"P&amp;LC",#N/A,FALSE,"P&amp;L";"P&amp;LC trend",#N/A,FALSE,"P&amp;L";"traffic",#N/A,FALSE,"Traffic";"P&amp;LR",#N/A,FALSE,"P&amp;L";"P&amp;LR trend",#N/A,FALSE,"P&amp;L";#N/A,#N/A,FALSE,"Variance";"Debtors",#N/A,FALSE,"Deb"}</definedName>
    <definedName name="wrn.Price_Effect." hidden="1">{"Comp_of_Price_Effect",#N/A,FALSE,"QTRDPVAR"}</definedName>
    <definedName name="wrn.prin2._.all." hidden="1">{#N/A,#N/A,FALSE,"Pharm";#N/A,#N/A,FALSE,"WWCM"}</definedName>
    <definedName name="wrn.prin3" hidden="1">{#N/A,#N/A,FALSE,"Pharm";#N/A,#N/A,FALSE,"WWCM"}</definedName>
    <definedName name="wrn.print" hidden="1">{"page1",#N/A,FALSE,"PROFORMA";"page2",#N/A,FALSE,"PROFORMA";"page3",#N/A,FALSE,"PROFORMA";"page4",#N/A,FALSE,"PROFORMA";"page5",#N/A,FALSE,"PROFORMA";"page6",#N/A,FALSE,"PROFORMA";"page7",#N/A,FALSE,"PROFORMA";"page8",#N/A,FALSE,"PROFORMA"}</definedName>
    <definedName name="wrn.PRINT." hidden="1">{"PAGE 1",#N/A,FALSE,"ES-01-XX";"PAGE 2",#N/A,FALSE,"ES-01-XX"}</definedName>
    <definedName name="wrn.PRINT._.ALL." hidden="1">{#N/A,#N/A,FALSE,"Pharm";#N/A,#N/A,FALSE,"WWCM"}</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2" hidden="1">{#N/A,#N/A,FALSE,"Pharm";#N/A,#N/A,FALSE,"WWCM"}</definedName>
    <definedName name="wrn.Print._.All_2" hidden="1">{"Geo - Detail Detail",#N/A,FALSE,"Geo View";"Geo - Detail",#N/A,FALSE,"Geo View";"Dept - Detail Detail",#N/A,FALSE,"Dept View";"Dept - Detail",#N/A,FALSE,"Dept View"}</definedName>
    <definedName name="WRN.PRINT._.ALL1" hidden="1">{"Geo - Detail Detail",#N/A,FALSE,"Geo View";"Geo - Detail",#N/A,FALSE,"Geo View";"Dept - Detail Detail",#N/A,FALSE,"Dept View";"Dept - Detail",#N/A,FALSE,"Dept View"}</definedName>
    <definedName name="wrn.print._.all2" hidden="1">{#N/A,#N/A,FALSE,"Pharm";#N/A,#N/A,FALSE,"WWCM"}</definedName>
    <definedName name="wrn.print._.graphs." hidden="1">{"cap_structure",#N/A,FALSE,"Graph-Mkt Cap";"price",#N/A,FALSE,"Graph-Price";"ebit",#N/A,FALSE,"Graph-EBITDA";"ebitda",#N/A,FALSE,"Graph-EBITDA"}</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raw._.data._.entry." hidden="1">{"inputs raw data",#N/A,TRUE,"INPUT"}</definedName>
    <definedName name="wrn.print._.standalone." hidden="1">{"standalone1",#N/A,FALSE,"DCFBase";"standalone2",#N/A,FALSE,"DCFBase"}</definedName>
    <definedName name="wrn.print._.summary._.sheets." hidden="1">{"summary1",#N/A,TRUE,"Comps";"summary2",#N/A,TRUE,"Comps";"summary3",#N/A,TRUE,"Comps"}</definedName>
    <definedName name="wrn.Print._.the._.lot." hidden="1">{"First Page",#N/A,FALSE,"Surfactants LBO";"Second Page",#N/A,FALSE,"Surfactants LBO"}</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hidden="1">{#N/A,#N/A,FALSE,"Pharm";#N/A,#N/A,FALSE,"WWCM"}</definedName>
    <definedName name="wrn.Print_all." hidden="1">{"APF",#N/A,FALSE,"Bfc98-1";"APG",#N/A,FALSE,"Bfc98-1";"APND",#N/A,FALSE,"Bfc98-1";"APSA",#N/A,FALSE,"Bfc98-1";"lhy",#N/A,FALSE,"Bfc98-1";"PEC",#N/A,FALSE,"Bfc98-1"}</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2" hidden="1">{#N/A,#N/A,FALSE,"Pharm";#N/A,#N/A,FALSE,"WWCM"}</definedName>
    <definedName name="wrn.printac." hidden="1">{#N/A,#N/A,FALSE,"Op-BS";#N/A,#N/A,FALSE,"Assum";#N/A,#N/A,FALSE,"IS";#N/A,#N/A,FALSE,"Syn+Elim";#N/A,#N/A,FALSE,"BSCF";#N/A,#N/A,FALSE,"Blue_IS";#N/A,#N/A,FALSE,"Blue_BSCF";#N/A,#N/A,FALSE,"Ratings"}</definedName>
    <definedName name="wrn.Printall."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REP." hidden="1">{"PRINTREP",#N/A,FALSE,"Sheet1"}</definedName>
    <definedName name="wrn.Priority._.list." hidden="1">{#N/A,#N/A,FALSE,"DI 2 YEAR MASTER SCHEDULE"}</definedName>
    <definedName name="wrn.Prjcted._.Mnthly._.Qtys." hidden="1">{#N/A,#N/A,FALSE,"PRJCTED MNTHLY QTY's"}</definedName>
    <definedName name="wrn.Prjcted._.Qtrly._.Dollars." hidden="1">{#N/A,#N/A,FALSE,"PRJCTED QTRLY $'s"}</definedName>
    <definedName name="wrn.Prjcted._.Qtrly._.Qtys." hidden="1">{#N/A,#N/A,FALSE,"PRJCTED QTRLY QTY's"}</definedName>
    <definedName name="wrn.PRODUCTION._.COSTS." hidden="1">{"PRODUCTION COSTS",#N/A,FALSE,"C.CENTRE"}</definedName>
    <definedName name="wrn.Productivity." hidden="1">{#N/A,#N/A,FALSE,"Productivity"}</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file." hidden="1">{"Profile",#N/A,FALSE,"BXS"}</definedName>
    <definedName name="wrn.PROFIT._.LOSS._.AC." hidden="1">{"PROFIT LOSS AC",#N/A,FALSE,"P&amp;L FY97"}</definedName>
    <definedName name="wrn.Profitability." hidden="1">{#N/A,"Good",TRUE,"Sheet1";#N/A,"Normal",TRUE,"Sheet1";#N/A,"Bad",TRUE,"Sheet1"}</definedName>
    <definedName name="wrn.Proforma." hidden="1">{"icd","icd",FALSE,"PROFORMA.XLS";"poly","poly",FALSE,"PROFORMA.XLS";"purper","purper",FALSE,"PROFORMA.XLS";"tchem","tchem",FALSE,"PROFORMA.XLS"}</definedName>
    <definedName name="wrn.PROFORMA._.CHECK._.BY._.DIVISION." hidden="1">{"PROFORMA CHECK BY DIVISION",#N/A,FALSE,"BSALLNOW.XLS"}</definedName>
    <definedName name="wrn.Project._.Summary." hidden="1">{"Summary",#N/A,FALSE,"MICMULT";"Income Statement",#N/A,FALSE,"MICMULT";"Cash Flows",#N/A,FALSE,"MICMULT"}</definedName>
    <definedName name="wrn.projeng." hidden="1">{"Commits",#N/A,FALSE,"Year"}</definedName>
    <definedName name="wrn.pror" hidden="1">{#N/A,#N/A,FALSE,"Pharm";#N/A,#N/A,FALSE,"WWCM"}</definedName>
    <definedName name="wrn.prt._.all1" hidden="1">{"Geo - Detail Detail",#N/A,FALSE,"Geo View";"Geo - Detail",#N/A,FALSE,"Geo View";"Dept - Detail Detail",#N/A,FALSE,"Dept View";"Dept - Detail",#N/A,FALSE,"Dept View"}</definedName>
    <definedName name="wrn.PUCSPADD." hidden="1">{#N/A,"PURCHM",FALSE,"Business Analysis";#N/A,"SPADD",FALSE,"Business Analysis"}</definedName>
    <definedName name="wrn.PUCSPADD.2" hidden="1">{#N/A,"PURCHM",FALSE,"Business Analysis";#N/A,"SPADD",FALSE,"Business Analysis"}</definedName>
    <definedName name="wrn.pucspadd1" hidden="1">{#N/A,"PURCHM",FALSE,"Business Analysis";#N/A,"SPADD",FALSE,"Business Analysis"}</definedName>
    <definedName name="wrn.pucspadd10" hidden="1">{#N/A,"PURCHM",FALSE,"Business Analysis";#N/A,"SPADD",FALSE,"Business Analysis"}</definedName>
    <definedName name="wrn.pucspadd102" hidden="1">{#N/A,"PURCHM",FALSE,"Business Analysis";#N/A,"SPADD",FALSE,"Business Analysis"}</definedName>
    <definedName name="wrn.pucspadd11" hidden="1">{#N/A,"PURCHM",FALSE,"Business Analysis";#N/A,"SPADD",FALSE,"Business Analysis"}</definedName>
    <definedName name="wrn.pucspadd12" hidden="1">{#N/A,"PURCHM",FALSE,"Business Analysis";#N/A,"SPADD",FALSE,"Business Analysis"}</definedName>
    <definedName name="wrn.pucspadd31" hidden="1">{#N/A,"PURCHM",FALSE,"Business Analysis";#N/A,"SPADD",FALSE,"Business Analysis"}</definedName>
    <definedName name="wrn.Pucspadd34" hidden="1">{#N/A,"PURCHM",FALSE,"Business Analysis";#N/A,"SPADD",FALSE,"Business Analysis"}</definedName>
    <definedName name="wrn.PUCSPADD35" hidden="1">{#N/A,"PURCHM",FALSE,"Business Analysis";#N/A,"SPADD",FALSE,"Business Analysis"}</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purchase._.register." hidden="1">{#N/A,#N/A,TRUE,"RM-June"}</definedName>
    <definedName name="wrn.Pyramid." hidden="1">{#N/A,#N/A,FALSE,"Pyramid"}</definedName>
    <definedName name="wrn.QTD." hidden="1">{"QTD",#N/A,FALSE,"SUM"}</definedName>
    <definedName name="wrn.QTD_ALL." hidden="1">{"QTD_LPO2N2",#N/A,FALSE,"QTD";"QTD_HYCO",#N/A,FALSE,"QTD";"QTD_LOUISIANA",#N/A,FALSE,"QTD";"QTD_GENERALH2",#N/A,FALSE,"QTD";"QTD_PACKAGE",#N/A,FALSE,"QTD";"QTD_PRS",#N/A,FALSE,"QTD";"QTD_OTHER",#N/A,FALSE,"QTD"}</definedName>
    <definedName name="wrn.QTD_GENERAL._.H2." hidden="1">{"QTD_GENERALH2",#N/A,FALSE,"QTD"}</definedName>
    <definedName name="wrn.QTD_HYCO." hidden="1">{"QTD_HYCO",#N/A,FALSE,"QTD"}</definedName>
    <definedName name="wrn.QTD_LOUISIANA." hidden="1">{"QTD_LOUISIANA",#N/A,FALSE,"QTD"}</definedName>
    <definedName name="wrn.QTD_LPTEO2N2." hidden="1">{"QTD_LPO2N2",#N/A,FALSE,"QTD"}</definedName>
    <definedName name="wrn.QTD_OTHER." hidden="1">{"QTD_OTHER",#N/A,FALSE,"QTD"}</definedName>
    <definedName name="wrn.QTD_PACKAGE." hidden="1">{"QTD_PACKAGE",#N/A,FALSE,"QTD"}</definedName>
    <definedName name="wrn.QTD_PRS." hidden="1">{"QTD_PRS",#N/A,FALSE,"QTD"}</definedName>
    <definedName name="wrn.quarterly." hidden="1">{"Calenquart",#N/A,FALSE,"Remedy-model";"fiscquarter",#N/A,FALSE,"Remedy-model"}</definedName>
    <definedName name="wrn.Quarterly._.Income._.Statement." hidden="1">{#N/A,#N/A,FALSE,"earnings"}</definedName>
    <definedName name="wrn.Quarterly._.revenue._.model." hidden="1">{#N/A,#N/A,FALSE,"earnings"}</definedName>
    <definedName name="wrn.Range._.Values." hidden="1">{"page1",#N/A,FALSE,"Range Value - Incl Reclasses";"page2",#N/A,FALSE,"Range Value - Incl Reclasses";"page3",#N/A,FALSE,"Range Value - Incl Reclasses"}</definedName>
    <definedName name="wrn.Receivables."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o." hidden="1">{#N/A,#N/A,FALSE,"Sheet2"}</definedName>
    <definedName name="wrn.RECS." hidden="1">{#N/A,#N/A,FALSE,"5000";#N/A,#N/A,FALSE,"5010";#N/A,#N/A,FALSE,"5150";#N/A,#N/A,FALSE,"5500";#N/A,#N/A,FALSE,"5530";#N/A,#N/A,FALSE,"6200";#N/A,#N/A,FALSE,"6202";#N/A,#N/A,FALSE,"6220";#N/A,#N/A,FALSE,"6222";#N/A,#N/A,FALSE,"6240";#N/A,#N/A,FALSE,"6242";#N/A,#N/A,FALSE,"7200";#N/A,#N/A,FALSE,"7210";#N/A,#N/A,FALSE,"7220";#N/A,#N/A,FALSE,"7230";#N/A,#N/A,FALSE,"7290";#N/A,#N/A,FALSE,"7310";#N/A,#N/A,FALSE,"7330";#N/A,#N/A,FALSE,"73403";#N/A,#N/A,FALSE,"73503";#N/A,#N/A,FALSE,"7360";#N/A,#N/A,FALSE,"7370";#N/A,#N/A,FALSE,"7380";#N/A,#N/A,FALSE,"7390";#N/A,#N/A,FALSE,"7570";#N/A,#N/A,FALSE,"9250";#N/A,#N/A,FALSE,"IDZDF"}</definedName>
    <definedName name="wrn.redo." hidden="1">{"overview",#N/A,FALSE,"summary";"net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port." hidden="1">{"ReportDetail",#N/A,FALSE,"Months";"ReportSummary",#N/A,FALSE,"Avg Qtr CC - Final";"ReportDetail",#N/A,FALSE,"Avg Qtr CC - Final"}</definedName>
    <definedName name="wrn.Report._.2." hidden="1">{#N/A,#N/A,TRUE,"Pivots-Employee";#N/A,"Scenerio2",TRUE,"Assumptions Summary"}</definedName>
    <definedName name="wrn.Report1." hidden="1">{#N/A,#N/A,FALSE,"IS";#N/A,#N/A,FALSE,"BS";#N/A,#N/A,FALSE,"CF";#N/A,#N/A,FALSE,"CE";#N/A,#N/A,FALSE,"Depr";#N/A,#N/A,FALSE,"APAL"}</definedName>
    <definedName name="wrn.reports." hidden="1">{#N/A,"1000-1000-6000",FALSE,"Sheet1";#N/A,"2000-2000-12000",FALSE,"Sheet1";#N/A,"3000-3000-18000",FALSE,"Sheet1";#N/A,"4000-4000-24000",FALSE,"Sheet1";#N/A,"5000-5000-30000",FALSE,"Sheet1";#N/A,"1000-3000-30000",FALSE,"Sheet1"}</definedName>
    <definedName name="wrn.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t." hidden="1">{#N/A,#N/A,FALSE,"Annex-XV";#N/A,#N/A,FALSE,"Annex-XVI";#N/A,#N/A,FALSE,"Annex-XVII (i)";#N/A,#N/A,FALSE,"Annex-XVII (ii)"}</definedName>
    <definedName name="wrn.RESULTS." hidden="1">{#N/A,#N/A,FALSE,"HMF";#N/A,#N/A,FALSE,"FACIL";#N/A,#N/A,FALSE,"HMFINANCE";#N/A,#N/A,FALSE,"HMEUROPE";#N/A,#N/A,FALSE,"HHAB CONSO";#N/A,#N/A,FALSE,"PAB";#N/A,#N/A,FALSE,"MMC";#N/A,#N/A,FALSE,"THAI";#N/A,#N/A,FALSE,"SINPA";#N/A,#N/A,FALSE,"POLAND"}</definedName>
    <definedName name="wrn.revised._.CEC._.slides." hidden="1">{#N/A,#N/A,FALSE,"Revised cover";#N/A,#N/A,FALSE,"Trends";"main view",#N/A,FALSE,"As Reported";#N/A,#N/A,FALSE,"delegations";#N/A,#N/A,FALSE,"(un) Commited"}</definedName>
    <definedName name="wrn.ROUGH." hidden="1">{#N/A,#N/A,FALSE,"ROA";#N/A,#N/A,FALSE,"ROI";#N/A,#N/A,FALSE,"EBIT";#N/A,#N/A,FALSE,"MULT X"}</definedName>
    <definedName name="wrn.rptexhibits." hidden="1">{#N/A,#N/A,FALSE,"BS";#N/A,#N/A,FALSE,"IS";#N/A,#N/A,FALSE,"RMA ";#N/A,#N/A,FALSE,"ADJ IS";#N/A,#N/A,FALSE,"DCF"}</definedName>
    <definedName name="wrn.RRDOMINION._.TOWER."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 hidden="1">{"sales",#N/A,FALSE,"Sales";"sales existing",#N/A,FALSE,"Sales";"sales rd1",#N/A,FALSE,"Sales";"sales rd2",#N/A,FALSE,"Sales"}</definedName>
    <definedName name="wrn.Scenario._.Summary." hidden="1">{#N/A,#N/A,TRUE,"Summary";#N/A,"1",TRUE,"Summary";#N/A,"2",TRUE,"Summary";#N/A,"3",TRUE,"Summary";#N/A,"4",TRUE,"Summary";#N/A,"5",TRUE,"Summary";#N/A,"6",TRUE,"Summary";#N/A,"7",TRUE,"Summary";#N/A,"8",TRUE,"Summary";#N/A,"9",TRUE,"Summary";#N/A,"10",TRUE,"Summary";#N/A,"11",TRUE,"Summary"}</definedName>
    <definedName name="wrn.scenariosummary" hidden="1">{#N/A,#N/A,TRUE,"Summary";#N/A,"1",TRUE,"Summary";#N/A,"2",TRUE,"Summary";#N/A,"3",TRUE,"Summary";#N/A,"4",TRUE,"Summary";#N/A,"5",TRUE,"Summary";#N/A,"6",TRUE,"Summary";#N/A,"7",TRUE,"Summary";#N/A,"8",TRUE,"Summary";#N/A,"9",TRUE,"Summary";#N/A,"10",TRUE,"Summary";#N/A,"11",TRUE,"Summary"}</definedName>
    <definedName name="wrn.Schedules." hidden="1">{"S 1 2",#N/A,FALSE,"Accounts2002 New";"S 3 4",#N/A,FALSE,"Accounts2002 New";"S 6 7 8",#N/A,FALSE,"Accounts2002 New";"S 9 10 11 12 13",#N/A,FALSE,"Accounts2002 New";"S 14 15 16 17",#N/A,FALSE,"Accounts2002 New";"S 18 19",#N/A,FALSE,"Accounts2002 New"}</definedName>
    <definedName name="wrn.SCM_Report_Controlling." hidden="1">{"SCM_Detail",#N/A,FALSE,"SCM";"SCM_Top",#N/A,FALSE,"SCM"}</definedName>
    <definedName name="wrn.SKSCS1." hidden="1">{#N/A,#N/A,FALSE,"Antony Financials";#N/A,#N/A,FALSE,"Cowboy Financials";#N/A,#N/A,FALSE,"Combined";#N/A,#N/A,FALSE,"Valuematrix";#N/A,#N/A,FALSE,"DCFAntony";#N/A,#N/A,FALSE,"DCFCowboy";#N/A,#N/A,FALSE,"DCFCombined"}</definedName>
    <definedName name="wrn.Sonstige." hidden="1">{#N/A,#N/A,FALSE,"Produkte Erw.";#N/A,#N/A,FALSE,"Produkte Plan";#N/A,#N/A,FALSE,"Leistungen Erw.";#N/A,#N/A,FALSE,"Leistungen Plan";#N/A,#N/A,FALSE,"KA Allg.Kosten (2)";#N/A,#N/A,FALSE,"KA All.Kosten"}</definedName>
    <definedName name="wrn.SPEC._.GAS._.CYLS." hidden="1">{"SPEC GAS CYLS",#N/A,FALSE,"SPEC GAS"}</definedName>
    <definedName name="wrn.Staff._.cost1998." hidden="1">{#N/A,#N/A,TRUE,"Staffnos &amp; cost"}</definedName>
    <definedName name="wrn.Staff._.cost1998._1" hidden="1">{#N/A,#N/A,TRUE,"Staffnos &amp; cost"}</definedName>
    <definedName name="wrn.Staff._.cost1998.a" hidden="1">{#N/A,#N/A,TRUE,"Staffnos &amp; cost"}</definedName>
    <definedName name="wrn.Staffcost." hidden="1">{#N/A,#N/A,FALSE,"Staffnos &amp; cost"}</definedName>
    <definedName name="wrn.Staffcost._1" hidden="1">{#N/A,#N/A,FALSE,"Staffnos &amp; cost"}</definedName>
    <definedName name="wrn.staffcost.12545" hidden="1">{#N/A,#N/A,FALSE,"Staffnos &amp; cost"}</definedName>
    <definedName name="wrn.STAND_ALONE_BOTH." hidden="1">{"FCB_ALL",#N/A,FALSE,"FCB";"GREY_ALL",#N/A,FALSE,"GREY"}</definedName>
    <definedName name="wrn.Standard." hidden="1">{#N/A,#N/A,FALSE,"IS US";#N/A,#N/A,FALSE,"BS US";#N/A,#N/A,FALSE,"IS LOCAL";#N/A,#N/A,FALSE,"BS INPUT";#N/A,#N/A,FALSE,"EQUITY";#N/A,#N/A,FALSE,"LOCAL ADJ";#N/A,#N/A,FALSE,"GAAP ADJ"}</definedName>
    <definedName name="wrn.Standing._.data." hidden="1">{#N/A,#N/A,FALSE,"Standing data"}</definedName>
    <definedName name="wrn.Statements." hidden="1">{"Co1statements",#N/A,FALSE,"Cmpy1";"Co2statement",#N/A,FALSE,"Cmpy2";"co1pm",#N/A,FALSE,"Co1PM";"co2PM",#N/A,FALSE,"Co2PM";"value",#N/A,FALSE,"value";"opco",#N/A,FALSE,"NewSparkle";"adjusts",#N/A,FALSE,"Adjustments"}</definedName>
    <definedName name="wrn.statments" hidden="1">{"Co1statements",#N/A,FALSE,"Cmpy1";"Co2statement",#N/A,FALSE,"Cmpy2";"co1pm",#N/A,FALSE,"Co1PM";"co2PM",#N/A,FALSE,"Co2PM";"value",#N/A,FALSE,"value";"opco",#N/A,FALSE,"NewSparkle";"adjusts",#N/A,FALSE,"Adjustments"}</definedName>
    <definedName name="wrn.status." hidden="1">{#N/A,#N/A,TRUE,"Summary - 1";#N/A,#N/A,TRUE,"Summary - 2";#N/A,#N/A,TRUE,"Group Analysis";#N/A,#N/A,TRUE,"FM Analysis";#N/A,#N/A,TRUE,"T&amp;M-Onsite";#N/A,#N/A,TRUE,"FP-Onsite";#N/A,#N/A,TRUE,"NB-Onsite";#N/A,#N/A,TRUE,"T&amp;M-Offshore";#N/A,#N/A,TRUE,"FP-Offshore";#N/A,#N/A,TRUE,"Appendix-A";#N/A,#N/A,TRUE,"Appendix-B"}</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{"financials",#N/A,FALSE,"BASIC"}</definedName>
    <definedName name="wrn.SUMMARY._1" hidden="1">{#N/A,#N/A,FALSE,"SUMMARY";#N/A,#N/A,FALSE,"SUMMARY"}</definedName>
    <definedName name="wrn.SUMMARY._2" hidden="1">{#N/A,#N/A,FALSE,"SUMMARY";#N/A,#N/A,FALSE,"SUMMARY"}</definedName>
    <definedName name="wrn.SUMMARY._3" hidden="1">{#N/A,#N/A,FALSE,"SUMMARY";#N/A,#N/A,FALSE,"SUMMARY"}</definedName>
    <definedName name="wrn.SUMMARY._4" hidden="1">{#N/A,#N/A,FALSE,"SUMMARY";#N/A,#N/A,FALSE,"SUMMARY"}</definedName>
    <definedName name="wrn.SummaryPgs." hidden="1">{#N/A,#N/A,FALSE,"CreditStat";#N/A,#N/A,FALSE,"SPbrkup";#N/A,#N/A,FALSE,"MerSPsyn";#N/A,#N/A,FALSE,"MerSPwKCsyn";#N/A,#N/A,FALSE,"MerSPwKCsyn (2)";#N/A,#N/A,FALSE,"CreditStat (2)"}</definedName>
    <definedName name="wrn.Tableaux._.A." hidden="1">{#N/A,#N/A,FALSE,"Tabl. A1";#N/A,#N/A,FALSE,"Tabl. A1 b";#N/A,#N/A,FALSE,"Tabl. A2";#N/A,#N/A,FALSE,"Tabl. A2-1";#N/A,#N/A,FALSE,"Tabl. A2-2"}</definedName>
    <definedName name="wrn.Tableaux._.D." hidden="1">{#N/A,#N/A,FALSE,"Tabl. D1";#N/A,#N/A,FALSE,"Tabl. D1 b";#N/A,#N/A,FALSE,"Tabl. D2";#N/A,#N/A,FALSE,"Tabl. D2 b";#N/A,#N/A,FALSE,"Tabl. D3";#N/A,#N/A,FALSE,"Tabl. D4";#N/A,#N/A,FALSE,"Tabl. D5"}</definedName>
    <definedName name="wrn.Tableaux._.F." hidden="1">{#N/A,#N/A,FALSE,"Tabl. FB300";#N/A,#N/A,FALSE,"Tabl. FB350";#N/A,#N/A,FALSE,"Tabl. FB400";#N/A,#N/A,FALSE,"Tabl. FB500";#N/A,#N/A,FALSE,"Tabl. FS090"}</definedName>
    <definedName name="wrn.Tableaux._.G." hidden="1">{#N/A,#N/A,FALSE,"Tabl. G1";#N/A,#N/A,FALSE,"Tabl. G2"}</definedName>
    <definedName name="wrn.Tableaux._.H." hidden="1">{#N/A,#N/A,FALSE,"Tabl. H1";#N/A,#N/A,FALSE,"Tabl. H2"}</definedName>
    <definedName name="wrn.Target._.Summary." hidden="1">{"SUMMARY",#N/A,FALSE,"Sheet1"}</definedName>
    <definedName name="wrn.test." hidden="1">{"test2",#N/A,TRUE,"Prices"}</definedName>
    <definedName name="wrn.Tier._.I." hidden="1">{#N/A,#N/A,FALSE,"Part ABC"}</definedName>
    <definedName name="wrn.TMPL._.SALES." hidden="1">{#N/A,#N/A,TRUE,"Sheet1"}</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hidden="1">{"SUMMARY",#N/A,TRUE,"Summary";"FULLSEAS",#N/A,TRUE,"Full &amp; Seas Emp";"TEMPS",#N/A,TRUE,"Temps";"CONTRACTORS",#N/A,TRUE,"Contractors";"CAPEXA",#N/A,TRUE,"Capital Expenditures";"CAPEXB",#N/A,TRUE,"Capital Expenditures"}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hidden="1">{#N/A,"TCHEM",FALSE,"BSHIST.XLS"}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Market._.Report." hidden="1">{#N/A,#N/A,FALSE,"Sales Graph";#N/A,#N/A,FALSE,"BUC Graph";#N/A,#N/A,FALSE,"P&amp;L - YTD"}</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WNSHIP." hidden="1">{#N/A,#N/A,FALSE,"TOWNSHIP"}</definedName>
    <definedName name="wrn.TOWNSHIP._1" hidden="1">{#N/A,#N/A,FALSE,"TOWNSHIP"}</definedName>
    <definedName name="wrn.TOWNSHIP._2" hidden="1">{#N/A,#N/A,FALSE,"TOWNSHIP"}</definedName>
    <definedName name="wrn.TOWNSHIP._3" hidden="1">{#N/A,#N/A,FALSE,"TOWNSHIP"}</definedName>
    <definedName name="wrn.TOWNSHIP._4" hidden="1">{#N/A,#N/A,FALSE,"TOWNSHIP"}</definedName>
    <definedName name="wrn.TRANSPORT._.COSTS." hidden="1">{"TRANSPORT COSTS",#N/A,FALSE,"C.CENTRE"}</definedName>
    <definedName name="wrn.Trial._.Balance." hidden="1">{#N/A,#N/A,TRUE,"constb"}</definedName>
    <definedName name="wrn.Tweety." hidden="1">{#N/A,#N/A,FALSE,"A&amp;E";#N/A,#N/A,FALSE,"HighTop";#N/A,#N/A,FALSE,"JG";#N/A,#N/A,FALSE,"RI";#N/A,#N/A,FALSE,"woHT";#N/A,#N/A,FALSE,"woHT&amp;JG"}</definedName>
    <definedName name="wrn.Typhoon." hidden="1">{"Agg Output",#N/A,FALSE,"Operational Drivers Output";"NW Output",#N/A,FALSE,"Operational Drivers Output";"South Output",#N/A,FALSE,"Operational Drivers Output";"Central Output",#N/A,FALSE,"Operational Drivers Output"}</definedName>
    <definedName name="wrn.upstairs." hidden="1">{"histincome",#N/A,FALSE,"hyfins";"closing balance",#N/A,FALSE,"hyfins"}</definedName>
    <definedName name="wrn.VALUATION." hidden="1">{#N/A,#N/A,FALSE,"Valuation Assumptions";#N/A,#N/A,FALSE,"Summary";#N/A,#N/A,FALSE,"DCF";#N/A,#N/A,FALSE,"Valuation";#N/A,#N/A,FALSE,"WACC";#N/A,#N/A,FALSE,"UBVH";#N/A,#N/A,FALSE,"Free Cash Flow"}</definedName>
    <definedName name="wrn.Valuation._.Summaries." hidden="1">{#N/A,#N/A,FALSE,"Cover Sheet";#N/A,#N/A,FALSE,"Financial Assumptions";#N/A,#N/A,FALSE,"DCFOverviewPower";#N/A,#N/A,FALSE,"DCFOverviewGas";#N/A,#N/A,FALSE,"DCFOverviewWater";#N/A,#N/A,FALSE,"DCFOverviewVersorgung"}</definedName>
    <definedName name="wrn.Variance." hidden="1">{"Act_vs_Budget",#N/A,FALSE,"QTRDPVAR";"Act_vs_Prior_Year",#N/A,FALSE,"QTRDPVAR"}</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Warranty._.Reserves." hidden="1">{"provision",#N/A,FALSE;"reserve analysis",#N/A,FALSE}</definedName>
    <definedName name="wrn.WORKPAPERS."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X140." hidden="1">{"page1",#N/A,FALSE,"X140withReclasses";"page2",#N/A,FALSE,"X140withReclasses";"page3",#N/A,FALSE,"X140withReclasses"}</definedName>
    <definedName name="wrn.xrates." hidden="1">{#N/A,#N/A,FALSE,"1996";#N/A,#N/A,FALSE,"1995";#N/A,#N/A,FALSE,"1994"}</definedName>
    <definedName name="wrn.XXX." hidden="1">{#N/A,#N/A,TRUE,"NII";#N/A,#N/A,TRUE,"NII";#N/A,#N/A,TRUE,"NII";#N/A,#N/A,TRUE,"NII";#N/A,#N/A,TRUE,"NII"}</definedName>
    <definedName name="wrn.Year._.to._.date._.overzicht." hidden="1">{"mndview",#N/A,TRUE,"Total 95";"vakview",#N/A,TRUE,"Total 95";#N/A,#N/A,TRUE,"Graphs"}</definedName>
    <definedName name="wrn.YTD." hidden="1">{"YTD",#N/A,FALSE,"SUM"}</definedName>
    <definedName name="wrn.YTD._.PACKAGE." hidden="1">{"YD PACKAGE",#N/A,FALSE,"YTD"}</definedName>
    <definedName name="wrn.YTD._.PRS." hidden="1">{"YD PRS",#N/A,FALSE,"YTD"}</definedName>
    <definedName name="wrn.YTD_ALL." hidden="1">{"YD LAPO2",#N/A,FALSE,"YTD";"YD LPH2",#N/A,FALSE,"YTD";"YD LOUISIANA",#N/A,FALSE,"YTD";"YD GENERALH2",#N/A,FALSE,"YTD";"YD PRS",#N/A,FALSE,"YTD";"YD PACKAGE",#N/A,FALSE,"YTD";"YD OTHER",#N/A,FALSE,"YTD"}</definedName>
    <definedName name="wrn.YTD_GENERALH2." hidden="1">{"YD GENERALH2",#N/A,FALSE,"YTD"}</definedName>
    <definedName name="wrn.YTD_LAPORTE_O2N2." hidden="1">{"YD LAPO2",#N/A,FALSE,"YTD"}</definedName>
    <definedName name="wrn.YTD_LOUISIANA." hidden="1">{"YD LOUISIANA",#N/A,FALSE,"YTD"}</definedName>
    <definedName name="wrn.YTD_OTHER." hidden="1">{"YD OTHER",#N/A,FALSE,"YTD"}</definedName>
    <definedName name="wrn.YTD_TEXAS._.HYCO." hidden="1">{"YD LPH2",#N/A,FALSE,"YTD"}</definedName>
    <definedName name="wrn.YTDvsBud." hidden="1">{"Pg1",#N/A,FALSE,"OpExYTDvsBud";"Pg2",#N/A,FALSE,"OpExYTDvsBud"}</definedName>
    <definedName name="wrn.YTDvsPY." hidden="1">{"Pa1",#N/A,FALSE,"OpExYTDvsPY";"Pa2",#N/A,FALSE,"OpExYTDvsPY"}</definedName>
    <definedName name="wrn.ZZZ." hidden="1">{#N/A,#N/A,FALSE,"NII"}</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낙관적000112." hidden="1">{#N/A,#N/A,FALSE,"추정손익계산서";#N/A,#N/A,FALSE,"추정대차대조표";#N/A,#N/A,FALSE,"자금수지예상표";#N/A,#N/A,FALSE,"재무비율분석"}</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PRINT." hidden="1">{"DOWNLOAD",#N/A,FALSE,"GLDownload";"UPLOAD",#N/A,FALSE,"GLUpload"}</definedName>
    <definedName name="wrn1.repot"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hidden="1">{#N/A,#N/A,FALSE,"DCF";#N/A,#N/A,FALSE,"WACC";#N/A,#N/A,FALSE,"Sales_EBIT";#N/A,#N/A,FALSE,"Capex_Depreciation";#N/A,#N/A,FALSE,"WC";#N/A,#N/A,FALSE,"Interest";#N/A,#N/A,FALSE,"Assumptions"}</definedName>
    <definedName name="wrna.prod" hidden="1">{#N/A,#N/A,FALSE,"1";#N/A,#N/A,FALSE,"2";#N/A,#N/A,FALSE,"16 - 17";#N/A,#N/A,FALSE,"18 - 19";#N/A,#N/A,FALSE,"26";#N/A,#N/A,FALSE,"27";#N/A,#N/A,FALSE,"28"}</definedName>
    <definedName name="wrnaboth" hidden="1">{"detail",#N/A,FALSE,"mfg";"summary",#N/A,FALSE,"mfg"}</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hidden="1">{"detail",#N/A,FALSE,"mfg";"summary",#N/A,FALSE,"mfg"}</definedName>
    <definedName name="wrnavpucspadd" hidden="1">{#N/A,"PURCHM",FALSE,"Business Analysis";#N/A,"SPADD",FALSE,"Business Analysis"}</definedName>
    <definedName name="wrnb213" hidden="1">{"detail",#N/A,FALSE,"mfg";"summary",#N/A,FALSE,"mfg"}</definedName>
    <definedName name="wrnb412" hidden="1">{"detail",#N/A,FALSE,"mfg";"summary",#N/A,FALSE,"mfg"}</definedName>
    <definedName name="wrnboth14a" hidden="1">{"detail",#N/A,FALSE,"mfg";"summary",#N/A,FALSE,"mfg"}</definedName>
    <definedName name="wrnfy97" hidden="1">{#N/A,#N/A,FALSE,"FY97";#N/A,#N/A,FALSE,"FY98";#N/A,#N/A,FALSE,"FY99";#N/A,#N/A,FALSE,"FY00";#N/A,#N/A,FALSE,"FY01"}</definedName>
    <definedName name="WRNP41" hidden="1">{#N/A,"PURCHM",FALSE,"Business Analysis";#N/A,"SPADD",FALSE,"Business Analysis"}</definedName>
    <definedName name="wrnp61" hidden="1">{#N/A,"PURCHM",FALSE,"Business Analysis";#N/A,"SPADD",FALSE,"Business Analysis"}</definedName>
    <definedName name="wrnpav" hidden="1">{#N/A,"PURCHM",FALSE,"Business Analysis";#N/A,"SPADD",FALSE,"Business Analysis"}</definedName>
    <definedName name="wrnpuc213" hidden="1">{#N/A,"PURCHM",FALSE,"Business Analysis";#N/A,"SPADD",FALSE,"Business Analysis"}</definedName>
    <definedName name="wrnpuc2412" hidden="1">{#N/A,"PURCHM",FALSE,"Business Analysis";#N/A,"SPADD",FALSE,"Business Analysis"}</definedName>
    <definedName name="wrnpuc412" hidden="1">{#N/A,"PURCHM",FALSE,"Business Analysis";#N/A,"SPADD",FALSE,"Business Analysis"}</definedName>
    <definedName name="wrnpucs213" hidden="1">{#N/A,"PURCHM",FALSE,"Business Analysis";#N/A,"SPADD",FALSE,"Business Analysis"}</definedName>
    <definedName name="wrnpucspadd32" hidden="1">{#N/A,"PURCHM",FALSE,"Business Analysis";#N/A,"SPADD",FALSE,"Business Analysis"}</definedName>
    <definedName name="wrnpucspaddza103" hidden="1">{#N/A,"PURCHM",FALSE,"Business Analysis";#N/A,"SPADD",FALSE,"Business Analysis"}</definedName>
    <definedName name="wrnpucspvd" hidden="1">{#N/A,"PURCHM",FALSE,"Business Analysis";#N/A,"SPADD",FALSE,"Business Analysis"}</definedName>
    <definedName name="wrnpvcs" hidden="1">{#N/A,"PURCHM",FALSE,"Business Analysis";#N/A,"SPADD",FALSE,"Business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R" hidden="1">{#N/A,#N/A,FALSE,"Pharm";#N/A,#N/A,FALSE,"WWCM"}</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hyju">#N/A</definedName>
    <definedName name="wrrrrr" hidden="1">{#N/A,#N/A,FALSE,"REPORT"}</definedName>
    <definedName name="wrwer" hidden="1">{#N/A,#N/A,FALSE,"Umsatz 99";#N/A,#N/A,FALSE,"ER 99 "}</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hidden="1">{"YD LAPO2",#N/A,FALSE,"YTD"}</definedName>
    <definedName name="wsand_1">NA()</definedName>
    <definedName name="wshiv">#REF!</definedName>
    <definedName name="wt" hidden="1">{#N/A,#N/A,FALSE,"FY97";#N/A,#N/A,FALSE,"FY98";#N/A,#N/A,FALSE,"FY99";#N/A,#N/A,FALSE,"FY00";#N/A,#N/A,FALSE,"FY01"}</definedName>
    <definedName name="wtwertwt" hidden="1">{"'August 2000'!$A$1:$J$101"}</definedName>
    <definedName name="wv" hidden="1">{#N/A,#N/A,FALSE,"Pharm";#N/A,#N/A,FALSE,"WWCM"}</definedName>
    <definedName name="wv.FileType.">"AUDIT_WKPR"</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persView."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FAX." hidden="1">{TRUE,TRUE,-1.25,-15.5,480.75,272.25,FALSE,TRUE,TRUE,TRUE,0,1,#N/A,1,#N/A,13.1904761904762,23.5384615384615,1,FALSE,FALSE,3,TRUE,1,FALSE,75,"Swvu.FAX.","ACwvu.FAX.",#N/A,FALSE,FALSE,0.25,0.25,1,1,1,"","",TRUE,FALSE,FALSE,TRUE,1,#N/A,1,1,"=R1C1:R16C13",FALSE,#N/A,#N/A,FALSE,FALSE,FALSE,9,300,300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otr."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Presentation." hidden="1">{TRUE,TRUE,-1.25,-15.5,604.5,369.75,FALSE,TRUE,TRUE,FALSE,1,1,3,13,22,2,1,4,TRUE,TRUE,3,TRUE,1,TRUE,100,"Swvu.Presentation.","ACwvu.Presentation.",1,FALSE,FALSE,0,0,2,0.8,2,"&amp;C&amp;""Helvetica""&amp;18&amp;BDELL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INT._.AREA." hidden="1">{TRUE,TRUE,-1.25,-15.5,484.5,272.25,FALSE,TRUE,TRUE,TRUE,0,1,#N/A,1,#N/A,13.3095238095238,23.5384615384615,1,FALSE,FALSE,3,TRUE,1,FALSE,75,"Swvu.PRINT._.AREA.","ACwvu.PRINT._.AREA.",#N/A,FALSE,FALSE,0.25,0.25,1,1,1,"","",TRUE,FALSE,FALSE,TRUE,1,#N/A,1,1,FALSE,FALSE,#N/A,#N/A,FALSE,FALSE,FALSE,9,300,300,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provision." hidden="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 hidden="1">{TRUE,TRUE,-1.25,-15.5,604.5,369.75,FALSE,TRUE,TRUE,TRUE,0,1,#N/A,24,#N/A,36.96875,22.9411764705882,1,FALSE,FALSE,3,TRUE,1,FALSE,100,"Swvu.reserve._.analysis.","ACwvu.reserve._.analysis.",1,FALSE,FALSE,0.75,0.75,2.21,1,2,"&amp;C&amp;""Helvetica""&amp;18&amp;BDELL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Wty._.accrual._.summary." hidden="1">{TRUE,TRUE,-1.25,-15.5,604.5,369.75,FALSE,TRUE,TRUE,FALSE,1,1,25,13,15,2,1,4,TRUE,TRUE,3,TRUE,1,TRUE,100,"Swvu.Wty._.accrual._.summary.","ACwvu.Wty._.accrual._.summary.",1,FALSE,FALSE,0,0,2.1,1,2,"&amp;C&amp;""Helvetica""&amp;18&amp;BDELL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 hidden="1">{#N/A,#N/A,FALSE,"INPUTS";#N/A,#N/A,FALSE,"PROFORMA BSHEET";#N/A,#N/A,FALSE,"COMBINED";#N/A,#N/A,FALSE,"ACQUIROR";#N/A,#N/A,FALSE,"TARGET 1";#N/A,#N/A,FALSE,"TARGET 2";#N/A,#N/A,FALSE,"HIGH YIELD";#N/A,#N/A,FALSE,"OVERFUND"}</definedName>
    <definedName name="wwe.kkjk" hidden="1">{#N/A,#N/A,FALSE,"Umsatz CH";#N/A,#N/A,FALSE,"ER CH";#N/A,#N/A,FALSE,"EA CH (2) ";#N/A,#N/A,FALSE,"EA CH";#N/A,#N/A,FALSE,"EA CH (3) ";#N/A,#N/A,FALSE,"EA CH (4)";#N/A,#N/A,FALSE,"KA CH";#N/A,#N/A,FALSE,"KA CH  (2)";#N/A,#N/A,FALSE,"KA CH  (3)";#N/A,#N/A,FALSE,"KA CH (4)"}</definedName>
    <definedName name="wwt" hidden="1">{"YD LAPO2",#N/A,FALSE,"YTD"}</definedName>
    <definedName name="www" hidden="1">{#N/A,"PURCHM",FALSE,"Business Analysis";#N/A,"SPADD",FALSE,"Business Analysis"}</definedName>
    <definedName name="wwww" hidden="1">{#N/A,#N/A,FALSE,"Produkte Erw.";#N/A,#N/A,FALSE,"Produkte Plan";#N/A,#N/A,FALSE,"Leistungen Erw.";#N/A,#N/A,FALSE,"Leistungen Plan";#N/A,#N/A,FALSE,"KA Allg.Kosten (2)";#N/A,#N/A,FALSE,"KA All.Kosten"}</definedName>
    <definedName name="wwwwwwwww" hidden="1">{"YTD",#N/A,FALSE,"SUM"}</definedName>
    <definedName name="wwwwwwwwwww" hidden="1">{"YD PACKAGE",#N/A,FALSE,"YTD"}</definedName>
    <definedName name="wwwwwwwwwwwwww" hidden="1">{"detail",#N/A,FALSE,"mfg";"summary",#N/A,FALSE,"mfg"}</definedName>
    <definedName name="wx" hidden="1">{#N/A,#N/A,FALSE,"Pharm";#N/A,#N/A,FALSE,"WWCM"}</definedName>
    <definedName name="wxyz" hidden="1">{#N/A,#N/A,FALSE,"Staffnos &amp; cost"}</definedName>
    <definedName name="wyh" hidden="1">{#N/A,#N/A,FALSE,"Summary";#N/A,#N/A,FALSE,"Fed.State Prov";#N/A,#N/A,FALSE,"Foreign Prov";#N/A,#N/A,FALSE,"Thera Fgrn";#N/A,#N/A,FALSE,"CCD Fgrn";#N/A,#N/A,FALSE,"Biocine Fgrn";#N/A,#N/A,FALSE,"Vision Fgrn";#N/A,#N/A,FALSE,"Frgn vs Dom"}</definedName>
    <definedName name="x" hidden="1">{#N/A,#N/A,FALSE,"REPORT"}</definedName>
    <definedName name="x_1">NA()</definedName>
    <definedName name="x_2">NA()</definedName>
    <definedName name="X_TV">#REF!</definedName>
    <definedName name="X_ValMethod">#REF!</definedName>
    <definedName name="X980210_payment_printing_List_1">"#REF!"</definedName>
    <definedName name="X980210_payment_printing_List_2">"#REF!"</definedName>
    <definedName name="xb" hidden="1">{"BA detail",#N/A,FALSE,"Q3YTD "}</definedName>
    <definedName name="xbchjbdckjnbxzkjcnb" hidden="1">{"'7'!$B$15:$D$32"}</definedName>
    <definedName name="xc" hidden="1">{"ICD Details",#N/A,FALSE,"Current Yr";"ICD Details",#N/A,FALSE,"Budget";"ICD Details",#N/A,FALSE,"Prior Year"}</definedName>
    <definedName name="xcft" hidden="1">{#N/A,#N/A,FALSE,"PGW"}</definedName>
    <definedName name="xcft_2" hidden="1">{#N/A,#N/A,FALSE,"PGW"}</definedName>
    <definedName name="xcft_3" hidden="1">{#N/A,#N/A,FALSE,"PGW"}</definedName>
    <definedName name="xcft_4" hidden="1">{#N/A,#N/A,FALSE,"PGW"}</definedName>
    <definedName name="xcv" hidden="1">{#N/A,#N/A,FALSE,"Pharm";#N/A,#N/A,FALSE,"WWCM"}</definedName>
    <definedName name="XCVBN" hidden="1">{#N/A,#N/A,FALSE,"Tabl. G1";#N/A,#N/A,FALSE,"Tabl. G2"}</definedName>
    <definedName name="xcvbxcvbcx" hidden="1">{#N/A,#N/A,FALSE,"Umsatz EO BP";#N/A,#N/A,FALSE,"Umsatz EO OP";#N/A,#N/A,FALSE,"ER EO BP";#N/A,#N/A,FALSE,"ER EO OP";#N/A,#N/A,FALSE,"EA EO (2)";#N/A,#N/A,FALSE,"EA EO";#N/A,#N/A,FALSE,"EA EO (3)";#N/A,#N/A,FALSE,"EA EO (4)";#N/A,#N/A,FALSE,"KA EO  (2)";#N/A,#N/A,FALSE,"KA EO";#N/A,#N/A,FALSE,"KA EO  (3)";#N/A,#N/A,FALSE,"KA EO (4)"}</definedName>
    <definedName name="xcvg" hidden="1">{#N/A,#N/A,FALSE,"SUMMARY";#N/A,#N/A,FALSE,"SUMMARY"}</definedName>
    <definedName name="xcvg_2" hidden="1">{#N/A,#N/A,FALSE,"SUMMARY";#N/A,#N/A,FALSE,"SUMMARY"}</definedName>
    <definedName name="xcvg_3" hidden="1">{#N/A,#N/A,FALSE,"SUMMARY";#N/A,#N/A,FALSE,"SUMMARY"}</definedName>
    <definedName name="xcvg_4" hidden="1">{#N/A,#N/A,FALSE,"SUMMARY";#N/A,#N/A,FALSE,"SUMMARY"}</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czx">City&amp;" "&amp;State</definedName>
    <definedName name="xd" hidden="1">{#N/A,#N/A,FALSE,"PMTABB";#N/A,#N/A,FALSE,"PMTABB"}</definedName>
    <definedName name="xd_2" hidden="1">{#N/A,#N/A,FALSE,"PMTABB";#N/A,#N/A,FALSE,"PMTABB"}</definedName>
    <definedName name="xd_3" hidden="1">{#N/A,#N/A,FALSE,"PMTABB";#N/A,#N/A,FALSE,"PMTABB"}</definedName>
    <definedName name="xd_4" hidden="1">{#N/A,#N/A,FALSE,"PMTABB";#N/A,#N/A,FALSE,"PMTABB"}</definedName>
    <definedName name="xdft" hidden="1">{#N/A,#N/A,FALSE,"ISBL"}</definedName>
    <definedName name="xdft_2" hidden="1">{#N/A,#N/A,FALSE,"ISBL"}</definedName>
    <definedName name="xdft_3" hidden="1">{#N/A,#N/A,FALSE,"ISBL"}</definedName>
    <definedName name="xdft_4" hidden="1">{#N/A,#N/A,FALSE,"ISBL"}</definedName>
    <definedName name="xdrt" hidden="1">{#N/A,#N/A,FALSE,"Aging Summary";#N/A,#N/A,FALSE,"Ratio Analysis";#N/A,#N/A,FALSE,"Test 120 Day Accts";#N/A,#N/A,FALSE,"Tickmarks"}</definedName>
    <definedName name="xdrt_2" hidden="1">{#N/A,#N/A,FALSE,"Aging Summary";#N/A,#N/A,FALSE,"Ratio Analysis";#N/A,#N/A,FALSE,"Test 120 Day Accts";#N/A,#N/A,FALSE,"Tickmarks"}</definedName>
    <definedName name="xdrt_3" hidden="1">{#N/A,#N/A,FALSE,"Aging Summary";#N/A,#N/A,FALSE,"Ratio Analysis";#N/A,#N/A,FALSE,"Test 120 Day Accts";#N/A,#N/A,FALSE,"Tickmarks"}</definedName>
    <definedName name="xdrt_4" hidden="1">{#N/A,#N/A,FALSE,"Aging Summary";#N/A,#N/A,FALSE,"Ratio Analysis";#N/A,#N/A,FALSE,"Test 120 Day Accts";#N/A,#N/A,FALSE,"Tickmarks"}</definedName>
    <definedName name="xebdit">#REF!</definedName>
    <definedName name="xebit">#REF!</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LOPTvec">"4 15 1 125 1 0 1 1 1 1 1 1 0 0 1 0 0 0 0 0"</definedName>
    <definedName name="xlx" hidden="1">{#N/A,#N/A,FALSE,"PMW Gruppe 99_98";#N/A,#N/A,FALSE,"PMW KG 98_99";#N/A,#N/A,FALSE,"PMW Inc. 99_98";#N/A,#N/A,FALSE,"PMW VTECH 99_98";#N/A,#N/A,FALSE,"PMW Thail. 99_98";#N/A,#N/A,FALSE,"PMW Canada 99_98";#N/A,#N/A,FALSE,"Währungsabw. 99_98"}</definedName>
    <definedName name="xn" hidden="1">{"oct_res_comm",#N/A,FALSE,"VarToBud"}</definedName>
    <definedName name="xratio">OFFSET(#REF!,,1)</definedName>
    <definedName name="xray">OFFSET(#REF!,,1)</definedName>
    <definedName name="XRefColumnsCount" hidden="1">1</definedName>
    <definedName name="XRefCopyRangeCount" hidden="1">1</definedName>
    <definedName name="XRefPasteRangeCount" hidden="1">13</definedName>
    <definedName name="xrt" hidden="1">{#N/A,#N/A,FALSE,"OSBL"}</definedName>
    <definedName name="xrt_2" hidden="1">{#N/A,#N/A,FALSE,"OSBL"}</definedName>
    <definedName name="xrt_3" hidden="1">{#N/A,#N/A,FALSE,"OSBL"}</definedName>
    <definedName name="xrt_4" hidden="1">{#N/A,#N/A,FALSE,"OSBL"}</definedName>
    <definedName name="xs" hidden="1">{#N/A,"PURCHM",FALSE,"Business Analysis";#N/A,"SPADD",FALSE,"Business Analysis"}</definedName>
    <definedName name="xsd" hidden="1">{"detail",#N/A,FALSE,"mfg";"summary",#N/A,FALSE,"mfg"}</definedName>
    <definedName name="xsxa">{"'Sheet1'!$A$4386:$N$4591"}</definedName>
    <definedName name="xt" hidden="1">{#N/A,#N/A,FALSE,"PGW"}</definedName>
    <definedName name="xt_2" hidden="1">{#N/A,#N/A,FALSE,"PGW"}</definedName>
    <definedName name="xt_3" hidden="1">{#N/A,#N/A,FALSE,"PGW"}</definedName>
    <definedName name="xt_4" hidden="1">{#N/A,#N/A,FALSE,"PGW"}</definedName>
    <definedName name="xta" hidden="1">{"Page 1",#N/A,TRUE,"Sheet1";"Page 2",#N/A,TRUE,"Sheet1"}</definedName>
    <definedName name="xv" hidden="1">{"Commentary",#N/A,FALSE,"May"}</definedName>
    <definedName name="XValueRange">OFFSET(#REF!,0,1)</definedName>
    <definedName name="xvxgvxcgvxcv">{#N/A,#N/A,FALSE,"PMTABB";#N/A,#N/A,FALSE,"PMTABB"}</definedName>
    <definedName name="xx" hidden="1">{#N/A,#N/A,FALSE,"REPORT"}</definedName>
    <definedName name="xx_2" hidden="1">{#N/A,#N/A,FALSE,"PGW"}</definedName>
    <definedName name="xx_3" hidden="1">{#N/A,#N/A,FALSE,"PGW"}</definedName>
    <definedName name="xx_4" hidden="1">{#N/A,#N/A,FALSE,"PGW"}</definedName>
    <definedName name="xxcxc" hidden="1">{#N/A,#N/A,FALSE,"Umsatz CH";#N/A,#N/A,FALSE,"ER CH";#N/A,#N/A,FALSE,"EA CH (2) ";#N/A,#N/A,FALSE,"EA CH";#N/A,#N/A,FALSE,"EA CH (3) ";#N/A,#N/A,FALSE,"EA CH (4)";#N/A,#N/A,FALSE,"KA CH";#N/A,#N/A,FALSE,"KA CH  (2)";#N/A,#N/A,FALSE,"KA CH  (3)";#N/A,#N/A,FALSE,"KA CH (4)"}</definedName>
    <definedName name="xxnn" hidden="1">{#N/A,#N/A,FALSE,"Balance Sheets";#N/A,#N/A,FALSE,"96 Conservative";#N/A,#N/A,FALSE,"96 Possible"}</definedName>
    <definedName name="xxx" hidden="1">{#N/A,#N/A,FALSE,"ACQ_GRAPHS";#N/A,#N/A,FALSE,"T_1 GRAPHS";#N/A,#N/A,FALSE,"T_2 GRAPHS";#N/A,#N/A,FALSE,"COMB_GRAPHS"}</definedName>
    <definedName name="xxx.gb._Hm." hidden="1">{#N/A,#N/A,FALSE,"Umsatz HM";#N/A,#N/A,FALSE,"ER HM";#N/A,#N/A,FALSE,"EA HM  (2)";#N/A,#N/A,FALSE,"EA HM ";#N/A,#N/A,FALSE,"EA HM  (4)";#N/A,#N/A,FALSE,"EA HM  (3)";#N/A,#N/A,FALSE,"KA HM  (2)";#N/A,#N/A,FALSE,"KA HM";#N/A,#N/A,FALSE,"KA HM  (3)";#N/A,#N/A,FALSE,"KA HM (4)"}</definedName>
    <definedName name="xxx_1"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2"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3"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2" hidden="1">{"oct_res_comm",#N/A,FALSE,"VarToBud"}</definedName>
    <definedName name="xxxx" hidden="1">{"detail",#N/A,FALSE,"mfg";"summary",#N/A,FALSE,"mfg"}</definedName>
    <definedName name="xxxxx" hidden="1">{#N/A,#N/A,FALSE,"Calc";#N/A,#N/A,FALSE,"Sensitivity";#N/A,#N/A,FALSE,"LT Earn.Dil.";#N/A,#N/A,FALSE,"Dil. AVP"}</definedName>
    <definedName name="XXXXXX" hidden="1">{#N/A,#N/A,FALSE,"CDA Plan"}</definedName>
    <definedName name="xys" hidden="1">{#N/A,#N/A,TRUE,"Staffnos &amp; cost"}</definedName>
    <definedName name="xyz" hidden="1">{"Income (All hidden)",#N/A,FALSE,"Income";"EPS (All Hidden)",#N/A,FALSE,"EPS";"EPS (All Hidden)",#N/A,FALSE,"CashFlow";"Quarterly (Last, Current and Next)",#N/A,FALSE,"Quarterly"}</definedName>
    <definedName name="xyzzzzz" hidden="1">{#N/A,#N/A,TRUE,"CIN-11";#N/A,#N/A,TRUE,"CIN-13";#N/A,#N/A,TRUE,"CIN-14";#N/A,#N/A,TRUE,"CIN-16";#N/A,#N/A,TRUE,"CIN-17";#N/A,#N/A,TRUE,"CIN-18";#N/A,#N/A,TRUE,"CIN Earnings To Fixed Charges";#N/A,#N/A,TRUE,"CIN Financial Ratios";#N/A,#N/A,TRUE,"CIN-IS";#N/A,#N/A,TRUE,"CIN-BS";#N/A,#N/A,TRUE,"CIN-CS";#N/A,#N/A,TRUE,"Invest In Unconsol Subs"}</definedName>
    <definedName name="xz" hidden="1">{#N/A,#N/A,TRUE,"Front";#N/A,#N/A,TRUE,"Simple Letter";#N/A,#N/A,TRUE,"Inside";#N/A,#N/A,TRUE,"Contents";#N/A,#N/A,TRUE,"Basis";#N/A,#N/A,TRUE,"Inclusions";#N/A,#N/A,TRUE,"Exclusions";#N/A,#N/A,TRUE,"Areas";#N/A,#N/A,TRUE,"Summary";#N/A,#N/A,TRUE,"Detail"}</definedName>
    <definedName name="xzxz" hidden="1">{#N/A,"PURCHM",FALSE,"Business Analysis";#N/A,"SPADD",FALSE,"Business Analysis"}</definedName>
    <definedName name="y" hidden="1">{#N/A,#N/A,FALSE,"Pharm";#N/A,#N/A,FALSE,"WWCM"}</definedName>
    <definedName name="Y_2">"#REF!"</definedName>
    <definedName name="Y_3">"#REF!"</definedName>
    <definedName name="Y_4">"#REF!"</definedName>
    <definedName name="Y_5">"#REF!"</definedName>
    <definedName name="Y_6">"#REF!"</definedName>
    <definedName name="Y_7">"#REF!"</definedName>
    <definedName name="Yahoo" hidden="1">{"SUMMARY",#N/A,FALSE,"Summary"}</definedName>
    <definedName name="YBN" hidden="1">{#N/A,#N/A,FALSE,"Tabl. A1";#N/A,#N/A,FALSE,"Tabl. A1 b";#N/A,#N/A,FALSE,"Tabl. A2";#N/A,#N/A,FALSE,"Tabl. A2-1";#N/A,#N/A,FALSE,"Tabl. A2-2"}</definedName>
    <definedName name="year">#REF!</definedName>
    <definedName name="YearEnd1">NA()</definedName>
    <definedName name="YearEnd2">NA()</definedName>
    <definedName name="YearEnd3">NA()</definedName>
    <definedName name="YearEnd4">NA()</definedName>
    <definedName name="YearEnd5">NA()</definedName>
    <definedName name="YearEnd6">NA()</definedName>
    <definedName name="YearStart1">#REF!</definedName>
    <definedName name="YearStart10">#REF!</definedName>
    <definedName name="YearStart11">#REF!</definedName>
    <definedName name="YearStart12">#REF!</definedName>
    <definedName name="YearStart2">#REF!</definedName>
    <definedName name="YearStart3">#REF!</definedName>
    <definedName name="YearStart4">#REF!</definedName>
    <definedName name="YearStart5">#REF!</definedName>
    <definedName name="YearStart6">#REF!</definedName>
    <definedName name="YearStart7">#REF!</definedName>
    <definedName name="YearStart8">#REF!</definedName>
    <definedName name="YES" hidden="1">{#N/A,#N/A,TRUE,"Front";#N/A,#N/A,TRUE,"Simple Letter";#N/A,#N/A,TRUE,"Inside";#N/A,#N/A,TRUE,"Contents";#N/A,#N/A,TRUE,"Basis";#N/A,#N/A,TRUE,"Inclusions";#N/A,#N/A,TRUE,"Exclusions";#N/A,#N/A,TRUE,"Areas";#N/A,#N/A,TRUE,"Summary";#N/A,#N/A,TRUE,"Detail"}</definedName>
    <definedName name="Yes2">#REF!/#REF!</definedName>
    <definedName name="yeya" hidden="1">{#N/A,#N/A,FALSE,"PGW"}</definedName>
    <definedName name="yeya_1" hidden="1">{#N/A,#N/A,FALSE,"PGW"}</definedName>
    <definedName name="yeya_2" hidden="1">{#N/A,#N/A,FALSE,"PGW"}</definedName>
    <definedName name="yeya_3" hidden="1">{#N/A,#N/A,FALSE,"PGW"}</definedName>
    <definedName name="yeya_4" hidden="1">{#N/A,#N/A,FALSE,"PGW"}</definedName>
    <definedName name="yg" hidden="1">{"Polymers Details",#N/A,FALSE,"Current Yr";"Polymer Details",#N/A,FALSE,"Budget";"Polymer Details",#N/A,FALSE,"Prior Year"}</definedName>
    <definedName name="YGJDG">#N/A</definedName>
    <definedName name="yh" hidden="1">{"Polymers Details",#N/A,FALSE,"Current Yr";"Polymer Details",#N/A,FALSE,"Budget";"Polymer Details",#N/A,FALSE,"Prior Year"}</definedName>
    <definedName name="yhn" hidden="1">{#N/A,#N/A,FALSE,"Model";#N/A,#N/A,FALSE,"Division"}</definedName>
    <definedName name="ym" hidden="1">{#N/A,"PURCHM",FALSE,"Business Analysis";#N/A,"SPADD",FALSE,"Business Analysis"}</definedName>
    <definedName name="yn" hidden="1">{"AS REP",#N/A,FALSE,"EEFSNAP2";"PROP",#N/A,FALSE,"EEFSNAP2";"RISKS",#N/A,FALSE,"EEFSNAP2";"VIEW ALL",#N/A,FALSE,"EEFSNAP2"}</definedName>
    <definedName name="Yogesh" hidden="1">{#N/A,#N/A,TRUE,"Summary";#N/A,"1",TRUE,"Summary";#N/A,"2",TRUE,"Summary";#N/A,"3",TRUE,"Summary";#N/A,"4",TRUE,"Summary";#N/A,"5",TRUE,"Summary";#N/A,"6",TRUE,"Summary";#N/A,"7",TRUE,"Summary";#N/A,"8",TRUE,"Summary";#N/A,"9",TRUE,"Summary";#N/A,"10",TRUE,"Summary";#N/A,"11",TRUE,"Summary"}</definedName>
    <definedName name="yp" hidden="1">{#N/A,"PURADD",FALSE,"Business Analysis";#N/A,"PURSPP",FALSE,"Business Analysis";#N/A,"CTGIND",FALSE,"Business Analysis";#N/A,"PURCHM",FALSE,"Business Analysis";#N/A,"SPADD",FALSE,"Business Analysis";#N/A,"EPOXY",FALSE,"Business Analysis";#N/A,"PURPER",FALSE,"Business Analysis"}</definedName>
    <definedName name="yq" hidden="1">{"QTR_ACT",#N/A,FALSE,"PROP_PBIT_DEV_Q3";"QTR_BUD",#N/A,FALSE,"PROP_PBIT_DEV_Q3";"YTD_BUD",#N/A,FALSE,"PROP_PBIT_DEV_Q3";"YTD_ACT",#N/A,FALSE,"PROP_PBIT_DEV_Q3";"FY95 SNAP3",#N/A,FALSE,"PROP_PBIT_DEV_Q3";"FY95_BUD",#N/A,FALSE,"PROP_PBIT_DEV_Q3";"FY96_BUD",#N/A,FALSE,"PROP_PBIT_DEV_Q3"}</definedName>
    <definedName name="YrEnd_FFr_USD">0.1767</definedName>
    <definedName name="ys.xls" hidden="1">{#N/A,#N/A,TRUE,"Summary";#N/A,"1",TRUE,"Summary";#N/A,"2",TRUE,"Summary";#N/A,"3",TRUE,"Summary";#N/A,"4",TRUE,"Summary";#N/A,"5",TRUE,"Summary";#N/A,"6",TRUE,"Summary";#N/A,"7",TRUE,"Summary";#N/A,"8",TRUE,"Summary";#N/A,"9",TRUE,"Summary";#N/A,"10",TRUE,"Summary";#N/A,"11",TRUE,"Summary"}</definedName>
    <definedName name="yt"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YTD">#REF!</definedName>
    <definedName name="YTDPRIOR">#REF!</definedName>
    <definedName name="YTDTOTAL">#N/A</definedName>
    <definedName name="YTHBVFR" hidden="1">{#N/A,#N/A,FALSE,"Tabl. FB300";#N/A,#N/A,FALSE,"Tabl. FB350";#N/A,#N/A,FALSE,"Tabl. FB400";#N/A,#N/A,FALSE,"Tabl. FB500";#N/A,#N/A,FALSE,"Tabl. FS090"}</definedName>
    <definedName name="ytre" hidden="1">{"overview",#N/A,FALSE,"summary";"net assets",#N/A,FALSE,"summary";"asset turnover",#N/A,FALSE,"summary";"orona",#N/A,FALSE,"summary"}</definedName>
    <definedName name="yty_2">"#REF!"</definedName>
    <definedName name="yty_3">"#REF!"</definedName>
    <definedName name="yty_4">"#REF!"</definedName>
    <definedName name="yty_5">"#REF!"</definedName>
    <definedName name="yty_6">"#REF!"</definedName>
    <definedName name="yty_7">"#REF!"</definedName>
    <definedName name="YU" hidden="1">{#N/A,#N/A,TRUE,"Front";#N/A,#N/A,TRUE,"Simple Letter";#N/A,#N/A,TRUE,"Inside";#N/A,#N/A,TRUE,"Contents";#N/A,#N/A,TRUE,"Basis";#N/A,#N/A,TRUE,"Inclusions";#N/A,#N/A,TRUE,"Exclusions";#N/A,#N/A,TRUE,"Areas";#N/A,#N/A,TRUE,"Summary";#N/A,#N/A,TRUE,"Detail"}</definedName>
    <definedName name="YU87N" hidden="1">{#N/A,#N/A,FALSE,"Tabl. G1";#N/A,#N/A,FALSE,"Tabl. G2"}</definedName>
    <definedName name="YUC" hidden="1">{#N/A,#N/A,FALSE,"Tabl. H1";#N/A,#N/A,FALSE,"Tabl. H2"}</definedName>
    <definedName name="yui" hidden="1">{"Commentary",#N/A,FALSE,"May"}</definedName>
    <definedName name="yuio" hidden="1">{"oct_res_comm",#N/A,FALSE,"VarToBud"}</definedName>
    <definedName name="yuop" hidden="1">{"OTHER",#N/A,FALSE,"CM"}</definedName>
    <definedName name="yv" hidden="1">{"sales growth",#N/A,FALSE,"summary";"oper income",#N/A,FALSE,"summary";"oros rank",#N/A,FALSE,"summary";"net assets",#N/A,FALSE,"summary";"asset turnover",#N/A,FALSE,"summary";"orona",#N/A,FALSE,"summary"}</definedName>
    <definedName name="YValueRange">OFFSET(#REF!,0,2)</definedName>
    <definedName name="yx" hidden="1">{"overview",#N/A,FALSE,"summary";"net assets",#N/A,FALSE,"summary";"asset turnover",#N/A,FALSE,"summary";"orona",#N/A,FALSE,"summary"}</definedName>
    <definedName name="yxcxycxy" hidden="1">{#N/A,#N/A,FALSE,"Umsatz 99";#N/A,#N/A,FALSE,"ER 99 "}</definedName>
    <definedName name="yy" hidden="1">{"consolidated",#N/A,FALSE,"Sheet1";"cms",#N/A,FALSE,"Sheet1";"fse",#N/A,FALSE,"Sheet1"}</definedName>
    <definedName name="yy.7" hidden="1">{#N/A,#N/A,FALSE,"PMW Gruppe 00_99";#N/A,#N/A,FALSE,"PMW KG 00_99";#N/A,#N/A,FALSE,"PMW Inc. 00_99";#N/A,#N/A,FALSE,"PMW VTECH 00_99";#N/A,#N/A,FALSE,"PMW Thail. 00_99";#N/A,#N/A,FALSE,"PMW Canada 00_99";#N/A,#N/A,FALSE,"Währungsabw. 00_99"}</definedName>
    <definedName name="YYY"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yyy_1" hidden="1">{#N/A,#N/A,FALSE,"PGW"}</definedName>
    <definedName name="yyy_2" hidden="1">{#N/A,#N/A,FALSE,"PGW"}</definedName>
    <definedName name="yyy_3" hidden="1">{#N/A,#N/A,FALSE,"PGW"}</definedName>
    <definedName name="yyy_4" hidden="1">{#N/A,#N/A,FALSE,"PGW"}</definedName>
    <definedName name="yyyyyyyyy">#REF!</definedName>
    <definedName name="z" hidden="1">{#N/A,#N/A,FALSE,"One Pager";#N/A,#N/A,FALSE,"Technical"}</definedName>
    <definedName name="z.l" hidden="1">{#N/A,#N/A,FALSE,"KA CH  (2)"}</definedName>
    <definedName name="z.xls" hidden="1">{#N/A,#N/A,FALSE,"CMN_FE"}</definedName>
    <definedName name="z_1">{#N/A,#N/A,TRUE,"Front";#N/A,#N/A,TRUE,"Simple Letter";#N/A,#N/A,TRUE,"Inside";#N/A,#N/A,TRUE,"Contents";#N/A,#N/A,TRUE,"Basis";#N/A,#N/A,TRUE,"Inclusions";#N/A,#N/A,TRUE,"Exclusions";#N/A,#N/A,TRUE,"Areas";#N/A,#N/A,TRUE,"Summary";#N/A,#N/A,TRUE,"Detail"}</definedName>
    <definedName name="z_2">NA()</definedName>
    <definedName name="z_3">NA()</definedName>
    <definedName name="z_4">NA()</definedName>
    <definedName name="z_5">NA()</definedName>
    <definedName name="z_6">NA()</definedName>
    <definedName name="za" hidden="1">{"detail",#N/A,FALSE,"mfg";"summary",#N/A,FALSE,"mfg"}</definedName>
    <definedName name="zaCQW" hidden="1">{"turnover",#N/A,FALSE;"profits",#N/A,FALSE;"cash",#N/A,FALSE}</definedName>
    <definedName name="zaq" hidden="1">{#N/A,#N/A,FALSE,"Calc";#N/A,#N/A,FALSE,"Sensitivity";#N/A,#N/A,FALSE,"LT Earn.Dil.";#N/A,#N/A,FALSE,"Dil. AVP"}</definedName>
    <definedName name="zaz" hidden="1">{#N/A,"PURCHM",FALSE,"Business Analysis";#N/A,"SPADD",FALSE,"Business Analysis"}</definedName>
    <definedName name="zc" hidden="1">{#N/A,#N/A,TRUE,"Front";#N/A,#N/A,TRUE,"Simple Letter";#N/A,#N/A,TRUE,"Inside";#N/A,#N/A,TRUE,"Contents";#N/A,#N/A,TRUE,"Basis";#N/A,#N/A,TRUE,"Inclusions";#N/A,#N/A,TRUE,"Exclusions";#N/A,#N/A,TRUE,"Areas";#N/A,#N/A,TRUE,"Summary";#N/A,#N/A,TRUE,"Detail"}</definedName>
    <definedName name="zccz">City&amp;" "&amp;State</definedName>
    <definedName name="zer" hidden="1">{#N/A,#N/A,FALSE,"Calc";#N/A,#N/A,FALSE,"Sensitivity";#N/A,#N/A,FALSE,"LT Earn.Dil.";#N/A,#N/A,FALSE,"Dil. AVP"}</definedName>
    <definedName name="zesewe" hidden="1">{#N/A,#N/A,FALSE,"FREE"}</definedName>
    <definedName name="zesewe_2" hidden="1">{#N/A,#N/A,FALSE,"FREE"}</definedName>
    <definedName name="zesewe_3" hidden="1">{#N/A,#N/A,FALSE,"FREE"}</definedName>
    <definedName name="zesewe_4" hidden="1">{#N/A,#N/A,FALSE,"FREE"}</definedName>
    <definedName name="zhu" hidden="1">{#N/A,#N/A,FALSE,"REPORT"}</definedName>
    <definedName name="zhutr" hidden="1">{#N/A,#N/A,FALSE,"REPORT"}</definedName>
    <definedName name="Zinsen1_3">#REF!</definedName>
    <definedName name="Zinsen4_5">#REF!</definedName>
    <definedName name="Zinsen6_7">#REF!</definedName>
    <definedName name="Zinsen8up">#REF!</definedName>
    <definedName name="zioio" hidden="1">{#N/A,#N/A,FALSE,"Umsatz CH";#N/A,#N/A,FALSE,"ER CH";#N/A,#N/A,FALSE,"EA CH (2) ";#N/A,#N/A,FALSE,"EA CH";#N/A,#N/A,FALSE,"EA CH (3) ";#N/A,#N/A,FALSE,"EA CH (4)";#N/A,#N/A,FALSE,"KA CH";#N/A,#N/A,FALSE,"KA CH  (2)";#N/A,#N/A,FALSE,"KA CH  (3)";#N/A,#N/A,FALSE,"KA CH (4)"}</definedName>
    <definedName name="Zip">"'file://Bks/D/draftfinancialsbymanojindushyd/BANDHAN-NBFC-_Fin_Statatement-2009-Ver-1-27.04.2009.xlsx'#$''.$B$2"</definedName>
    <definedName name="Zip_1">"'file://Bks/D/draftfinancialsbymanojindushyd/BANDHAN-NBFC-_Fin_Statatement-2009-Ver-1-27.04.2009.xlsx'#$''.$B$2"</definedName>
    <definedName name="zl" hidden="1">{#N/A,"PURCHM",FALSE,"Business Analysis";#N/A,"SPADD",FALSE,"Business Analysis"}</definedName>
    <definedName name="Zone_impres_MI">#REF!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WX" hidden="1">{#N/A,#N/A,FALSE,"Tabl. A1";#N/A,#N/A,FALSE,"Tabl. A1 b";#N/A,#N/A,FALSE,"Tabl. A2";#N/A,#N/A,FALSE,"Tabl. A2-1";#N/A,#N/A,FALSE,"Tabl. A2-2"}</definedName>
    <definedName name="zxz">City&amp;" "&amp;State</definedName>
    <definedName name="zxzx" hidden="1">{"oct_res_comm",#N/A,FALSE,"VarToBud"}</definedName>
    <definedName name="zy" hidden="1">{#N/A,#N/A,FALSE,"CMN_FE"}</definedName>
    <definedName name="zyz" hidden="1">{#N/A,#N/A,FALSE,"CMN_FE"}</definedName>
    <definedName name="zz" hidden="1">{#N/A,#N/A,TRUE,"Front";#N/A,#N/A,TRUE,"Simple Letter";#N/A,#N/A,TRUE,"Inside";#N/A,#N/A,TRUE,"Contents";#N/A,#N/A,TRUE,"Basis";#N/A,#N/A,TRUE,"Inclusions";#N/A,#N/A,TRUE,"Exclusions";#N/A,#N/A,TRUE,"Areas";#N/A,#N/A,TRUE,"Summary";#N/A,#N/A,TRUE,"Detail"}</definedName>
    <definedName name="zz_1">NA()</definedName>
    <definedName name="zz_2">NA()</definedName>
    <definedName name="zz_3">NA()</definedName>
    <definedName name="ZZ_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a4pg" hidden="1">{#N/A,#N/A,FALSE,"REPORT"}</definedName>
    <definedName name="zzaxz" hidden="1">{"detail",#N/A,FALSE,"mfg";"summary",#N/A,FALSE,"mfg"}</definedName>
    <definedName name="zzee" hidden="1">{#N/A,#N/A,FALSE,"Pharm";#N/A,#N/A,FALSE,"WWCM"}</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xz" hidden="1">{#N/A,#N/A,FALSE,"COMP"}</definedName>
    <definedName name="zzz" hidden="1">{#N/A,#N/A,FALSE,"Umsatz CH";#N/A,#N/A,FALSE,"ER CH";#N/A,#N/A,FALSE,"EA CH (2) ";#N/A,#N/A,FALSE,"EA CH";#N/A,#N/A,FALSE,"EA CH (3) ";#N/A,#N/A,FALSE,"EA CH (4)";#N/A,#N/A,FALSE,"KA CH";#N/A,#N/A,FALSE,"KA CH  (2)";#N/A,#N/A,FALSE,"KA CH  (3)";#N/A,#N/A,FALSE,"KA CH (4)"}</definedName>
    <definedName name="zzz_1">"#REF!"</definedName>
    <definedName name="zzz_2">"#REF!"</definedName>
    <definedName name="ZZZ_3" hidden="1">{#N/A,#N/A,FALSE,"PGW"}</definedName>
    <definedName name="ZZZ_4" hidden="1">{#N/A,#N/A,FALSE,"PGW"}</definedName>
    <definedName name="zzzz" hidden="1">{#N/A,#N/A,FALSE,"CDA Plan"}</definedName>
    <definedName name="zzzzz" hidden="1">{#N/A,#N/A,FALSE,"REPORT"}</definedName>
    <definedName name="ZZZZZZZZZZZZZZZ" hidden="1">{#N/A,#N/A,FALSE,"Tabl. FB300";#N/A,#N/A,FALSE,"Tabl. FB350";#N/A,#N/A,FALSE,"Tabl. FB400";#N/A,#N/A,FALSE,"Tabl. FB500";#N/A,#N/A,FALSE,"Tabl. FS090"}</definedName>
    <definedName name="ㄱㄱㄱ" hidden="1">{"'7'!$B$15:$D$32"}</definedName>
    <definedName name="ㄱㄷㅈㄱ" hidden="1">{"'7'!$B$15:$D$32"}</definedName>
    <definedName name="고" hidden="1">{#N/A,#N/A,FALSE,"REPORT"}</definedName>
    <definedName name="김신희" hidden="1">{"'7'!$B$15:$D$32"}</definedName>
    <definedName name="김ㅈㅗㅊ리" hidden="1">{"'7'!$B$15:$D$32"}</definedName>
    <definedName name="ㄴㄴㄴ" hidden="1">{"'7'!$B$15:$D$32"}</definedName>
    <definedName name="ㄶㅇ노ㅗㄶ호" hidden="1">{#N/A,#N/A,FALSE,"REPORT"}</definedName>
    <definedName name="미애" hidden="1">{#N/A,#N/A,FALSE,"REPORT"}</definedName>
    <definedName name="ㅂㅁ" hidden="1">{#N/A,"PURCHM",FALSE,"Business Analysis";#N/A,"SPADD",FALSE,"Business Analysis"}</definedName>
    <definedName name="별지6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보이기">#REF!</definedName>
    <definedName name="상권" hidden="1">{"'7'!$B$15:$D$32"}</definedName>
    <definedName name="상품개발" hidden="1">{"'7'!$B$15:$D$32"}</definedName>
    <definedName name="서부">NA()</definedName>
    <definedName name="손익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손익총괄표3" hidden="1">{"'7'!$B$15:$D$32"}</definedName>
    <definedName name="숨기기비고">#REF!</definedName>
    <definedName name="숨기기총괄">#REF!</definedName>
    <definedName name="숨기기팀별">#REF!</definedName>
    <definedName name="ㅇㄴㅇ" hidden="1">{"'7'!$B$15:$D$32"}</definedName>
    <definedName name="요" hidden="1">{"'7'!$B$15:$D$32"}</definedName>
    <definedName name="요약1" hidden="1">{"'7'!$B$15:$D$32"}</definedName>
    <definedName name="요약2" hidden="1">{"'7'!$B$15:$D$32"}</definedName>
    <definedName name="이" hidden="1">{"vol data",#N/A,FALSE,"Datasheet";"vol graph",#N/A,FALSE,"Volume";"price data",#N/A,FALSE,"Datasheet";"price graph",#N/A,FALSE,"Price";"dp data",#N/A,FALSE,"Datasheet";"dp graph",#N/A,FALSE,"DirectProfit"}</definedName>
    <definedName name="이쁘니"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인쇄용">#REF!</definedName>
    <definedName name="인천">NA()</definedName>
    <definedName name="조" hidden="1">{"'7'!$B$15:$D$32"}</definedName>
    <definedName name="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앙"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ㅏㅏ" hidden="1">{"'7'!$B$15:$D$32"}</definedName>
    <definedName name="ㅡㅡㅡㅡ" hidden="1">{"'7'!$B$15:$D$32"}</definedName>
    <definedName name="其他">#REF!</definedName>
    <definedName name="探测器及接口类部件GW">{"Client Name or Project Name"}</definedName>
    <definedName name="无税品种品合计划">#REF!</definedName>
    <definedName name="条件">"ボタン 2,ボタン 3,ラベル 9,ラベル 10,チェック 12,チェック 13,チェック 14,チェック 15,チェック 16,チェック 17,チェック 18,チェック 20,チェック 25,チェック 26,チェック 27,チェック 28,チェック 29,チェック 31,チェック 32,チェック 33,グループ 95"</definedName>
    <definedName name="背部">#REF!</definedName>
    <definedName name="配賦DB_Module.box2_select">#REF!</definedName>
    <definedName name="配賦DB_Module.OptionChk1">#REF!</definedName>
    <definedName name="配賦DB_Module.OptionChk2">#REF!</definedName>
    <definedName name="配賦DB_Module.OptionChk3">#REF!</definedName>
    <definedName name="配賦EX_Module.Haifu_Execute">#REF!</definedName>
    <definedName name="配賦EX_Module.Haifu_NumberEdit">#REF!</definedName>
    <definedName name="销售成本">#REF!</definedName>
    <definedName name="CIQWBGuid" localSheetId="0" hidden="1">"c9044bd8-fade-4d15-afa1-3de2f1c583a4"</definedName>
    <definedName name="_xlnm.Print_Area" localSheetId="0">'Industry Growth'!$A$1:$S$66</definedName>
    <definedName name="dff" localSheetId="1">ROW()-fffvb</definedName>
    <definedName name="dhadfkjadfsghdn" localSheetId="1">Scheduled_Payment+Extra_Payment</definedName>
    <definedName name="fslog" localSheetId="1">77.2+20*LOG(freq)</definedName>
    <definedName name="MyBookIncome" localSheetId="1">IF(BookIncome = "","",BookIncome)</definedName>
    <definedName name="MyFEIN" localSheetId="1">IF(FEIN="","",FEIN)</definedName>
    <definedName name="NetDebt" localSheetId="1">[0]!CASH-'FY26 GWP'!TotalDebt</definedName>
    <definedName name="NetInterest" localSheetId="1">InterestIncome-InterestExpense</definedName>
    <definedName name="nihar" localSheetId="1">Scheduled_Payment+Extra_Payment</definedName>
    <definedName name="Ratios" localSheetId="1">CapitalEmployed+CurrentLiab</definedName>
    <definedName name="T_P" localSheetId="1">Scheduled_Payment+Extra_Payment</definedName>
    <definedName name="Total_Payment" localSheetId="1">Scheduled_Payment+Extra_Payment</definedName>
    <definedName name="TotalAssets" localSheetId="1">CapitalEmployed+CurrentLiab</definedName>
    <definedName name="TotalDebt" localSheetId="1">LongTermDebt+ShortTermDebt+CurrentPortion</definedName>
    <definedName name="_xlnm.Print_Area" localSheetId="1">'FY26 GWP'!$A$1:$R$97</definedName>
    <definedName name="_xlnm.Print_Area" localSheetId="2">'Q1''26 GWP'!$A$1:$O$97</definedName>
    <definedName name="CIQWBGuid" localSheetId="3" hidden="1">"c9044bd8-fade-4d15-afa1-3de2f1c583a4"</definedName>
    <definedName name="\" localSheetId="4" hidden="1">{"detail",#N/A,FALSE,"mfg";"summary",#N/A,FALSE,"mfg"}</definedName>
    <definedName name="\FDF" localSheetId="4" hidden="1">{"'7'!$B$15:$D$32"}</definedName>
    <definedName name="_" localSheetId="4" hidden="1">{"Page 1",#N/A,TRUE,"Sheet1";"Page 2",#N/A,TRUE,"Sheet1"}</definedName>
    <definedName name="___________________________________________a1" localSheetId="4" hidden="1">{"Geo - Detail Detail",#N/A,FALSE,"Geo View";"Geo - Detail",#N/A,FALSE,"Geo View";"Dept - Detail Detail",#N/A,FALSE,"Dept View";"Dept - Detail",#N/A,FALSE,"Dept View"}</definedName>
    <definedName name="___________________________________________a2" localSheetId="4" hidden="1">{"Geo - Detail Detail",#N/A,FALSE,"Geo View";"Geo - Detail",#N/A,FALSE,"Geo View";"Dept - Detail Detail",#N/A,FALSE,"Dept View";"Dept - Detail",#N/A,FALSE,"Dept View"}</definedName>
    <definedName name="___________________________________________a3" localSheetId="4" hidden="1">{"Geo - Detail Detail",#N/A,FALSE,"Geo View";"Geo - Detail",#N/A,FALSE,"Geo View";"Dept - Detail Detail",#N/A,FALSE,"Dept View";"Dept - Detail",#N/A,FALSE,"Dept View"}</definedName>
    <definedName name="__________________________________________a1" localSheetId="4" hidden="1">{"Geo - Detail Detail",#N/A,FALSE,"Geo View";"Geo - Detail",#N/A,FALSE,"Geo View";"Dept - Detail Detail",#N/A,FALSE,"Dept View";"Dept - Detail",#N/A,FALSE,"Dept View"}</definedName>
    <definedName name="__________________________________________a2" localSheetId="4" hidden="1">{"Geo - Detail Detail",#N/A,FALSE,"Geo View";"Geo - Detail",#N/A,FALSE,"Geo View";"Dept - Detail Detail",#N/A,FALSE,"Dept View";"Dept - Detail",#N/A,FALSE,"Dept View"}</definedName>
    <definedName name="__________________________________________a3" localSheetId="4" hidden="1">{"Geo - Detail Detail",#N/A,FALSE,"Geo View";"Geo - Detail",#N/A,FALSE,"Geo View";"Dept - Detail Detail",#N/A,FALSE,"Dept View";"Dept - Detail",#N/A,FALSE,"Dept View"}</definedName>
    <definedName name="_________________________________________a1" localSheetId="4" hidden="1">{"Geo - Detail Detail",#N/A,FALSE,"Geo View";"Geo - Detail",#N/A,FALSE,"Geo View";"Dept - Detail Detail",#N/A,FALSE,"Dept View";"Dept - Detail",#N/A,FALSE,"Dept View"}</definedName>
    <definedName name="_________________________________________a2" localSheetId="4" hidden="1">{"Geo - Detail Detail",#N/A,FALSE,"Geo View";"Geo - Detail",#N/A,FALSE,"Geo View";"Dept - Detail Detail",#N/A,FALSE,"Dept View";"Dept - Detail",#N/A,FALSE,"Dept View"}</definedName>
    <definedName name="_________________________________________a3" localSheetId="4" hidden="1">{"Geo - Detail Detail",#N/A,FALSE,"Geo View";"Geo - Detail",#N/A,FALSE,"Geo View";"Dept - Detail Detail",#N/A,FALSE,"Dept View";"Dept - Detail",#N/A,FALSE,"Dept View"}</definedName>
    <definedName name="________________________________________a1" localSheetId="4" hidden="1">{"Geo - Detail Detail",#N/A,FALSE,"Geo View";"Geo - Detail",#N/A,FALSE,"Geo View";"Dept - Detail Detail",#N/A,FALSE,"Dept View";"Dept - Detail",#N/A,FALSE,"Dept View"}</definedName>
    <definedName name="________________________________________a2" localSheetId="4" hidden="1">{"Geo - Detail Detail",#N/A,FALSE,"Geo View";"Geo - Detail",#N/A,FALSE,"Geo View";"Dept - Detail Detail",#N/A,FALSE,"Dept View";"Dept - Detail",#N/A,FALSE,"Dept View"}</definedName>
    <definedName name="________________________________________a3" localSheetId="4" hidden="1">{"Geo - Detail Detail",#N/A,FALSE,"Geo View";"Geo - Detail",#N/A,FALSE,"Geo View";"Dept - Detail Detail",#N/A,FALSE,"Dept View";"Dept - Detail",#N/A,FALSE,"Dept View"}</definedName>
    <definedName name="_______________________________________a1" localSheetId="4" hidden="1">{"Geo - Detail Detail",#N/A,FALSE,"Geo View";"Geo - Detail",#N/A,FALSE,"Geo View";"Dept - Detail Detail",#N/A,FALSE,"Dept View";"Dept - Detail",#N/A,FALSE,"Dept View"}</definedName>
    <definedName name="_______________________________________a2" localSheetId="4" hidden="1">{"Geo - Detail Detail",#N/A,FALSE,"Geo View";"Geo - Detail",#N/A,FALSE,"Geo View";"Dept - Detail Detail",#N/A,FALSE,"Dept View";"Dept - Detail",#N/A,FALSE,"Dept View"}</definedName>
    <definedName name="_______________________________________a3" localSheetId="4" hidden="1">{"Geo - Detail Detail",#N/A,FALSE,"Geo View";"Geo - Detail",#N/A,FALSE,"Geo View";"Dept - Detail Detail",#N/A,FALSE,"Dept View";"Dept - Detail",#N/A,FALSE,"Dept View"}</definedName>
    <definedName name="______________________________________a1" localSheetId="4" hidden="1">{"Geo - Detail Detail",#N/A,FALSE,"Geo View";"Geo - Detail",#N/A,FALSE,"Geo View";"Dept - Detail Detail",#N/A,FALSE,"Dept View";"Dept - Detail",#N/A,FALSE,"Dept View"}</definedName>
    <definedName name="______________________________________a2" localSheetId="4" hidden="1">{"Geo - Detail Detail",#N/A,FALSE,"Geo View";"Geo - Detail",#N/A,FALSE,"Geo View";"Dept - Detail Detail",#N/A,FALSE,"Dept View";"Dept - Detail",#N/A,FALSE,"Dept View"}</definedName>
    <definedName name="______________________________________a3" localSheetId="4" hidden="1">{"Geo - Detail Detail",#N/A,FALSE,"Geo View";"Geo - Detail",#N/A,FALSE,"Geo View";"Dept - Detail Detail",#N/A,FALSE,"Dept View";"Dept - Detail",#N/A,FALSE,"Dept View"}</definedName>
    <definedName name="_____________________________________a1" localSheetId="4" hidden="1">{"Geo - Detail Detail",#N/A,FALSE,"Geo View";"Geo - Detail",#N/A,FALSE,"Geo View";"Dept - Detail Detail",#N/A,FALSE,"Dept View";"Dept - Detail",#N/A,FALSE,"Dept View"}</definedName>
    <definedName name="_____________________________________a2" localSheetId="4" hidden="1">{"Geo - Detail Detail",#N/A,FALSE,"Geo View";"Geo - Detail",#N/A,FALSE,"Geo View";"Dept - Detail Detail",#N/A,FALSE,"Dept View";"Dept - Detail",#N/A,FALSE,"Dept View"}</definedName>
    <definedName name="_____________________________________a3" localSheetId="4" hidden="1">{"Geo - Detail Detail",#N/A,FALSE,"Geo View";"Geo - Detail",#N/A,FALSE,"Geo View";"Dept - Detail Detail",#N/A,FALSE,"Dept View";"Dept - Detail",#N/A,FALSE,"Dept View"}</definedName>
    <definedName name="____________________________________a1" localSheetId="4" hidden="1">{"Geo - Detail Detail",#N/A,FALSE,"Geo View";"Geo - Detail",#N/A,FALSE,"Geo View";"Dept - Detail Detail",#N/A,FALSE,"Dept View";"Dept - Detail",#N/A,FALSE,"Dept View"}</definedName>
    <definedName name="____________________________________a2" localSheetId="4" hidden="1">{"Geo - Detail Detail",#N/A,FALSE,"Geo View";"Geo - Detail",#N/A,FALSE,"Geo View";"Dept - Detail Detail",#N/A,FALSE,"Dept View";"Dept - Detail",#N/A,FALSE,"Dept View"}</definedName>
    <definedName name="____________________________________a3" localSheetId="4" hidden="1">{"Geo - Detail Detail",#N/A,FALSE,"Geo View";"Geo - Detail",#N/A,FALSE,"Geo View";"Dept - Detail Detail",#N/A,FALSE,"Dept View";"Dept - Detail",#N/A,FALSE,"Dept View"}</definedName>
    <definedName name="___________________________________a1" localSheetId="4" hidden="1">{"Geo - Detail Detail",#N/A,FALSE,"Geo View";"Geo - Detail",#N/A,FALSE,"Geo View";"Dept - Detail Detail",#N/A,FALSE,"Dept View";"Dept - Detail",#N/A,FALSE,"Dept View"}</definedName>
    <definedName name="___________________________________a2" localSheetId="4" hidden="1">{"Geo - Detail Detail",#N/A,FALSE,"Geo View";"Geo - Detail",#N/A,FALSE,"Geo View";"Dept - Detail Detail",#N/A,FALSE,"Dept View";"Dept - Detail",#N/A,FALSE,"Dept View"}</definedName>
    <definedName name="___________________________________a3" localSheetId="4" hidden="1">{"Geo - Detail Detail",#N/A,FALSE,"Geo View";"Geo - Detail",#N/A,FALSE,"Geo View";"Dept - Detail Detail",#N/A,FALSE,"Dept View";"Dept - Detail",#N/A,FALSE,"Dept View"}</definedName>
    <definedName name="__________________________________a1" localSheetId="4" hidden="1">{"Geo - Detail Detail",#N/A,FALSE,"Geo View";"Geo - Detail",#N/A,FALSE,"Geo View";"Dept - Detail Detail",#N/A,FALSE,"Dept View";"Dept - Detail",#N/A,FALSE,"Dept View"}</definedName>
    <definedName name="__________________________________a2" localSheetId="4" hidden="1">{"Geo - Detail Detail",#N/A,FALSE,"Geo View";"Geo - Detail",#N/A,FALSE,"Geo View";"Dept - Detail Detail",#N/A,FALSE,"Dept View";"Dept - Detail",#N/A,FALSE,"Dept View"}</definedName>
    <definedName name="__________________________________a3" localSheetId="4" hidden="1">{"Geo - Detail Detail",#N/A,FALSE,"Geo View";"Geo - Detail",#N/A,FALSE,"Geo View";"Dept - Detail Detail",#N/A,FALSE,"Dept View";"Dept - Detail",#N/A,FALSE,"Dept View"}</definedName>
    <definedName name="_________________________________a1" localSheetId="4" hidden="1">{"Geo - Detail Detail",#N/A,FALSE,"Geo View";"Geo - Detail",#N/A,FALSE,"Geo View";"Dept - Detail Detail",#N/A,FALSE,"Dept View";"Dept - Detail",#N/A,FALSE,"Dept View"}</definedName>
    <definedName name="_________________________________a2" localSheetId="4" hidden="1">{"Geo - Detail Detail",#N/A,FALSE,"Geo View";"Geo - Detail",#N/A,FALSE,"Geo View";"Dept - Detail Detail",#N/A,FALSE,"Dept View";"Dept - Detail",#N/A,FALSE,"Dept View"}</definedName>
    <definedName name="_________________________________a3" localSheetId="4" hidden="1">{"Geo - Detail Detail",#N/A,FALSE,"Geo View";"Geo - Detail",#N/A,FALSE,"Geo View";"Dept - Detail Detail",#N/A,FALSE,"Dept View";"Dept - Detail",#N/A,FALSE,"Dept View"}</definedName>
    <definedName name="________________________________a1" localSheetId="4" hidden="1">{"Geo - Detail Detail",#N/A,FALSE,"Geo View";"Geo - Detail",#N/A,FALSE,"Geo View";"Dept - Detail Detail",#N/A,FALSE,"Dept View";"Dept - Detail",#N/A,FALSE,"Dept View"}</definedName>
    <definedName name="________________________________a2" localSheetId="4" hidden="1">{"Geo - Detail Detail",#N/A,FALSE,"Geo View";"Geo - Detail",#N/A,FALSE,"Geo View";"Dept - Detail Detail",#N/A,FALSE,"Dept View";"Dept - Detail",#N/A,FALSE,"Dept View"}</definedName>
    <definedName name="________________________________a3" localSheetId="4" hidden="1">{"Geo - Detail Detail",#N/A,FALSE,"Geo View";"Geo - Detail",#N/A,FALSE,"Geo View";"Dept - Detail Detail",#N/A,FALSE,"Dept View";"Dept - Detail",#N/A,FALSE,"Dept View"}</definedName>
    <definedName name="_______________________________a1" localSheetId="4" hidden="1">{"Geo - Detail Detail",#N/A,FALSE,"Geo View";"Geo - Detail",#N/A,FALSE,"Geo View";"Dept - Detail Detail",#N/A,FALSE,"Dept View";"Dept - Detail",#N/A,FALSE,"Dept View"}</definedName>
    <definedName name="_______________________________a2" localSheetId="4" hidden="1">{"Geo - Detail Detail",#N/A,FALSE,"Geo View";"Geo - Detail",#N/A,FALSE,"Geo View";"Dept - Detail Detail",#N/A,FALSE,"Dept View";"Dept - Detail",#N/A,FALSE,"Dept View"}</definedName>
    <definedName name="_______________________________a3" localSheetId="4" hidden="1">{"Geo - Detail Detail",#N/A,FALSE,"Geo View";"Geo - Detail",#N/A,FALSE,"Geo View";"Dept - Detail Detail",#N/A,FALSE,"Dept View";"Dept - Detail",#N/A,FALSE,"Dept View"}</definedName>
    <definedName name="_______________________________loc1" localSheetId="4">City&amp;" "&amp;State</definedName>
    <definedName name="______________________________a1" localSheetId="4" hidden="1">{"Geo - Detail Detail",#N/A,FALSE,"Geo View";"Geo - Detail",#N/A,FALSE,"Geo View";"Dept - Detail Detail",#N/A,FALSE,"Dept View";"Dept - Detail",#N/A,FALSE,"Dept View"}</definedName>
    <definedName name="______________________________a2" localSheetId="4" hidden="1">{"Geo - Detail Detail",#N/A,FALSE,"Geo View";"Geo - Detail",#N/A,FALSE,"Geo View";"Dept - Detail Detail",#N/A,FALSE,"Dept View";"Dept - Detail",#N/A,FALSE,"Dept View"}</definedName>
    <definedName name="______________________________a3" localSheetId="4" hidden="1">{"Geo - Detail Detail",#N/A,FALSE,"Geo View";"Geo - Detail",#N/A,FALSE,"Geo View";"Dept - Detail Detail",#N/A,FALSE,"Dept View";"Dept - Detail",#N/A,FALSE,"Dept View"}</definedName>
    <definedName name="______________________________loc1" localSheetId="4">City&amp;" "&amp;State</definedName>
    <definedName name="_____________________________a1" localSheetId="4" hidden="1">{"Geo - Detail Detail",#N/A,FALSE,"Geo View";"Geo - Detail",#N/A,FALSE,"Geo View";"Dept - Detail Detail",#N/A,FALSE,"Dept View";"Dept - Detail",#N/A,FALSE,"Dept View"}</definedName>
    <definedName name="_____________________________a2" localSheetId="4" hidden="1">{"Geo - Detail Detail",#N/A,FALSE,"Geo View";"Geo - Detail",#N/A,FALSE,"Geo View";"Dept - Detail Detail",#N/A,FALSE,"Dept View";"Dept - Detail",#N/A,FALSE,"Dept View"}</definedName>
    <definedName name="_____________________________a3" localSheetId="4" hidden="1">{"Geo - Detail Detail",#N/A,FALSE,"Geo View";"Geo - Detail",#N/A,FALSE,"Geo View";"Dept - Detail Detail",#N/A,FALSE,"Dept View";"Dept - Detail",#N/A,FALSE,"Dept View"}</definedName>
    <definedName name="_____________________________loc1" localSheetId="4">City&amp;" "&amp;State</definedName>
    <definedName name="____________________________a1" localSheetId="4" hidden="1">{"Geo - Detail Detail",#N/A,FALSE,"Geo View";"Geo - Detail",#N/A,FALSE,"Geo View";"Dept - Detail Detail",#N/A,FALSE,"Dept View";"Dept - Detail",#N/A,FALSE,"Dept View"}</definedName>
    <definedName name="____________________________a2" localSheetId="4" hidden="1">{"Geo - Detail Detail",#N/A,FALSE,"Geo View";"Geo - Detail",#N/A,FALSE,"Geo View";"Dept - Detail Detail",#N/A,FALSE,"Dept View";"Dept - Detail",#N/A,FALSE,"Dept View"}</definedName>
    <definedName name="____________________________a3" localSheetId="4" hidden="1">{"Geo - Detail Detail",#N/A,FALSE,"Geo View";"Geo - Detail",#N/A,FALSE,"Geo View";"Dept - Detail Detail",#N/A,FALSE,"Dept View";"Dept - Detail",#N/A,FALSE,"Dept View"}</definedName>
    <definedName name="____________________________loc1" localSheetId="4">City&amp;" "&amp;State</definedName>
    <definedName name="___________________________a1" localSheetId="4" hidden="1">{"Geo - Detail Detail",#N/A,FALSE,"Geo View";"Geo - Detail",#N/A,FALSE,"Geo View";"Dept - Detail Detail",#N/A,FALSE,"Dept View";"Dept - Detail",#N/A,FALSE,"Dept View"}</definedName>
    <definedName name="___________________________a2" localSheetId="4" hidden="1">{"Geo - Detail Detail",#N/A,FALSE,"Geo View";"Geo - Detail",#N/A,FALSE,"Geo View";"Dept - Detail Detail",#N/A,FALSE,"Dept View";"Dept - Detail",#N/A,FALSE,"Dept View"}</definedName>
    <definedName name="___________________________a3" localSheetId="4" hidden="1">{"Geo - Detail Detail",#N/A,FALSE,"Geo View";"Geo - Detail",#N/A,FALSE,"Geo View";"Dept - Detail Detail",#N/A,FALSE,"Dept View";"Dept - Detail",#N/A,FALSE,"Dept View"}</definedName>
    <definedName name="___________________________IDC2" localSheetId="4">City&amp;" "&amp;State</definedName>
    <definedName name="__________________________a1" localSheetId="4" hidden="1">{"Geo - Detail Detail",#N/A,FALSE,"Geo View";"Geo - Detail",#N/A,FALSE,"Geo View";"Dept - Detail Detail",#N/A,FALSE,"Dept View";"Dept - Detail",#N/A,FALSE,"Dept View"}</definedName>
    <definedName name="__________________________A11" localSheetId="4" hidden="1">{#N/A,#N/A,FALSE,"Umsatz 99";#N/A,#N/A,FALSE,"ER 99 "}</definedName>
    <definedName name="__________________________a2" localSheetId="4" hidden="1">{"Geo - Detail Detail",#N/A,FALSE,"Geo View";"Geo - Detail",#N/A,FALSE,"Geo View";"Dept - Detail Detail",#N/A,FALSE,"Dept View";"Dept - Detail",#N/A,FALSE,"Dept View"}</definedName>
    <definedName name="__________________________a3" localSheetId="4" hidden="1">{"Geo - Detail Detail",#N/A,FALSE,"Geo View";"Geo - Detail",#N/A,FALSE,"Geo View";"Dept - Detail Detail",#N/A,FALSE,"Dept View";"Dept - Detail",#N/A,FALSE,"Dept View"}</definedName>
    <definedName name="__________________________c" localSheetId="4" hidden="1">{"Fiesta Facer Page",#N/A,FALSE,"Q_C_S";"Fiesta Main Page",#N/A,FALSE,"V_L";"Fiesta 95BP Struct",#N/A,FALSE,"StructBP";"Fiesta Post 95BP Struct",#N/A,FALSE,"AdjStructBP"}</definedName>
    <definedName name="__________________________IDC2" localSheetId="4">City&amp;" "&amp;State</definedName>
    <definedName name="__________________________loc1" localSheetId="4">City&amp;" "&amp;State</definedName>
    <definedName name="__________________________V2" localSheetId="4" hidden="1">{#N/A,#N/A,FALSE,"Tabl. A1";#N/A,#N/A,FALSE,"Tabl. A1 b";#N/A,#N/A,FALSE,"Tabl. A2";#N/A,#N/A,FALSE,"Tabl. A2-1";#N/A,#N/A,FALSE,"Tabl. A2-2"}</definedName>
    <definedName name="_________________________a1" localSheetId="4" hidden="1">{"Geo - Detail Detail",#N/A,FALSE,"Geo View";"Geo - Detail",#N/A,FALSE,"Geo View";"Dept - Detail Detail",#N/A,FALSE,"Dept View";"Dept - Detail",#N/A,FALSE,"Dept View"}</definedName>
    <definedName name="_________________________a2" localSheetId="4" hidden="1">{"Geo - Detail Detail",#N/A,FALSE,"Geo View";"Geo - Detail",#N/A,FALSE,"Geo View";"Dept - Detail Detail",#N/A,FALSE,"Dept View";"Dept - Detail",#N/A,FALSE,"Dept View"}</definedName>
    <definedName name="_________________________a3" localSheetId="4" hidden="1">{"Geo - Detail Detail",#N/A,FALSE,"Geo View";"Geo - Detail",#N/A,FALSE,"Geo View";"Dept - Detail Detail",#N/A,FALSE,"Dept View";"Dept - Detail",#N/A,FALSE,"Dept View"}</definedName>
    <definedName name="_________________________loc1" localSheetId="4">City&amp;" "&amp;State</definedName>
    <definedName name="________________________a1" localSheetId="4" hidden="1">{"Geo - Detail Detail",#N/A,FALSE,"Geo View";"Geo - Detail",#N/A,FALSE,"Geo View";"Dept - Detail Detail",#N/A,FALSE,"Dept View";"Dept - Detail",#N/A,FALSE,"Dept View"}</definedName>
    <definedName name="________________________a2" localSheetId="4" hidden="1">{"Geo - Detail Detail",#N/A,FALSE,"Geo View";"Geo - Detail",#N/A,FALSE,"Geo View";"Dept - Detail Detail",#N/A,FALSE,"Dept View";"Dept - Detail",#N/A,FALSE,"Dept View"}</definedName>
    <definedName name="________________________a3" localSheetId="4" hidden="1">{"Geo - Detail Detail",#N/A,FALSE,"Geo View";"Geo - Detail",#N/A,FALSE,"Geo View";"Dept - Detail Detail",#N/A,FALSE,"Dept View";"Dept - Detail",#N/A,FALSE,"Dept View"}</definedName>
    <definedName name="________________________IDC2" localSheetId="4">City&amp;" "&amp;State</definedName>
    <definedName name="________________________loc1" localSheetId="4">City&amp;" "&amp;State</definedName>
    <definedName name="_______________________a1" localSheetId="4" hidden="1">{"Geo - Detail Detail",#N/A,FALSE,"Geo View";"Geo - Detail",#N/A,FALSE,"Geo View";"Dept - Detail Detail",#N/A,FALSE,"Dept View";"Dept - Detail",#N/A,FALSE,"Dept View"}</definedName>
    <definedName name="_______________________A11" localSheetId="4" hidden="1">{#N/A,#N/A,FALSE,"Umsatz 99";#N/A,#N/A,FALSE,"ER 99 "}</definedName>
    <definedName name="_______________________a2" localSheetId="4" hidden="1">{"Geo - Detail Detail",#N/A,FALSE,"Geo View";"Geo - Detail",#N/A,FALSE,"Geo View";"Dept - Detail Detail",#N/A,FALSE,"Dept View";"Dept - Detail",#N/A,FALSE,"Dept View"}</definedName>
    <definedName name="_______________________a3" localSheetId="4" hidden="1">{"Geo - Detail Detail",#N/A,FALSE,"Geo View";"Geo - Detail",#N/A,FALSE,"Geo View";"Dept - Detail Detail",#N/A,FALSE,"Dept View";"Dept - Detail",#N/A,FALSE,"Dept View"}</definedName>
    <definedName name="_______________________c" localSheetId="4" hidden="1">{"Fiesta Facer Page",#N/A,FALSE,"Q_C_S";"Fiesta Main Page",#N/A,FALSE,"V_L";"Fiesta 95BP Struct",#N/A,FALSE,"StructBP";"Fiesta Post 95BP Struct",#N/A,FALSE,"AdjStructBP"}</definedName>
    <definedName name="_______________________IDC2" localSheetId="4">City&amp;" "&amp;State</definedName>
    <definedName name="_______________________loc1" localSheetId="4">City&amp;" "&amp;State</definedName>
    <definedName name="_______________________V2" localSheetId="4" hidden="1">{#N/A,#N/A,FALSE,"Tabl. A1";#N/A,#N/A,FALSE,"Tabl. A1 b";#N/A,#N/A,FALSE,"Tabl. A2";#N/A,#N/A,FALSE,"Tabl. A2-1";#N/A,#N/A,FALSE,"Tabl. A2-2"}</definedName>
    <definedName name="______________________a1" localSheetId="4" hidden="1">{"Geo - Detail Detail",#N/A,FALSE,"Geo View";"Geo - Detail",#N/A,FALSE,"Geo View";"Dept - Detail Detail",#N/A,FALSE,"Dept View";"Dept - Detail",#N/A,FALSE,"Dept View"}</definedName>
    <definedName name="______________________a2" localSheetId="4" hidden="1">{"Geo - Detail Detail",#N/A,FALSE,"Geo View";"Geo - Detail",#N/A,FALSE,"Geo View";"Dept - Detail Detail",#N/A,FALSE,"Dept View";"Dept - Detail",#N/A,FALSE,"Dept View"}</definedName>
    <definedName name="______________________a3" localSheetId="4" hidden="1">{"Geo - Detail Detail",#N/A,FALSE,"Geo View";"Geo - Detail",#N/A,FALSE,"Geo View";"Dept - Detail Detail",#N/A,FALSE,"Dept View";"Dept - Detail",#N/A,FALSE,"Dept View"}</definedName>
    <definedName name="______________________IDC2" localSheetId="4">City&amp;" "&amp;State</definedName>
    <definedName name="______________________loc1" localSheetId="4">City&amp;" "&amp;State</definedName>
    <definedName name="_____________________a1" localSheetId="4" hidden="1">{"Geo - Detail Detail",#N/A,FALSE,"Geo View";"Geo - Detail",#N/A,FALSE,"Geo View";"Dept - Detail Detail",#N/A,FALSE,"Dept View";"Dept - Detail",#N/A,FALSE,"Dept View"}</definedName>
    <definedName name="_____________________A11" localSheetId="4" hidden="1">{#N/A,#N/A,FALSE,"Umsatz 99";#N/A,#N/A,FALSE,"ER 99 "}</definedName>
    <definedName name="_____________________a2" localSheetId="4" hidden="1">{"Geo - Detail Detail",#N/A,FALSE,"Geo View";"Geo - Detail",#N/A,FALSE,"Geo View";"Dept - Detail Detail",#N/A,FALSE,"Dept View";"Dept - Detail",#N/A,FALSE,"Dept View"}</definedName>
    <definedName name="_____________________a3" localSheetId="4" hidden="1">{"Geo - Detail Detail",#N/A,FALSE,"Geo View";"Geo - Detail",#N/A,FALSE,"Geo View";"Dept - Detail Detail",#N/A,FALSE,"Dept View";"Dept - Detail",#N/A,FALSE,"Dept View"}</definedName>
    <definedName name="_____________________c" localSheetId="4" hidden="1">{"Fiesta Facer Page",#N/A,FALSE,"Q_C_S";"Fiesta Main Page",#N/A,FALSE,"V_L";"Fiesta 95BP Struct",#N/A,FALSE,"StructBP";"Fiesta Post 95BP Struct",#N/A,FALSE,"AdjStructBP"}</definedName>
    <definedName name="_____________________IDC2" localSheetId="4">City&amp;" "&amp;State</definedName>
    <definedName name="_____________________loc1" localSheetId="4">City&amp;" "&amp;State</definedName>
    <definedName name="_____________________V2" localSheetId="4" hidden="1">{#N/A,#N/A,FALSE,"Tabl. A1";#N/A,#N/A,FALSE,"Tabl. A1 b";#N/A,#N/A,FALSE,"Tabl. A2";#N/A,#N/A,FALSE,"Tabl. A2-1";#N/A,#N/A,FALSE,"Tabl. A2-2"}</definedName>
    <definedName name="____________________a1" localSheetId="4" hidden="1">{"Geo - Detail Detail",#N/A,FALSE,"Geo View";"Geo - Detail",#N/A,FALSE,"Geo View";"Dept - Detail Detail",#N/A,FALSE,"Dept View";"Dept - Detail",#N/A,FALSE,"Dept View"}</definedName>
    <definedName name="____________________A11" localSheetId="4" hidden="1">{#N/A,#N/A,FALSE,"Umsatz 99";#N/A,#N/A,FALSE,"ER 99 "}</definedName>
    <definedName name="____________________a2" localSheetId="4" hidden="1">{"Geo - Detail Detail",#N/A,FALSE,"Geo View";"Geo - Detail",#N/A,FALSE,"Geo View";"Dept - Detail Detail",#N/A,FALSE,"Dept View";"Dept - Detail",#N/A,FALSE,"Dept View"}</definedName>
    <definedName name="____________________a3" localSheetId="4" hidden="1">{"Geo - Detail Detail",#N/A,FALSE,"Geo View";"Geo - Detail",#N/A,FALSE,"Geo View";"Dept - Detail Detail",#N/A,FALSE,"Dept View";"Dept - Detail",#N/A,FALSE,"Dept View"}</definedName>
    <definedName name="____________________c" localSheetId="4" hidden="1">{"Fiesta Facer Page",#N/A,FALSE,"Q_C_S";"Fiesta Main Page",#N/A,FALSE,"V_L";"Fiesta 95BP Struct",#N/A,FALSE,"StructBP";"Fiesta Post 95BP Struct",#N/A,FALSE,"AdjStructBP"}</definedName>
    <definedName name="____________________IDC2" localSheetId="4">City&amp;" "&amp;State</definedName>
    <definedName name="____________________loc1" localSheetId="4">City&amp;" "&amp;State</definedName>
    <definedName name="____________________V2" localSheetId="4" hidden="1">{#N/A,#N/A,FALSE,"Tabl. A1";#N/A,#N/A,FALSE,"Tabl. A1 b";#N/A,#N/A,FALSE,"Tabl. A2";#N/A,#N/A,FALSE,"Tabl. A2-1";#N/A,#N/A,FALSE,"Tabl. A2-2"}</definedName>
    <definedName name="___________________a1" localSheetId="4" hidden="1">{"Geo - Detail Detail",#N/A,FALSE,"Geo View";"Geo - Detail",#N/A,FALSE,"Geo View";"Dept - Detail Detail",#N/A,FALSE,"Dept View";"Dept - Detail",#N/A,FALSE,"Dept View"}</definedName>
    <definedName name="___________________A11" localSheetId="4" hidden="1">{#N/A,#N/A,FALSE,"Umsatz 99";#N/A,#N/A,FALSE,"ER 99 "}</definedName>
    <definedName name="___________________a2" localSheetId="4" hidden="1">{"Geo - Detail Detail",#N/A,FALSE,"Geo View";"Geo - Detail",#N/A,FALSE,"Geo View";"Dept - Detail Detail",#N/A,FALSE,"Dept View";"Dept - Detail",#N/A,FALSE,"Dept View"}</definedName>
    <definedName name="___________________a3" localSheetId="4" hidden="1">{"Geo - Detail Detail",#N/A,FALSE,"Geo View";"Geo - Detail",#N/A,FALSE,"Geo View";"Dept - Detail Detail",#N/A,FALSE,"Dept View";"Dept - Detail",#N/A,FALSE,"Dept View"}</definedName>
    <definedName name="___________________c" localSheetId="4" hidden="1">{"Fiesta Facer Page",#N/A,FALSE,"Q_C_S";"Fiesta Main Page",#N/A,FALSE,"V_L";"Fiesta 95BP Struct",#N/A,FALSE,"StructBP";"Fiesta Post 95BP Struct",#N/A,FALSE,"AdjStructBP"}</definedName>
    <definedName name="___________________IDC2" localSheetId="4">City&amp;" "&amp;State</definedName>
    <definedName name="___________________loc1" localSheetId="4">City&amp;" "&amp;State</definedName>
    <definedName name="___________________V2" localSheetId="4" hidden="1">{#N/A,#N/A,FALSE,"Tabl. A1";#N/A,#N/A,FALSE,"Tabl. A1 b";#N/A,#N/A,FALSE,"Tabl. A2";#N/A,#N/A,FALSE,"Tabl. A2-1";#N/A,#N/A,FALSE,"Tabl. A2-2"}</definedName>
    <definedName name="__________________a1" localSheetId="4" hidden="1">{"Geo - Detail Detail",#N/A,FALSE,"Geo View";"Geo - Detail",#N/A,FALSE,"Geo View";"Dept - Detail Detail",#N/A,FALSE,"Dept View";"Dept - Detail",#N/A,FALSE,"Dept View"}</definedName>
    <definedName name="__________________A11" localSheetId="4" hidden="1">{#N/A,#N/A,FALSE,"Umsatz 99";#N/A,#N/A,FALSE,"ER 99 "}</definedName>
    <definedName name="__________________a2" localSheetId="4" hidden="1">{"Geo - Detail Detail",#N/A,FALSE,"Geo View";"Geo - Detail",#N/A,FALSE,"Geo View";"Dept - Detail Detail",#N/A,FALSE,"Dept View";"Dept - Detail",#N/A,FALSE,"Dept View"}</definedName>
    <definedName name="__________________a3" localSheetId="4" hidden="1">{"Geo - Detail Detail",#N/A,FALSE,"Geo View";"Geo - Detail",#N/A,FALSE,"Geo View";"Dept - Detail Detail",#N/A,FALSE,"Dept View";"Dept - Detail",#N/A,FALSE,"Dept View"}</definedName>
    <definedName name="__________________c" localSheetId="4" hidden="1">{"Fiesta Facer Page",#N/A,FALSE,"Q_C_S";"Fiesta Main Page",#N/A,FALSE,"V_L";"Fiesta 95BP Struct",#N/A,FALSE,"StructBP";"Fiesta Post 95BP Struct",#N/A,FALSE,"AdjStructBP"}</definedName>
    <definedName name="__________________IDC2" localSheetId="4">City&amp;" "&amp;State</definedName>
    <definedName name="__________________loc1" localSheetId="4">City&amp;" "&amp;State</definedName>
    <definedName name="__________________V2" localSheetId="4" hidden="1">{#N/A,#N/A,FALSE,"Tabl. A1";#N/A,#N/A,FALSE,"Tabl. A1 b";#N/A,#N/A,FALSE,"Tabl. A2";#N/A,#N/A,FALSE,"Tabl. A2-1";#N/A,#N/A,FALSE,"Tabl. A2-2"}</definedName>
    <definedName name="_________________a1" localSheetId="4" hidden="1">{"Geo - Detail Detail",#N/A,FALSE,"Geo View";"Geo - Detail",#N/A,FALSE,"Geo View";"Dept - Detail Detail",#N/A,FALSE,"Dept View";"Dept - Detail",#N/A,FALSE,"Dept View"}</definedName>
    <definedName name="_________________A11" localSheetId="4" hidden="1">{#N/A,#N/A,FALSE,"Umsatz 99";#N/A,#N/A,FALSE,"ER 99 "}</definedName>
    <definedName name="_________________a2" localSheetId="4" hidden="1">{"Geo - Detail Detail",#N/A,FALSE,"Geo View";"Geo - Detail",#N/A,FALSE,"Geo View";"Dept - Detail Detail",#N/A,FALSE,"Dept View";"Dept - Detail",#N/A,FALSE,"Dept View"}</definedName>
    <definedName name="_________________a3" localSheetId="4" hidden="1">{"Geo - Detail Detail",#N/A,FALSE,"Geo View";"Geo - Detail",#N/A,FALSE,"Geo View";"Dept - Detail Detail",#N/A,FALSE,"Dept View";"Dept - Detail",#N/A,FALSE,"Dept View"}</definedName>
    <definedName name="____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_c" localSheetId="4" hidden="1">{"Fiesta Facer Page",#N/A,FALSE,"Q_C_S";"Fiesta Main Page",#N/A,FALSE,"V_L";"Fiesta 95BP Struct",#N/A,FALSE,"StructBP";"Fiesta Post 95BP Struct",#N/A,FALSE,"AdjStructBP"}</definedName>
    <definedName name="_________________Grp16" localSheetId="4" hidden="1">{#N/A,#N/A,FALSE,"PMTABB";#N/A,#N/A,FALSE,"PMTABB"}</definedName>
    <definedName name="_________________IDC2" localSheetId="4">City&amp;" "&amp;State</definedName>
    <definedName name="_________________loc1" localSheetId="4">City&amp;" "&amp;State</definedName>
    <definedName name="_________________V2" localSheetId="4" hidden="1">{#N/A,#N/A,FALSE,"Tabl. A1";#N/A,#N/A,FALSE,"Tabl. A1 b";#N/A,#N/A,FALSE,"Tabl. A2";#N/A,#N/A,FALSE,"Tabl. A2-1";#N/A,#N/A,FALSE,"Tabl. A2-2"}</definedName>
    <definedName name="________________a1" localSheetId="4" hidden="1">{"Geo - Detail Detail",#N/A,FALSE,"Geo View";"Geo - Detail",#N/A,FALSE,"Geo View";"Dept - Detail Detail",#N/A,FALSE,"Dept View";"Dept - Detail",#N/A,FALSE,"Dept View"}</definedName>
    <definedName name="________________A11" localSheetId="4" hidden="1">{#N/A,#N/A,FALSE,"Umsatz 99";#N/A,#N/A,FALSE,"ER 99 "}</definedName>
    <definedName name="________________a2" localSheetId="4" hidden="1">{"Geo - Detail Detail",#N/A,FALSE,"Geo View";"Geo - Detail",#N/A,FALSE,"Geo View";"Dept - Detail Detail",#N/A,FALSE,"Dept View";"Dept - Detail",#N/A,FALSE,"Dept View"}</definedName>
    <definedName name="________________a3" localSheetId="4" hidden="1">{"Geo - Detail Detail",#N/A,FALSE,"Geo View";"Geo - Detail",#N/A,FALSE,"Geo View";"Dept - Detail Detail",#N/A,FALSE,"Dept View";"Dept - Detail",#N/A,FALSE,"Dept View"}</definedName>
    <definedName name="___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_c" localSheetId="4" hidden="1">{"Fiesta Facer Page",#N/A,FALSE,"Q_C_S";"Fiesta Main Page",#N/A,FALSE,"V_L";"Fiesta 95BP Struct",#N/A,FALSE,"StructBP";"Fiesta Post 95BP Struct",#N/A,FALSE,"AdjStructBP"}</definedName>
    <definedName name="________________Grp16" localSheetId="4" hidden="1">{#N/A,#N/A,FALSE,"PMTABB";#N/A,#N/A,FALSE,"PMTABB"}</definedName>
    <definedName name="________________IDC2" localSheetId="4">City&amp;" "&amp;State</definedName>
    <definedName name="________________loc1" localSheetId="4">City&amp;" "&amp;State</definedName>
    <definedName name="________________V2" localSheetId="4" hidden="1">{#N/A,#N/A,FALSE,"Tabl. A1";#N/A,#N/A,FALSE,"Tabl. A1 b";#N/A,#N/A,FALSE,"Tabl. A2";#N/A,#N/A,FALSE,"Tabl. A2-1";#N/A,#N/A,FALSE,"Tabl. A2-2"}</definedName>
    <definedName name="_______________a1" localSheetId="4" hidden="1">{"Geo - Detail Detail",#N/A,FALSE,"Geo View";"Geo - Detail",#N/A,FALSE,"Geo View";"Dept - Detail Detail",#N/A,FALSE,"Dept View";"Dept - Detail",#N/A,FALSE,"Dept View"}</definedName>
    <definedName name="_______________A11" localSheetId="4" hidden="1">{#N/A,#N/A,FALSE,"Umsatz 99";#N/A,#N/A,FALSE,"ER 99 "}</definedName>
    <definedName name="_______________a2" localSheetId="4" hidden="1">{"Geo - Detail Detail",#N/A,FALSE,"Geo View";"Geo - Detail",#N/A,FALSE,"Geo View";"Dept - Detail Detail",#N/A,FALSE,"Dept View";"Dept - Detail",#N/A,FALSE,"Dept View"}</definedName>
    <definedName name="_______________a3" localSheetId="4" hidden="1">{"Geo - Detail Detail",#N/A,FALSE,"Geo View";"Geo - Detail",#N/A,FALSE,"Geo View";"Dept - Detail Detail",#N/A,FALSE,"Dept View";"Dept - Detail",#N/A,FALSE,"Dept View"}</definedName>
    <definedName name="__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_c" localSheetId="4" hidden="1">{"Fiesta Facer Page",#N/A,FALSE,"Q_C_S";"Fiesta Main Page",#N/A,FALSE,"V_L";"Fiesta 95BP Struct",#N/A,FALSE,"StructBP";"Fiesta Post 95BP Struct",#N/A,FALSE,"AdjStructBP"}</definedName>
    <definedName name="_______________Grp16" localSheetId="4" hidden="1">{#N/A,#N/A,FALSE,"PMTABB";#N/A,#N/A,FALSE,"PMTABB"}</definedName>
    <definedName name="_______________IDC2" localSheetId="4">City&amp;" "&amp;State</definedName>
    <definedName name="_______________loc1" localSheetId="4">City&amp;" "&amp;State</definedName>
    <definedName name="_______________V2" localSheetId="4" hidden="1">{#N/A,#N/A,FALSE,"Tabl. A1";#N/A,#N/A,FALSE,"Tabl. A1 b";#N/A,#N/A,FALSE,"Tabl. A2";#N/A,#N/A,FALSE,"Tabl. A2-1";#N/A,#N/A,FALSE,"Tabl. A2-2"}</definedName>
    <definedName name="______________a1" localSheetId="4" hidden="1">{"Geo - Detail Detail",#N/A,FALSE,"Geo View";"Geo - Detail",#N/A,FALSE,"Geo View";"Dept - Detail Detail",#N/A,FALSE,"Dept View";"Dept - Detail",#N/A,FALSE,"Dept View"}</definedName>
    <definedName name="______________A11" localSheetId="4" hidden="1">{#N/A,#N/A,FALSE,"Umsatz 99";#N/A,#N/A,FALSE,"ER 99 "}</definedName>
    <definedName name="______________a2" localSheetId="4" hidden="1">{"Geo - Detail Detail",#N/A,FALSE,"Geo View";"Geo - Detail",#N/A,FALSE,"Geo View";"Dept - Detail Detail",#N/A,FALSE,"Dept View";"Dept - Detail",#N/A,FALSE,"Dept View"}</definedName>
    <definedName name="______________a3" localSheetId="4" hidden="1">{"Geo - Detail Detail",#N/A,FALSE,"Geo View";"Geo - Detail",#N/A,FALSE,"Geo View";"Dept - Detail Detail",#N/A,FALSE,"Dept View";"Dept - Detail",#N/A,FALSE,"Dept View"}</definedName>
    <definedName name="_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_c" localSheetId="4" hidden="1">{"Fiesta Facer Page",#N/A,FALSE,"Q_C_S";"Fiesta Main Page",#N/A,FALSE,"V_L";"Fiesta 95BP Struct",#N/A,FALSE,"StructBP";"Fiesta Post 95BP Struct",#N/A,FALSE,"AdjStructBP"}</definedName>
    <definedName name="______________Grp16" localSheetId="4" hidden="1">{#N/A,#N/A,FALSE,"PMTABB";#N/A,#N/A,FALSE,"PMTABB"}</definedName>
    <definedName name="______________IDC2" localSheetId="4">City&amp;" "&amp;State</definedName>
    <definedName name="______________loc1" localSheetId="4">City&amp;" "&amp;State</definedName>
    <definedName name="______________V2" localSheetId="4" hidden="1">{#N/A,#N/A,FALSE,"Tabl. A1";#N/A,#N/A,FALSE,"Tabl. A1 b";#N/A,#N/A,FALSE,"Tabl. A2";#N/A,#N/A,FALSE,"Tabl. A2-1";#N/A,#N/A,FALSE,"Tabl. A2-2"}</definedName>
    <definedName name="_____________a1" localSheetId="4" hidden="1">{"Geo - Detail Detail",#N/A,FALSE,"Geo View";"Geo - Detail",#N/A,FALSE,"Geo View";"Dept - Detail Detail",#N/A,FALSE,"Dept View";"Dept - Detail",#N/A,FALSE,"Dept View"}</definedName>
    <definedName name="_____________A11" localSheetId="4" hidden="1">{#N/A,#N/A,FALSE,"Umsatz 99";#N/A,#N/A,FALSE,"ER 99 "}</definedName>
    <definedName name="_____________a2" localSheetId="4" hidden="1">{"Geo - Detail Detail",#N/A,FALSE,"Geo View";"Geo - Detail",#N/A,FALSE,"Geo View";"Dept - Detail Detail",#N/A,FALSE,"Dept View";"Dept - Detail",#N/A,FALSE,"Dept View"}</definedName>
    <definedName name="_____________a3" localSheetId="4" hidden="1">{"Geo - Detail Detail",#N/A,FALSE,"Geo View";"Geo - Detail",#N/A,FALSE,"Geo View";"Dept - Detail Detail",#N/A,FALSE,"Dept View";"Dept - Detail",#N/A,FALSE,"Dept View"}</definedName>
    <definedName name="_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_c" localSheetId="4" hidden="1">{"Fiesta Facer Page",#N/A,FALSE,"Q_C_S";"Fiesta Main Page",#N/A,FALSE,"V_L";"Fiesta 95BP Struct",#N/A,FALSE,"StructBP";"Fiesta Post 95BP Struct",#N/A,FALSE,"AdjStructBP"}</definedName>
    <definedName name="_____________Grp16" localSheetId="4" hidden="1">{#N/A,#N/A,FALSE,"PMTABB";#N/A,#N/A,FALSE,"PMTABB"}</definedName>
    <definedName name="_____________IDC2" localSheetId="4">City&amp;" "&amp;State</definedName>
    <definedName name="_____________loc1" localSheetId="4">City&amp;" "&amp;State</definedName>
    <definedName name="_____________V2" localSheetId="4" hidden="1">{#N/A,#N/A,FALSE,"Tabl. A1";#N/A,#N/A,FALSE,"Tabl. A1 b";#N/A,#N/A,FALSE,"Tabl. A2";#N/A,#N/A,FALSE,"Tabl. A2-1";#N/A,#N/A,FALSE,"Tabl. A2-2"}</definedName>
    <definedName name="____________a1" localSheetId="4" hidden="1">{"Geo - Detail Detail",#N/A,FALSE,"Geo View";"Geo - Detail",#N/A,FALSE,"Geo View";"Dept - Detail Detail",#N/A,FALSE,"Dept View";"Dept - Detail",#N/A,FALSE,"Dept View"}</definedName>
    <definedName name="____________A11" localSheetId="4" hidden="1">{#N/A,#N/A,FALSE,"Umsatz 99";#N/A,#N/A,FALSE,"ER 99 "}</definedName>
    <definedName name="____________a2" localSheetId="4" hidden="1">{"Geo - Detail Detail",#N/A,FALSE,"Geo View";"Geo - Detail",#N/A,FALSE,"Geo View";"Dept - Detail Detail",#N/A,FALSE,"Dept View";"Dept - Detail",#N/A,FALSE,"Dept View"}</definedName>
    <definedName name="____________a3" localSheetId="4" hidden="1">{"Geo - Detail Detail",#N/A,FALSE,"Geo View";"Geo - Detail",#N/A,FALSE,"Geo View";"Dept - Detail Detail",#N/A,FALSE,"Dept View";"Dept - Detail",#N/A,FALSE,"Dept View"}</definedName>
    <definedName name="_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_abc1" localSheetId="4" hidden="1">{"detail",#N/A,FALSE,"mfg";"summary",#N/A,FALSE,"mfg"}</definedName>
    <definedName name="____________abc2" localSheetId="4" hidden="1">{"detail",#N/A,FALSE,"mfg";"summary",#N/A,FALSE,"mfg"}</definedName>
    <definedName name="____________c" localSheetId="4" hidden="1">{"Fiesta Facer Page",#N/A,FALSE,"Q_C_S";"Fiesta Main Page",#N/A,FALSE,"V_L";"Fiesta 95BP Struct",#N/A,FALSE,"StructBP";"Fiesta Post 95BP Struct",#N/A,FALSE,"AdjStructBP"}</definedName>
    <definedName name="____________Grp16" localSheetId="4" hidden="1">{#N/A,#N/A,FALSE,"PMTABB";#N/A,#N/A,FALSE,"PMTABB"}</definedName>
    <definedName name="____________IDC2" localSheetId="4">City&amp;" "&amp;State</definedName>
    <definedName name="____________loc1" localSheetId="4">City&amp;" "&amp;State</definedName>
    <definedName name="____________V2" localSheetId="4" hidden="1">{#N/A,#N/A,FALSE,"Tabl. A1";#N/A,#N/A,FALSE,"Tabl. A1 b";#N/A,#N/A,FALSE,"Tabl. A2";#N/A,#N/A,FALSE,"Tabl. A2-1";#N/A,#N/A,FALSE,"Tabl. A2-2"}</definedName>
    <definedName name="____________z12" localSheetId="4" hidden="1">{"pro_view",#N/A,FALSE,"EEFSNAP2";"rep_view",#N/A,FALSE,"EEFSNAP2"}</definedName>
    <definedName name="____________z22" localSheetId="4" hidden="1">{#N/A,"PURADD",FALSE,"Business Analysis";#N/A,"PURSPP",FALSE,"Business Analysis";#N/A,"CTGIND",FALSE,"Business Analysis";#N/A,"PURCHM",FALSE,"Business Analysis";#N/A,"SPADD",FALSE,"Business Analysis";#N/A,"EPOXY",FALSE,"Business Analysis";#N/A,"PURPER",FALSE,"Business Analysis"}</definedName>
    <definedName name="____________z25" localSheetId="4" hidden="1">{"detail",#N/A,FALSE,"mfg";"summary",#N/A,FALSE,"mfg"}</definedName>
    <definedName name="___________a1" localSheetId="4" hidden="1">{"Geo - Detail Detail",#N/A,FALSE,"Geo View";"Geo - Detail",#N/A,FALSE,"Geo View";"Dept - Detail Detail",#N/A,FALSE,"Dept View";"Dept - Detail",#N/A,FALSE,"Dept View"}</definedName>
    <definedName name="___________A11" localSheetId="4" hidden="1">{#N/A,#N/A,FALSE,"Umsatz 99";#N/A,#N/A,FALSE,"ER 99 "}</definedName>
    <definedName name="___________a2" localSheetId="4" hidden="1">{"Geo - Detail Detail",#N/A,FALSE,"Geo View";"Geo - Detail",#N/A,FALSE,"Geo View";"Dept - Detail Detail",#N/A,FALSE,"Dept View";"Dept - Detail",#N/A,FALSE,"Dept View"}</definedName>
    <definedName name="___________a3" localSheetId="4" hidden="1">{"Geo - Detail Detail",#N/A,FALSE,"Geo View";"Geo - Detail",#N/A,FALSE,"Geo View";"Dept - Detail Detail",#N/A,FALSE,"Dept View";"Dept - Detail",#N/A,FALSE,"Dept View"}</definedName>
    <definedName name="_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_abc1" localSheetId="4" hidden="1">{"detail",#N/A,FALSE,"mfg";"summary",#N/A,FALSE,"mfg"}</definedName>
    <definedName name="___________abc2" localSheetId="4" hidden="1">{"detail",#N/A,FALSE,"mfg";"summary",#N/A,FALSE,"mfg"}</definedName>
    <definedName name="___________c" localSheetId="4" hidden="1">{"Fiesta Facer Page",#N/A,FALSE,"Q_C_S";"Fiesta Main Page",#N/A,FALSE,"V_L";"Fiesta 95BP Struct",#N/A,FALSE,"StructBP";"Fiesta Post 95BP Struct",#N/A,FALSE,"AdjStructBP"}</definedName>
    <definedName name="___________Grp16" localSheetId="4" hidden="1">{#N/A,#N/A,FALSE,"PMTABB";#N/A,#N/A,FALSE,"PMTABB"}</definedName>
    <definedName name="___________IDC2" localSheetId="4">City&amp;" "&amp;State</definedName>
    <definedName name="___________loc1" localSheetId="4">City&amp;" "&amp;State</definedName>
    <definedName name="___________V2" localSheetId="4" hidden="1">{#N/A,#N/A,FALSE,"Tabl. A1";#N/A,#N/A,FALSE,"Tabl. A1 b";#N/A,#N/A,FALSE,"Tabl. A2";#N/A,#N/A,FALSE,"Tabl. A2-1";#N/A,#N/A,FALSE,"Tabl. A2-2"}</definedName>
    <definedName name="___________z12" localSheetId="4" hidden="1">{"pro_view",#N/A,FALSE,"EEFSNAP2";"rep_view",#N/A,FALSE,"EEFSNAP2"}</definedName>
    <definedName name="___________z22" localSheetId="4" hidden="1">{#N/A,"PURADD",FALSE,"Business Analysis";#N/A,"PURSPP",FALSE,"Business Analysis";#N/A,"CTGIND",FALSE,"Business Analysis";#N/A,"PURCHM",FALSE,"Business Analysis";#N/A,"SPADD",FALSE,"Business Analysis";#N/A,"EPOXY",FALSE,"Business Analysis";#N/A,"PURPER",FALSE,"Business Analysis"}</definedName>
    <definedName name="___________z25" localSheetId="4" hidden="1">{"detail",#N/A,FALSE,"mfg";"summary",#N/A,FALSE,"mfg"}</definedName>
    <definedName name="__________a1" localSheetId="4" hidden="1">{"Geo - Detail Detail",#N/A,FALSE,"Geo View";"Geo - Detail",#N/A,FALSE,"Geo View";"Dept - Detail Detail",#N/A,FALSE,"Dept View";"Dept - Detail",#N/A,FALSE,"Dept View"}</definedName>
    <definedName name="__________A11" localSheetId="4" hidden="1">{#N/A,#N/A,FALSE,"Umsatz 99";#N/A,#N/A,FALSE,"ER 99 "}</definedName>
    <definedName name="__________a2" localSheetId="4" hidden="1">{"Geo - Detail Detail",#N/A,FALSE,"Geo View";"Geo - Detail",#N/A,FALSE,"Geo View";"Dept - Detail Detail",#N/A,FALSE,"Dept View";"Dept - Detail",#N/A,FALSE,"Dept View"}</definedName>
    <definedName name="__________a3" localSheetId="4" hidden="1">{"Geo - Detail Detail",#N/A,FALSE,"Geo View";"Geo - Detail",#N/A,FALSE,"Geo View";"Dept - Detail Detail",#N/A,FALSE,"Dept View";"Dept - Detail",#N/A,FALSE,"Dept View"}</definedName>
    <definedName name="_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_abc1" localSheetId="4" hidden="1">{"detail",#N/A,FALSE,"mfg";"summary",#N/A,FALSE,"mfg"}</definedName>
    <definedName name="__________abc2" localSheetId="4" hidden="1">{"detail",#N/A,FALSE,"mfg";"summary",#N/A,FALSE,"mfg"}</definedName>
    <definedName name="__________c" localSheetId="4" hidden="1">{"Fiesta Facer Page",#N/A,FALSE,"Q_C_S";"Fiesta Main Page",#N/A,FALSE,"V_L";"Fiesta 95BP Struct",#N/A,FALSE,"StructBP";"Fiesta Post 95BP Struct",#N/A,FALSE,"AdjStructBP"}</definedName>
    <definedName name="__________Grp16" localSheetId="4" hidden="1">{#N/A,#N/A,FALSE,"PMTABB";#N/A,#N/A,FALSE,"PMTABB"}</definedName>
    <definedName name="__________IDC2" localSheetId="4">City&amp;" "&amp;State</definedName>
    <definedName name="__________loc1" localSheetId="4">City&amp;" "&amp;State</definedName>
    <definedName name="__________V2" localSheetId="4" hidden="1">{#N/A,#N/A,FALSE,"Tabl. A1";#N/A,#N/A,FALSE,"Tabl. A1 b";#N/A,#N/A,FALSE,"Tabl. A2";#N/A,#N/A,FALSE,"Tabl. A2-1";#N/A,#N/A,FALSE,"Tabl. A2-2"}</definedName>
    <definedName name="__________z12" localSheetId="4" hidden="1">{"pro_view",#N/A,FALSE,"EEFSNAP2";"rep_view",#N/A,FALSE,"EEFSNAP2"}</definedName>
    <definedName name="__________z22" localSheetId="4" hidden="1">{#N/A,"PURADD",FALSE,"Business Analysis";#N/A,"PURSPP",FALSE,"Business Analysis";#N/A,"CTGIND",FALSE,"Business Analysis";#N/A,"PURCHM",FALSE,"Business Analysis";#N/A,"SPADD",FALSE,"Business Analysis";#N/A,"EPOXY",FALSE,"Business Analysis";#N/A,"PURPER",FALSE,"Business Analysis"}</definedName>
    <definedName name="__________z25" localSheetId="4" hidden="1">{"detail",#N/A,FALSE,"mfg";"summary",#N/A,FALSE,"mfg"}</definedName>
    <definedName name="_________a1" localSheetId="4" hidden="1">{"Geo - Detail Detail",#N/A,FALSE,"Geo View";"Geo - Detail",#N/A,FALSE,"Geo View";"Dept - Detail Detail",#N/A,FALSE,"Dept View";"Dept - Detail",#N/A,FALSE,"Dept View"}</definedName>
    <definedName name="_________A11" localSheetId="4" hidden="1">{#N/A,#N/A,FALSE,"Umsatz 99";#N/A,#N/A,FALSE,"ER 99 "}</definedName>
    <definedName name="_________a2" localSheetId="4" hidden="1">{"Geo - Detail Detail",#N/A,FALSE,"Geo View";"Geo - Detail",#N/A,FALSE,"Geo View";"Dept - Detail Detail",#N/A,FALSE,"Dept View";"Dept - Detail",#N/A,FALSE,"Dept View"}</definedName>
    <definedName name="_________a3" localSheetId="4" hidden="1">{"Geo - Detail Detail",#N/A,FALSE,"Geo View";"Geo - Detail",#N/A,FALSE,"Geo View";"Dept - Detail Detail",#N/A,FALSE,"Dept View";"Dept - Detail",#N/A,FALSE,"Dept View"}</definedName>
    <definedName name="_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abc1" localSheetId="4" hidden="1">{"detail",#N/A,FALSE,"mfg";"summary",#N/A,FALSE,"mfg"}</definedName>
    <definedName name="_________abc2" localSheetId="4" hidden="1">{"detail",#N/A,FALSE,"mfg";"summary",#N/A,FALSE,"mfg"}</definedName>
    <definedName name="_________c" localSheetId="4" hidden="1">{"Fiesta Facer Page",#N/A,FALSE,"Q_C_S";"Fiesta Main Page",#N/A,FALSE,"V_L";"Fiesta 95BP Struct",#N/A,FALSE,"StructBP";"Fiesta Post 95BP Struct",#N/A,FALSE,"AdjStructBP"}</definedName>
    <definedName name="_________Grp16" localSheetId="4" hidden="1">{#N/A,#N/A,FALSE,"PMTABB";#N/A,#N/A,FALSE,"PMTABB"}</definedName>
    <definedName name="_________IDC2" localSheetId="4">City&amp;" "&amp;State</definedName>
    <definedName name="_________loc1" localSheetId="4">City&amp;" "&amp;State</definedName>
    <definedName name="_________san4" localSheetId="4" hidden="1">{0,#N/A,TRUE,0;0,#N/A,TRUE,0}</definedName>
    <definedName name="_________SGA2" localSheetId="4" hidden="1">{"Page 1",#N/A,TRUE,"Sheet1";"Page 2",#N/A,TRUE,"Sheet1"}</definedName>
    <definedName name="_________V2" localSheetId="4" hidden="1">{#N/A,#N/A,FALSE,"Tabl. A1";#N/A,#N/A,FALSE,"Tabl. A1 b";#N/A,#N/A,FALSE,"Tabl. A2";#N/A,#N/A,FALSE,"Tabl. A2-1";#N/A,#N/A,FALSE,"Tabl. A2-2"}</definedName>
    <definedName name="_________z12" localSheetId="4" hidden="1">{"pro_view",#N/A,FALSE,"EEFSNAP2";"rep_view",#N/A,FALSE,"EEFSNAP2"}</definedName>
    <definedName name="_________z22" localSheetId="4" hidden="1">{#N/A,"PURADD",FALSE,"Business Analysis";#N/A,"PURSPP",FALSE,"Business Analysis";#N/A,"CTGIND",FALSE,"Business Analysis";#N/A,"PURCHM",FALSE,"Business Analysis";#N/A,"SPADD",FALSE,"Business Analysis";#N/A,"EPOXY",FALSE,"Business Analysis";#N/A,"PURPER",FALSE,"Business Analysis"}</definedName>
    <definedName name="_________z25" localSheetId="4" hidden="1">{"detail",#N/A,FALSE,"mfg";"summary",#N/A,FALSE,"mfg"}</definedName>
    <definedName name="________a1" localSheetId="4" hidden="1">{"Geo - Detail Detail",#N/A,FALSE,"Geo View";"Geo - Detail",#N/A,FALSE,"Geo View";"Dept - Detail Detail",#N/A,FALSE,"Dept View";"Dept - Detail",#N/A,FALSE,"Dept View"}</definedName>
    <definedName name="________A11" localSheetId="4" hidden="1">{#N/A,#N/A,FALSE,"Umsatz 99";#N/A,#N/A,FALSE,"ER 99 "}</definedName>
    <definedName name="________a2" localSheetId="4" hidden="1">{"Geo - Detail Detail",#N/A,FALSE,"Geo View";"Geo - Detail",#N/A,FALSE,"Geo View";"Dept - Detail Detail",#N/A,FALSE,"Dept View";"Dept - Detail",#N/A,FALSE,"Dept View"}</definedName>
    <definedName name="________a3" localSheetId="4" hidden="1">{"Geo - Detail Detail",#N/A,FALSE,"Geo View";"Geo - Detail",#N/A,FALSE,"Geo View";"Dept - Detail Detail",#N/A,FALSE,"Dept View";"Dept - Detail",#N/A,FALSE,"Dept View"}</definedName>
    <definedName name="_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abc1" localSheetId="4" hidden="1">{"detail",#N/A,FALSE,"mfg";"summary",#N/A,FALSE,"mfg"}</definedName>
    <definedName name="________abc2" localSheetId="4" hidden="1">{"detail",#N/A,FALSE,"mfg";"summary",#N/A,FALSE,"mfg"}</definedName>
    <definedName name="________c" localSheetId="4" hidden="1">{"Fiesta Facer Page",#N/A,FALSE,"Q_C_S";"Fiesta Main Page",#N/A,FALSE,"V_L";"Fiesta 95BP Struct",#N/A,FALSE,"StructBP";"Fiesta Post 95BP Struct",#N/A,FALSE,"AdjStructBP"}</definedName>
    <definedName name="________Grp16" localSheetId="4" hidden="1">{#N/A,#N/A,FALSE,"PMTABB";#N/A,#N/A,FALSE,"PMTABB"}</definedName>
    <definedName name="________IDC2" localSheetId="4">City&amp;" "&amp;State</definedName>
    <definedName name="________loc1" localSheetId="4">City&amp;" "&amp;State</definedName>
    <definedName name="________V2" localSheetId="4" hidden="1">{#N/A,#N/A,FALSE,"Tabl. A1";#N/A,#N/A,FALSE,"Tabl. A1 b";#N/A,#N/A,FALSE,"Tabl. A2";#N/A,#N/A,FALSE,"Tabl. A2-1";#N/A,#N/A,FALSE,"Tabl. A2-2"}</definedName>
    <definedName name="________xx1" localSheetId="4" hidden="1">{#N/A,#N/A,FALSE,"CMN_FE"}</definedName>
    <definedName name="________z12" localSheetId="4" hidden="1">{"pro_view",#N/A,FALSE,"EEFSNAP2";"rep_view",#N/A,FALSE,"EEFSNAP2"}</definedName>
    <definedName name="________z22" localSheetId="4" hidden="1">{#N/A,"PURADD",FALSE,"Business Analysis";#N/A,"PURSPP",FALSE,"Business Analysis";#N/A,"CTGIND",FALSE,"Business Analysis";#N/A,"PURCHM",FALSE,"Business Analysis";#N/A,"SPADD",FALSE,"Business Analysis";#N/A,"EPOXY",FALSE,"Business Analysis";#N/A,"PURPER",FALSE,"Business Analysis"}</definedName>
    <definedName name="________z25" localSheetId="4" hidden="1">{"detail",#N/A,FALSE,"mfg";"summary",#N/A,FALSE,"mfg"}</definedName>
    <definedName name="_______a1" localSheetId="4" hidden="1">{"Geo - Detail Detail",#N/A,FALSE,"Geo View";"Geo - Detail",#N/A,FALSE,"Geo View";"Dept - Detail Detail",#N/A,FALSE,"Dept View";"Dept - Detail",#N/A,FALSE,"Dept View"}</definedName>
    <definedName name="_______A11" localSheetId="4" hidden="1">{#N/A,#N/A,FALSE,"Umsatz 99";#N/A,#N/A,FALSE,"ER 99 "}</definedName>
    <definedName name="_______a2" localSheetId="4" hidden="1">{"Geo - Detail Detail",#N/A,FALSE,"Geo View";"Geo - Detail",#N/A,FALSE,"Geo View";"Dept - Detail Detail",#N/A,FALSE,"Dept View";"Dept - Detail",#N/A,FALSE,"Dept View"}</definedName>
    <definedName name="_______a3" localSheetId="4" hidden="1">{"Geo - Detail Detail",#N/A,FALSE,"Geo View";"Geo - Detail",#N/A,FALSE,"Geo View";"Dept - Detail Detail",#N/A,FALSE,"Dept View";"Dept - Detail",#N/A,FALSE,"Dept View"}</definedName>
    <definedName name="__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abc1" localSheetId="4" hidden="1">{"detail",#N/A,FALSE,"mfg";"summary",#N/A,FALSE,"mfg"}</definedName>
    <definedName name="_______abc2" localSheetId="4" hidden="1">{"detail",#N/A,FALSE,"mfg";"summary",#N/A,FALSE,"mfg"}</definedName>
    <definedName name="_______c" localSheetId="4" hidden="1">{"Fiesta Facer Page",#N/A,FALSE,"Q_C_S";"Fiesta Main Page",#N/A,FALSE,"V_L";"Fiesta 95BP Struct",#N/A,FALSE,"StructBP";"Fiesta Post 95BP Struct",#N/A,FALSE,"AdjStructBP"}</definedName>
    <definedName name="_______Grp16" localSheetId="4" hidden="1">{#N/A,#N/A,FALSE,"PMTABB";#N/A,#N/A,FALSE,"PMTABB"}</definedName>
    <definedName name="_______IDC2" localSheetId="4">City&amp;" "&amp;State</definedName>
    <definedName name="_______loc1" localSheetId="4">City&amp;" "&amp;State</definedName>
    <definedName name="_______san4" localSheetId="4" hidden="1">{0,#N/A,TRUE,0;0,#N/A,TRUE,0}</definedName>
    <definedName name="_______SGA2" localSheetId="4" hidden="1">{"Page 1",#N/A,TRUE,"Sheet1";"Page 2",#N/A,TRUE,"Sheet1"}</definedName>
    <definedName name="_______V2" localSheetId="4" hidden="1">{#N/A,#N/A,FALSE,"Tabl. A1";#N/A,#N/A,FALSE,"Tabl. A1 b";#N/A,#N/A,FALSE,"Tabl. A2";#N/A,#N/A,FALSE,"Tabl. A2-1";#N/A,#N/A,FALSE,"Tabl. A2-2"}</definedName>
    <definedName name="_______xx1" localSheetId="4" hidden="1">{#N/A,#N/A,FALSE,"CMN_FE"}</definedName>
    <definedName name="_______z12" localSheetId="4" hidden="1">{"pro_view",#N/A,FALSE,"EEFSNAP2";"rep_view",#N/A,FALSE,"EEFSNAP2"}</definedName>
    <definedName name="_______z22" localSheetId="4" hidden="1">{#N/A,"PURADD",FALSE,"Business Analysis";#N/A,"PURSPP",FALSE,"Business Analysis";#N/A,"CTGIND",FALSE,"Business Analysis";#N/A,"PURCHM",FALSE,"Business Analysis";#N/A,"SPADD",FALSE,"Business Analysis";#N/A,"EPOXY",FALSE,"Business Analysis";#N/A,"PURPER",FALSE,"Business Analysis"}</definedName>
    <definedName name="_______z25" localSheetId="4" hidden="1">{"detail",#N/A,FALSE,"mfg";"summary",#N/A,FALSE,"mfg"}</definedName>
    <definedName name="______a1" localSheetId="4" hidden="1">{#N/A,#N/A,FALSE,"Pharm";#N/A,#N/A,FALSE,"WWCM"}</definedName>
    <definedName name="______A11" localSheetId="4" hidden="1">{#N/A,#N/A,FALSE,"Umsatz 99";#N/A,#N/A,FALSE,"ER 99 "}</definedName>
    <definedName name="______a2" localSheetId="4" hidden="1">{"Geo - Detail Detail",#N/A,FALSE,"Geo View";"Geo - Detail",#N/A,FALSE,"Geo View";"Dept - Detail Detail",#N/A,FALSE,"Dept View";"Dept - Detail",#N/A,FALSE,"Dept View"}</definedName>
    <definedName name="______a3" localSheetId="4" hidden="1">{"Geo - Detail Detail",#N/A,FALSE,"Geo View";"Geo - Detail",#N/A,FALSE,"Geo View";"Dept - Detail Detail",#N/A,FALSE,"Dept View";"Dept - Detail",#N/A,FALSE,"Dept View"}</definedName>
    <definedName name="______aaa1" localSheetId="4" hidden="1">{#N/A,#N/A,FALSE,"REPORT"}</definedName>
    <definedName name="______aas1" localSheetId="4" hidden="1">{#N/A,#N/A,FALSE,"REPORT"}</definedName>
    <definedName name="______ACS2000" localSheetId="4" hidden="1">{#N/A,#N/A,FALSE,"REPORT"}</definedName>
    <definedName name="______b111" localSheetId="4" hidden="1">{#N/A,#N/A,FALSE,"Pharm";#N/A,#N/A,FALSE,"WWCM"}</definedName>
    <definedName name="______BU4" localSheetId="4" hidden="1">{"Page 1",#N/A,TRUE,"Sheet1";"Page 2",#N/A,TRUE,"Sheet1"}</definedName>
    <definedName name="______BU5" localSheetId="4" hidden="1">{"Page 1",#N/A,TRUE,"Sheet1";"Page 2",#N/A,TRUE,"Sheet1"}</definedName>
    <definedName name="______c" localSheetId="4" hidden="1">{"Fiesta Facer Page",#N/A,FALSE,"Q_C_S";"Fiesta Main Page",#N/A,FALSE,"V_L";"Fiesta 95BP Struct",#N/A,FALSE,"StructBP";"Fiesta Post 95BP Struct",#N/A,FALSE,"AdjStructBP"}</definedName>
    <definedName name="______Grp16" localSheetId="4" hidden="1">{#N/A,#N/A,FALSE,"PMTABB";#N/A,#N/A,FALSE,"PMTABB"}</definedName>
    <definedName name="______IDC2" localSheetId="4">City&amp;" "&amp;State</definedName>
    <definedName name="______loc1" localSheetId="4">City&amp;" "&amp;State</definedName>
    <definedName name="______new1" localSheetId="4" hidden="1">{#N/A,#N/A,FALSE,"Pharm";#N/A,#N/A,FALSE,"WWCM"}</definedName>
    <definedName name="______r" localSheetId="4" hidden="1">{#N/A,#N/A,FALSE,"Pharm";#N/A,#N/A,FALSE,"WWCM"}</definedName>
    <definedName name="______san4" localSheetId="4" hidden="1">{0,#N/A,TRUE,0;0,#N/A,TRUE,0}</definedName>
    <definedName name="______SGA2" localSheetId="4" hidden="1">{"Page 1",#N/A,TRUE,"Sheet1";"Page 2",#N/A,TRUE,"Sheet1"}</definedName>
    <definedName name="______tm1" localSheetId="4" hidden="1">{#N/A,#N/A,FALSE,"Pharm";#N/A,#N/A,FALSE,"WWCM"}</definedName>
    <definedName name="______V2" localSheetId="4" hidden="1">{#N/A,#N/A,FALSE,"Tabl. A1";#N/A,#N/A,FALSE,"Tabl. A1 b";#N/A,#N/A,FALSE,"Tabl. A2";#N/A,#N/A,FALSE,"Tabl. A2-1";#N/A,#N/A,FALSE,"Tabl. A2-2"}</definedName>
    <definedName name="______X2" localSheetId="4" hidden="1">{#N/A,#N/A,FALSE,"Other";#N/A,#N/A,FALSE,"Ace";#N/A,#N/A,FALSE,"Derm"}</definedName>
    <definedName name="______xx1" localSheetId="4" hidden="1">{#N/A,#N/A,FALSE,"CMN_FE"}</definedName>
    <definedName name="_____a1" localSheetId="4" hidden="1">{"Geo - Detail Detail",#N/A,FALSE,"Geo View";"Geo - Detail",#N/A,FALSE,"Geo View";"Dept - Detail Detail",#N/A,FALSE,"Dept View";"Dept - Detail",#N/A,FALSE,"Dept View"}</definedName>
    <definedName name="_____A11" localSheetId="4" hidden="1">{#N/A,#N/A,FALSE,"Umsatz 99";#N/A,#N/A,FALSE,"ER 99 "}</definedName>
    <definedName name="_____a2" localSheetId="4" hidden="1">{"Geo - Detail Detail",#N/A,FALSE,"Geo View";"Geo - Detail",#N/A,FALSE,"Geo View";"Dept - Detail Detail",#N/A,FALSE,"Dept View";"Dept - Detail",#N/A,FALSE,"Dept View"}</definedName>
    <definedName name="_____a3" localSheetId="4" hidden="1">{"Geo - Detail Detail",#N/A,FALSE,"Geo View";"Geo - Detail",#N/A,FALSE,"Geo View";"Dept - Detail Detail",#N/A,FALSE,"Dept View";"Dept - Detail",#N/A,FALSE,"Dept View"}</definedName>
    <definedName name="_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abc1" localSheetId="4" hidden="1">{"detail",#N/A,FALSE,"mfg";"summary",#N/A,FALSE,"mfg"}</definedName>
    <definedName name="_____abc2" localSheetId="4" hidden="1">{"detail",#N/A,FALSE,"mfg";"summary",#N/A,FALSE,"mfg"}</definedName>
    <definedName name="_____c" localSheetId="4" hidden="1">{"Fiesta Facer Page",#N/A,FALSE,"Q_C_S";"Fiesta Main Page",#N/A,FALSE,"V_L";"Fiesta 95BP Struct",#N/A,FALSE,"StructBP";"Fiesta Post 95BP Struct",#N/A,FALSE,"AdjStructBP"}</definedName>
    <definedName name="_____Grp16" localSheetId="4" hidden="1">{#N/A,#N/A,FALSE,"PMTABB";#N/A,#N/A,FALSE,"PMTABB"}</definedName>
    <definedName name="_____IDC2" localSheetId="4">City&amp;" "&amp;State</definedName>
    <definedName name="_____loc1" localSheetId="4">City&amp;" "&amp;State</definedName>
    <definedName name="_____V2" localSheetId="4" hidden="1">{#N/A,#N/A,FALSE,"Tabl. A1";#N/A,#N/A,FALSE,"Tabl. A1 b";#N/A,#N/A,FALSE,"Tabl. A2";#N/A,#N/A,FALSE,"Tabl. A2-1";#N/A,#N/A,FALSE,"Tabl. A2-2"}</definedName>
    <definedName name="_____xx1" localSheetId="4" hidden="1">{#N/A,#N/A,FALSE,"CMN_FE"}</definedName>
    <definedName name="_____z12" localSheetId="4" hidden="1">{"pro_view",#N/A,FALSE,"EEFSNAP2";"rep_view",#N/A,FALSE,"EEFSNAP2"}</definedName>
    <definedName name="_____z22" localSheetId="4" hidden="1">{#N/A,"PURADD",FALSE,"Business Analysis";#N/A,"PURSPP",FALSE,"Business Analysis";#N/A,"CTGIND",FALSE,"Business Analysis";#N/A,"PURCHM",FALSE,"Business Analysis";#N/A,"SPADD",FALSE,"Business Analysis";#N/A,"EPOXY",FALSE,"Business Analysis";#N/A,"PURPER",FALSE,"Business Analysis"}</definedName>
    <definedName name="_____z25" localSheetId="4" hidden="1">{"detail",#N/A,FALSE,"mfg";"summary",#N/A,FALSE,"mfg"}</definedName>
    <definedName name="____a1" localSheetId="4" hidden="1">{"Geo - Detail Detail",#N/A,FALSE,"Geo View";"Geo - Detail",#N/A,FALSE,"Geo View";"Dept - Detail Detail",#N/A,FALSE,"Dept View";"Dept - Detail",#N/A,FALSE,"Dept View"}</definedName>
    <definedName name="____A11" localSheetId="4" hidden="1">{#N/A,#N/A,FALSE,"Umsatz 99";#N/A,#N/A,FALSE,"ER 99 "}</definedName>
    <definedName name="____a2" localSheetId="4" hidden="1">{"Geo - Detail Detail",#N/A,FALSE,"Geo View";"Geo - Detail",#N/A,FALSE,"Geo View";"Dept - Detail Detail",#N/A,FALSE,"Dept View";"Dept - Detail",#N/A,FALSE,"Dept View"}</definedName>
    <definedName name="____a3" localSheetId="4" hidden="1">{"Geo - Detail Detail",#N/A,FALSE,"Geo View";"Geo - Detail",#N/A,FALSE,"Geo View";"Dept - Detail Detail",#N/A,FALSE,"Dept View";"Dept - Detail",#N/A,FALSE,"Dept View"}</definedName>
    <definedName name="_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abc1" localSheetId="4" hidden="1">{"detail",#N/A,FALSE,"mfg";"summary",#N/A,FALSE,"mfg"}</definedName>
    <definedName name="____abc2" localSheetId="4" hidden="1">{"detail",#N/A,FALSE,"mfg";"summary",#N/A,FALSE,"mfg"}</definedName>
    <definedName name="____BU4" localSheetId="4" hidden="1">{"Page 1",#N/A,TRUE,"Sheet1";"Page 2",#N/A,TRUE,"Sheet1"}</definedName>
    <definedName name="____BU5" localSheetId="4" hidden="1">{"Page 1",#N/A,TRUE,"Sheet1";"Page 2",#N/A,TRUE,"Sheet1"}</definedName>
    <definedName name="____c" localSheetId="4" hidden="1">{"Fiesta Facer Page",#N/A,FALSE,"Q_C_S";"Fiesta Main Page",#N/A,FALSE,"V_L";"Fiesta 95BP Struct",#N/A,FALSE,"StructBP";"Fiesta Post 95BP Struct",#N/A,FALSE,"AdjStructBP"}</definedName>
    <definedName name="____fco2" localSheetId="4" hidden="1">{#N/A,#N/A,FALSE,"gc (2)"}</definedName>
    <definedName name="____Grp16" localSheetId="4" hidden="1">{#N/A,#N/A,FALSE,"PMTABB";#N/A,#N/A,FALSE,"PMTABB"}</definedName>
    <definedName name="____IDC2" localSheetId="4">City&amp;" "&amp;State</definedName>
    <definedName name="____loc1" localSheetId="4">City&amp;" "&amp;State</definedName>
    <definedName name="____ram1" localSheetId="4" hidden="1">{#N/A,#N/A,FALSE,"gc (2)"}</definedName>
    <definedName name="____rc"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san4" localSheetId="4" hidden="1">{0,#N/A,TRUE,0;0,#N/A,TRUE,0}</definedName>
    <definedName name="____SGA2" localSheetId="4" hidden="1">{"Page 1",#N/A,TRUE,"Sheet1";"Page 2",#N/A,TRUE,"Sheet1"}</definedName>
    <definedName name="____sti02" localSheetId="4" hidden="1">{#N/A,#N/A,FALSE,"gc (2)"}</definedName>
    <definedName name="____t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t2"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_ta1" localSheetId="4" hidden="1">{#N/A,#N/A,TRUE,"Financials";#N/A,#N/A,TRUE,"Operating Statistics";#N/A,#N/A,TRUE,"Capex &amp; Depreciation";#N/A,#N/A,TRUE,"Debt"}</definedName>
    <definedName name="____tb1" localSheetId="4" hidden="1">{#N/A,#N/A,FALSE,"One Pager";#N/A,#N/A,FALSE,"Technical"}</definedName>
    <definedName name="____V2" localSheetId="4" hidden="1">{#N/A,#N/A,FALSE,"Tabl. A1";#N/A,#N/A,FALSE,"Tabl. A1 b";#N/A,#N/A,FALSE,"Tabl. A2";#N/A,#N/A,FALSE,"Tabl. A2-1";#N/A,#N/A,FALSE,"Tabl. A2-2"}</definedName>
    <definedName name="____x1" localSheetId="4" hidden="1">{"detail",#N/A,FALSE,"mfg";"summary",#N/A,FALSE,"mfg"}</definedName>
    <definedName name="____x2" localSheetId="4" hidden="1">{#N/A,"PURCHM",FALSE,"Business Analysis";#N/A,"SPADD",FALSE,"Business Analysis"}</definedName>
    <definedName name="____x3" localSheetId="4" hidden="1">{"detail",#N/A,FALSE,"mfg";"summary",#N/A,FALSE,"mfg"}</definedName>
    <definedName name="____x4" localSheetId="4" hidden="1">{#N/A,"PURCHM",FALSE,"Business Analysis";#N/A,"SPADD",FALSE,"Business Analysis"}</definedName>
    <definedName name="____x5" localSheetId="4" hidden="1">{#N/A,"PURADD",FALSE,"Business Analysis";#N/A,"PURSPP",FALSE,"Business Analysis";#N/A,"CTGIND",FALSE,"Business Analysis";#N/A,"PURCHM",FALSE,"Business Analysis";#N/A,"SPADD",FALSE,"Business Analysis";#N/A,"EPOXY",FALSE,"Business Analysis";#N/A,"PURPER",FALSE,"Business Analysis"}</definedName>
    <definedName name="____xx1" localSheetId="4" hidden="1">{#N/A,#N/A,FALSE,"CMN_FE"}</definedName>
    <definedName name="____xx10" localSheetId="4" hidden="1">{#N/A,"PURCHM",FALSE,"Business Analysis";#N/A,"SPADD",FALSE,"Business Analysis"}</definedName>
    <definedName name="____xx3" localSheetId="4" hidden="1">{"detail",#N/A,FALSE,"mfg";"summary",#N/A,FALSE,"mfg"}</definedName>
    <definedName name="____xx4"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localSheetId="4" hidden="1">{"oct_res_comm",#N/A,FALSE,"VarToBud"}</definedName>
    <definedName name="____xx8" localSheetId="4" hidden="1">{"QTR_ACT",#N/A,FALSE,"PROP_PBIT_DEV_Q3";"QTR_BUD",#N/A,FALSE,"PROP_PBIT_DEV_Q3";"YTD_BUD",#N/A,FALSE,"PROP_PBIT_DEV_Q3";"YTD_ACT",#N/A,FALSE,"PROP_PBIT_DEV_Q3";"FY95 SNAP3",#N/A,FALSE,"PROP_PBIT_DEV_Q3";"FY95_BUD",#N/A,FALSE,"PROP_PBIT_DEV_Q3";"FY96_BUD",#N/A,FALSE,"PROP_PBIT_DEV_Q3"}</definedName>
    <definedName name="____xx9" localSheetId="4" hidden="1">{"AS REP",#N/A,FALSE,"EEFSNAP2";"PROP",#N/A,FALSE,"EEFSNAP2";"RISKS",#N/A,FALSE,"EEFSNAP2";"VIEW ALL",#N/A,FALSE,"EEFSNAP2"}</definedName>
    <definedName name="____z12" localSheetId="4" hidden="1">{"pro_view",#N/A,FALSE,"EEFSNAP2";"rep_view",#N/A,FALSE,"EEFSNAP2"}</definedName>
    <definedName name="____z22" localSheetId="4" hidden="1">{#N/A,"PURADD",FALSE,"Business Analysis";#N/A,"PURSPP",FALSE,"Business Analysis";#N/A,"CTGIND",FALSE,"Business Analysis";#N/A,"PURCHM",FALSE,"Business Analysis";#N/A,"SPADD",FALSE,"Business Analysis";#N/A,"EPOXY",FALSE,"Business Analysis";#N/A,"PURPER",FALSE,"Business Analysis"}</definedName>
    <definedName name="____z25" localSheetId="4" hidden="1">{"detail",#N/A,FALSE,"mfg";"summary",#N/A,FALSE,"mfg"}</definedName>
    <definedName name="____zz1" localSheetId="4" hidden="1">{"pro_view",#N/A,FALSE,"EEFSNAP2";"rep_view",#N/A,FALSE,"EEFSNAP2"}</definedName>
    <definedName name="____zz2" localSheetId="4" hidden="1">{#N/A,"PURADD",FALSE,"Business Analysis";#N/A,"PURSPP",FALSE,"Business Analysis";#N/A,"CTGIND",FALSE,"Business Analysis";#N/A,"PURCHM",FALSE,"Business Analysis";#N/A,"SPADD",FALSE,"Business Analysis";#N/A,"EPOXY",FALSE,"Business Analysis";#N/A,"PURPER",FALSE,"Business Analysis"}</definedName>
    <definedName name="___a1" localSheetId="4" hidden="1">{"Geo - Detail Detail",#N/A,FALSE,"Geo View";"Geo - Detail",#N/A,FALSE,"Geo View";"Dept - Detail Detail",#N/A,FALSE,"Dept View";"Dept - Detail",#N/A,FALSE,"Dept View"}</definedName>
    <definedName name="___A11" localSheetId="4" hidden="1">{#N/A,#N/A,FALSE,"Umsatz 99";#N/A,#N/A,FALSE,"ER 99 "}</definedName>
    <definedName name="___a2" localSheetId="4" hidden="1">{"Geo - Detail Detail",#N/A,FALSE,"Geo View";"Geo - Detail",#N/A,FALSE,"Geo View";"Dept - Detail Detail",#N/A,FALSE,"Dept View";"Dept - Detail",#N/A,FALSE,"Dept View"}</definedName>
    <definedName name="___a3" localSheetId="4" hidden="1">{"Geo - Detail Detail",#N/A,FALSE,"Geo View";"Geo - Detail",#N/A,FALSE,"Geo View";"Dept - Detail Detail",#N/A,FALSE,"Dept View";"Dept - Detail",#N/A,FALSE,"Dept View"}</definedName>
    <definedName name="___AAA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bc1" localSheetId="4" hidden="1">{"detail",#N/A,FALSE,"mfg";"summary",#N/A,FALSE,"mfg"}</definedName>
    <definedName name="___abc2" localSheetId="4" hidden="1">{"detail",#N/A,FALSE,"mfg";"summary",#N/A,FALSE,"mfg"}</definedName>
    <definedName name="___Ack3" localSheetId="4" hidden="1">{#N/A,#N/A,FALSE,"COMP"}</definedName>
    <definedName name="___BU4" localSheetId="4" hidden="1">{"Page 1",#N/A,TRUE,"Sheet1";"Page 2",#N/A,TRUE,"Sheet1"}</definedName>
    <definedName name="___BU5" localSheetId="4" hidden="1">{"Page 1",#N/A,TRUE,"Sheet1";"Page 2",#N/A,TRUE,"Sheet1"}</definedName>
    <definedName name="___c" localSheetId="4" hidden="1">{"Fiesta Facer Page",#N/A,FALSE,"Q_C_S";"Fiesta Main Page",#N/A,FALSE,"V_L";"Fiesta 95BP Struct",#N/A,FALSE,"StructBP";"Fiesta Post 95BP Struct",#N/A,FALSE,"AdjStructBP"}</definedName>
    <definedName name="___Grp16" localSheetId="4" hidden="1">{#N/A,#N/A,FALSE,"PMTABB";#N/A,#N/A,FALSE,"PMTABB"}</definedName>
    <definedName name="___IDC2" localSheetId="4">City&amp;" "&amp;State</definedName>
    <definedName name="___loc1" localSheetId="4">City&amp;" "&amp;State</definedName>
    <definedName name="___RT25" localSheetId="4" hidden="1">{#N/A,#N/A,FALSE,"Umsatz 99";#N/A,#N/A,FALSE,"ER 99 "}</definedName>
    <definedName name="___san4" localSheetId="4" hidden="1">{0,#N/A,TRUE,0;0,#N/A,TRUE,0}</definedName>
    <definedName name="___SGA2" localSheetId="4" hidden="1">{"Page 1",#N/A,TRUE,"Sheet1";"Page 2",#N/A,TRUE,"Sheet1"}</definedName>
    <definedName name="___xx1" localSheetId="4" hidden="1">{#N/A,#N/A,FALSE,"CMN_FE"}</definedName>
    <definedName name="___z12" localSheetId="4" hidden="1">{"pro_view",#N/A,FALSE,"EEFSNAP2";"rep_view",#N/A,FALSE,"EEFSNAP2"}</definedName>
    <definedName name="___z22" localSheetId="4" hidden="1">{#N/A,"PURADD",FALSE,"Business Analysis";#N/A,"PURSPP",FALSE,"Business Analysis";#N/A,"CTGIND",FALSE,"Business Analysis";#N/A,"PURCHM",FALSE,"Business Analysis";#N/A,"SPADD",FALSE,"Business Analysis";#N/A,"EPOXY",FALSE,"Business Analysis";#N/A,"PURPER",FALSE,"Business Analysis"}</definedName>
    <definedName name="___z25" localSheetId="4" hidden="1">{"detail",#N/A,FALSE,"mfg";"summary",#N/A,FALSE,"mfg"}</definedName>
    <definedName name="__1wrn.²Ä1­Ó¤ë1_Ü20¤H." localSheetId="4" hidden="1">{#N/A,#N/A,FALSE,"²Ä1­Ó¤ë"}</definedName>
    <definedName name="__3wrn.²Ä1­Ó¤ë1_Ü20¤H." localSheetId="4" hidden="1">{#N/A,#N/A,FALSE,"²Ä1­Ó¤ë"}</definedName>
    <definedName name="__a1" localSheetId="4" hidden="1">{#N/A,#N/A,FALSE,"Pharm";#N/A,#N/A,FALSE,"WWCM"}</definedName>
    <definedName name="__A11" localSheetId="4" hidden="1">{#N/A,#N/A,FALSE,"Umsatz 99";#N/A,#N/A,FALSE,"ER 99 "}</definedName>
    <definedName name="__a2" localSheetId="4" hidden="1">{"Geo - Detail Detail",#N/A,FALSE,"Geo View";"Geo - Detail",#N/A,FALSE,"Geo View";"Dept - Detail Detail",#N/A,FALSE,"Dept View";"Dept - Detail",#N/A,FALSE,"Dept View"}</definedName>
    <definedName name="__a3" localSheetId="4" hidden="1">{"Geo - Detail Detail",#N/A,FALSE,"Geo View";"Geo - Detail",#N/A,FALSE,"Geo View";"Dept - Detail Detail",#N/A,FALSE,"Dept View";"Dept - Detail",#N/A,FALSE,"Dept View"}</definedName>
    <definedName name="__aa1" localSheetId="4" hidden="1">{#N/A,"PURADD",FALSE,"Business Analysis";#N/A,"PURSPP",FALSE,"Business Analysis";#N/A,"CTGIND",FALSE,"Business Analysis";#N/A,"PURCHM",FALSE,"Business Analysis";#N/A,"SPADD",FALSE,"Business Analysis";#N/A,"EPOXY",FALSE,"Business Analysis";#N/A,"PURPER",FALSE,"Business Analysis"}</definedName>
    <definedName name="__aaa1" localSheetId="4" hidden="1">{#N/A,#N/A,FALSE,"REPORT"}</definedName>
    <definedName name="__aas1" localSheetId="4" hidden="1">{#N/A,#N/A,FALSE,"REPORT"}</definedName>
    <definedName name="__abc1" localSheetId="4" hidden="1">{"detail",#N/A,FALSE,"mfg";"summary",#N/A,FALSE,"mfg"}</definedName>
    <definedName name="__abc2" localSheetId="4" hidden="1">{"detail",#N/A,FALSE,"mfg";"summary",#N/A,FALSE,"mfg"}</definedName>
    <definedName name="__abc3" localSheetId="4" hidden="1">{"detail",#N/A,FALSE,"mfg";"summary",#N/A,FALSE,"mfg"}</definedName>
    <definedName name="__ACS2000" localSheetId="4" hidden="1">{#N/A,#N/A,FALSE,"REPORT"}</definedName>
    <definedName name="__ap2" localSheetId="4" hidden="1">{"detail",#N/A,FALSE,"mfg";"summary",#N/A,FALSE,"mfg"}</definedName>
    <definedName name="__aro30" localSheetId="4" hidden="1">{#N/A,#N/A,FALSE,"Staffnos &amp; cost"}</definedName>
    <definedName name="__b111" localSheetId="4" hidden="1">{#N/A,#N/A,FALSE,"Pharm";#N/A,#N/A,FALSE,"WWCM"}</definedName>
    <definedName name="__BU4" localSheetId="4" hidden="1">{"Page 1",#N/A,TRUE,"Sheet1";"Page 2",#N/A,TRUE,"Sheet1"}</definedName>
    <definedName name="__BU5" localSheetId="4" hidden="1">{"Page 1",#N/A,TRUE,"Sheet1";"Page 2",#N/A,TRUE,"Sheet1"}</definedName>
    <definedName name="__c" localSheetId="4" hidden="1">{"Fiesta Facer Page",#N/A,FALSE,"Q_C_S";"Fiesta Main Page",#N/A,FALSE,"V_L";"Fiesta 95BP Struct",#N/A,FALSE,"StructBP";"Fiesta Post 95BP Struct",#N/A,FALSE,"AdjStructBP"}</definedName>
    <definedName name="__dwa1" localSheetId="4" hidden="1">{#N/A,"PURCHM",FALSE,"Business Analysis";#N/A,"SPADD",FALSE,"Business Analysis"}</definedName>
    <definedName name="__eu93" localSheetId="4" hidden="1">{"Comp_of_Price_Effect",#N/A,FALSE,"QTRDPVAR"}</definedName>
    <definedName name="__fco2" localSheetId="4" hidden="1">{#N/A,#N/A,FALSE,"gc (2)"}</definedName>
    <definedName name="__FDS_USED_FOR_REUSING_RANGE_IDS_RECYCLE" localSheetId="4" hidden="1">{11}</definedName>
    <definedName name="__Grp16" localSheetId="4" hidden="1">{#N/A,#N/A,FALSE,"PMTABB";#N/A,#N/A,FALSE,"PMTABB"}</definedName>
    <definedName name="__IDC2" localSheetId="4">City&amp;" "&amp;State</definedName>
    <definedName name="__jUL2005" localSheetId="4" hidden="1">{#N/A,#N/A,FALSE,"Aging Summary";#N/A,#N/A,FALSE,"Ratio Analysis";#N/A,#N/A,FALSE,"Test 120 Day Accts";#N/A,#N/A,FALSE,"Tickmarks"}</definedName>
    <definedName name="__loc1" localSheetId="4">City&amp;" "&amp;State</definedName>
    <definedName name="__mno9" localSheetId="4" hidden="1">{"detail",#N/A,FALSE,"mfg";"summary",#N/A,FALSE,"mfg"}</definedName>
    <definedName name="__new1" localSheetId="4" hidden="1">{#N/A,#N/A,FALSE,"Pharm";#N/A,#N/A,FALSE,"WWCM"}</definedName>
    <definedName name="__Q1" localSheetId="4" hidden="1">{#N/A,#N/A,FALSE,"CDA Plan"}</definedName>
    <definedName name="__r" localSheetId="4" hidden="1">{#N/A,#N/A,FALSE,"Pharm";#N/A,#N/A,FALSE,"WWCM"}</definedName>
    <definedName name="__ram1" localSheetId="4" hidden="1">{#N/A,#N/A,FALSE,"gc (2)"}</definedName>
    <definedName name="__rc"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T25" localSheetId="4" hidden="1">{#N/A,#N/A,FALSE,"Umsatz 99";#N/A,#N/A,FALSE,"ER 99 "}</definedName>
    <definedName name="__s34" localSheetId="4" hidden="1">{"QTD_GENERALH2",#N/A,FALSE,"QTD"}</definedName>
    <definedName name="__san4" localSheetId="4" hidden="1">{0,#N/A,TRUE,0;0,#N/A,TRUE,0}</definedName>
    <definedName name="__sd34" localSheetId="4" hidden="1">{"QTD",#N/A,FALSE,"SUM"}</definedName>
    <definedName name="__SGA2" localSheetId="4" hidden="1">{"Page 1",#N/A,TRUE,"Sheet1";"Page 2",#N/A,TRUE,"Sheet1"}</definedName>
    <definedName name="__sti02" localSheetId="4" hidden="1">{#N/A,#N/A,FALSE,"gc (2)"}</definedName>
    <definedName name="__t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2"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a1" localSheetId="4" hidden="1">{#N/A,#N/A,TRUE,"Financials";#N/A,#N/A,TRUE,"Operating Statistics";#N/A,#N/A,TRUE,"Capex &amp; Depreciation";#N/A,#N/A,TRUE,"Debt"}</definedName>
    <definedName name="__tb1" localSheetId="4" hidden="1">{#N/A,#N/A,FALSE,"One Pager";#N/A,#N/A,FALSE,"Technical"}</definedName>
    <definedName name="__tm1" localSheetId="4" hidden="1">{#N/A,#N/A,FALSE,"Pharm";#N/A,#N/A,FALSE,"WWCM"}</definedName>
    <definedName name="__trc1" localSheetId="4">City&amp;" "&amp;State</definedName>
    <definedName name="__V2" localSheetId="4" hidden="1">{#N/A,#N/A,FALSE,"Tabl. A1";#N/A,#N/A,FALSE,"Tabl. A1 b";#N/A,#N/A,FALSE,"Tabl. A2";#N/A,#N/A,FALSE,"Tabl. A2-1";#N/A,#N/A,FALSE,"Tabl. A2-2"}</definedName>
    <definedName name="__wrn1" localSheetId="4" hidden="1">{#N/A,#N/A,FALSE,"SUMMARY";#N/A,#N/A,FALSE,"SUMMARY"}</definedName>
    <definedName name="__x1" localSheetId="4" hidden="1">{"detail",#N/A,FALSE,"mfg";"summary",#N/A,FALSE,"mfg"}</definedName>
    <definedName name="__X2" localSheetId="4" hidden="1">{#N/A,#N/A,FALSE,"Other";#N/A,#N/A,FALSE,"Ace";#N/A,#N/A,FALSE,"Derm"}</definedName>
    <definedName name="__x3" localSheetId="4" hidden="1">{"detail",#N/A,FALSE,"mfg";"summary",#N/A,FALSE,"mfg"}</definedName>
    <definedName name="__x4" localSheetId="4" hidden="1">{#N/A,"PURCHM",FALSE,"Business Analysis";#N/A,"SPADD",FALSE,"Business Analysis"}</definedName>
    <definedName name="__x5" localSheetId="4" hidden="1">{#N/A,"PURADD",FALSE,"Business Analysis";#N/A,"PURSPP",FALSE,"Business Analysis";#N/A,"CTGIND",FALSE,"Business Analysis";#N/A,"PURCHM",FALSE,"Business Analysis";#N/A,"SPADD",FALSE,"Business Analysis";#N/A,"EPOXY",FALSE,"Business Analysis";#N/A,"PURPER",FALSE,"Business Analysis"}</definedName>
    <definedName name="__xx1" localSheetId="4" hidden="1">{#N/A,#N/A,FALSE,"CMN_FE"}</definedName>
    <definedName name="__xx10" localSheetId="4" hidden="1">{#N/A,"PURCHM",FALSE,"Business Analysis";#N/A,"SPADD",FALSE,"Business Analysis"}</definedName>
    <definedName name="__xx3" localSheetId="4" hidden="1">{"detail",#N/A,FALSE,"mfg";"summary",#N/A,FALSE,"mfg"}</definedName>
    <definedName name="__xx4"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localSheetId="4" hidden="1">{"oct_res_comm",#N/A,FALSE,"VarToBud"}</definedName>
    <definedName name="__xx8" localSheetId="4" hidden="1">{"QTR_ACT",#N/A,FALSE,"PROP_PBIT_DEV_Q3";"QTR_BUD",#N/A,FALSE,"PROP_PBIT_DEV_Q3";"YTD_BUD",#N/A,FALSE,"PROP_PBIT_DEV_Q3";"YTD_ACT",#N/A,FALSE,"PROP_PBIT_DEV_Q3";"FY95 SNAP3",#N/A,FALSE,"PROP_PBIT_DEV_Q3";"FY95_BUD",#N/A,FALSE,"PROP_PBIT_DEV_Q3";"FY96_BUD",#N/A,FALSE,"PROP_PBIT_DEV_Q3"}</definedName>
    <definedName name="__xx9" localSheetId="4" hidden="1">{"AS REP",#N/A,FALSE,"EEFSNAP2";"PROP",#N/A,FALSE,"EEFSNAP2";"RISKS",#N/A,FALSE,"EEFSNAP2";"VIEW ALL",#N/A,FALSE,"EEFSNAP2"}</definedName>
    <definedName name="__z12" localSheetId="4" hidden="1">{"pro_view",#N/A,FALSE,"EEFSNAP2";"rep_view",#N/A,FALSE,"EEFSNAP2"}</definedName>
    <definedName name="__z22" localSheetId="4" hidden="1">{#N/A,"PURADD",FALSE,"Business Analysis";#N/A,"PURSPP",FALSE,"Business Analysis";#N/A,"CTGIND",FALSE,"Business Analysis";#N/A,"PURCHM",FALSE,"Business Analysis";#N/A,"SPADD",FALSE,"Business Analysis";#N/A,"EPOXY",FALSE,"Business Analysis";#N/A,"PURPER",FALSE,"Business Analysis"}</definedName>
    <definedName name="__z25" localSheetId="4" hidden="1">{"detail",#N/A,FALSE,"mfg";"summary",#N/A,FALSE,"mfg"}</definedName>
    <definedName name="__zz1" localSheetId="4" hidden="1">{"pro_view",#N/A,FALSE,"EEFSNAP2";"rep_view",#N/A,FALSE,"EEFSNAP2"}</definedName>
    <definedName name="__zz2" localSheetId="4" hidden="1">{#N/A,"PURADD",FALSE,"Business Analysis";#N/A,"PURSPP",FALSE,"Business Analysis";#N/A,"CTGIND",FALSE,"Business Analysis";#N/A,"PURCHM",FALSE,"Business Analysis";#N/A,"SPADD",FALSE,"Business Analysis";#N/A,"EPOXY",FALSE,"Business Analysis";#N/A,"PURPER",FALSE,"Business Analysis"}</definedName>
    <definedName name="_1__wrn.²Ä1­Ó¤ë1_Ü20¤H." localSheetId="4" hidden="1">{#N/A,#N/A,FALSE,"²Ä1­Ó¤ë"}</definedName>
    <definedName name="_100sdsdsds_1" localSheetId="4">{#N/A,#N/A,TRUE,"Front";#N/A,#N/A,TRUE,"Simple Letter";#N/A,#N/A,TRUE,"Inside";#N/A,#N/A,TRUE,"Contents";#N/A,#N/A,TRUE,"Basis";#N/A,#N/A,TRUE,"Inclusions";#N/A,#N/A,TRUE,"Exclusions";#N/A,#N/A,TRUE,"Areas";#N/A,#N/A,TRUE,"Summary";#N/A,#N/A,TRUE,"Detail"}</definedName>
    <definedName name="_101SHYAM_1" localSheetId="4">City&amp;" "&amp;#NAME?</definedName>
    <definedName name="_103spell_1" localSheetId="4">City&amp;" "&amp;#NAME?</definedName>
    <definedName name="_104ss_1" localSheetId="4">{#N/A,#N/A,TRUE,"Front";#N/A,#N/A,TRUE,"Simple Letter";#N/A,#N/A,TRUE,"Inside";#N/A,#N/A,TRUE,"Contents";#N/A,#N/A,TRUE,"Basis";#N/A,#N/A,TRUE,"Inclusions";#N/A,#N/A,TRUE,"Exclusions";#N/A,#N/A,TRUE,"Areas";#N/A,#N/A,TRUE,"Summary";#N/A,#N/A,TRUE,"Detail"}</definedName>
    <definedName name="_105st_1" localSheetId="4">{#N/A,#N/A,TRUE,"Front";#N/A,#N/A,TRUE,"Simple Letter";#N/A,#N/A,TRUE,"Inside";#N/A,#N/A,TRUE,"Contents";#N/A,#N/A,TRUE,"Basis";#N/A,#N/A,TRUE,"Inclusions";#N/A,#N/A,TRUE,"Exclusions";#N/A,#N/A,TRUE,"Areas";#N/A,#N/A,TRUE,"Summary";#N/A,#N/A,TRUE,"Detail"}</definedName>
    <definedName name="_106target_1" localSheetId="4">City&amp;" "&amp;State</definedName>
    <definedName name="_107th_1" localSheetId="4">City&amp;" "&amp;State</definedName>
    <definedName name="_108Thiagarajan_1" localSheetId="4">{"'Sheet1'!$A$4386:$N$4591"}</definedName>
    <definedName name="_109TRE_1" localSheetId="4">City&amp;" "&amp;State</definedName>
    <definedName name="_110TRU_1" localSheetId="4">{#N/A,#N/A,TRUE,"Front";#N/A,#N/A,TRUE,"Simple Letter";#N/A,#N/A,TRUE,"Inside";#N/A,#N/A,TRUE,"Contents";#N/A,#N/A,TRUE,"Basis";#N/A,#N/A,TRUE,"Inclusions";#N/A,#N/A,TRUE,"Exclusions";#N/A,#N/A,TRUE,"Areas";#N/A,#N/A,TRUE,"Summary";#N/A,#N/A,TRUE,"Detail"}</definedName>
    <definedName name="_111ttc_1" localSheetId="4">City&amp;" "&amp;State</definedName>
    <definedName name="_112__FDSAUDITLINK__" localSheetId="4"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TY_1" localSheetId="4">City&amp;" "&amp;State</definedName>
    <definedName name="_113UPDATE_1" localSheetId="4">{#N/A,#N/A,TRUE,"Front";#N/A,#N/A,TRUE,"Simple Letter";#N/A,#N/A,TRUE,"Inside";#N/A,#N/A,TRUE,"Contents";#N/A,#N/A,TRUE,"Basis";#N/A,#N/A,TRUE,"Inclusions";#N/A,#N/A,TRUE,"Exclusions";#N/A,#N/A,TRUE,"Areas";#N/A,#N/A,TRUE,"Summary";#N/A,#N/A,TRUE,"Detail"}</definedName>
    <definedName name="_114wer_1" localSheetId="4">{#N/A,#N/A,TRUE,"Front";#N/A,#N/A,TRUE,"Simple Letter";#N/A,#N/A,TRUE,"Inside";#N/A,#N/A,TRUE,"Contents";#N/A,#N/A,TRUE,"Basis";#N/A,#N/A,TRUE,"Inclusions";#N/A,#N/A,TRUE,"Exclusions";#N/A,#N/A,TRUE,"Areas";#N/A,#N/A,TRUE,"Summary";#N/A,#N/A,TRUE,"Detail"}</definedName>
    <definedName name="_115workstatus_1" localSheetId="4">City&amp;" "&amp;State</definedName>
    <definedName name="_116wrn.Full._.Report._1" localSheetId="4">{#N/A,#N/A,TRUE,"Front";#N/A,#N/A,TRUE,"Simple Letter";#N/A,#N/A,TRUE,"Inside";#N/A,#N/A,TRUE,"Contents";#N/A,#N/A,TRUE,"Basis";#N/A,#N/A,TRUE,"Inclusions";#N/A,#N/A,TRUE,"Exclusions";#N/A,#N/A,TRUE,"Areas";#N/A,#N/A,TRUE,"Summary";#N/A,#N/A,TRUE,"Detail"}</definedName>
    <definedName name="_117wrn.full._.reports_1" localSheetId="4">{#N/A,#N/A,TRUE,"Front";#N/A,#N/A,TRUE,"Simple Letter";#N/A,#N/A,TRUE,"Inside";#N/A,#N/A,TRUE,"Contents";#N/A,#N/A,TRUE,"Basis";#N/A,#N/A,TRUE,"Inclusions";#N/A,#N/A,TRUE,"Exclusions";#N/A,#N/A,TRUE,"Areas";#N/A,#N/A,TRUE,"Summary";#N/A,#N/A,TRUE,"Detail"}</definedName>
    <definedName name="_118x_1" localSheetId="4">{#N/A,#N/A,TRUE,"Front";#N/A,#N/A,TRUE,"Simple Letter";#N/A,#N/A,TRUE,"Inside";#N/A,#N/A,TRUE,"Contents";#N/A,#N/A,TRUE,"Basis";#N/A,#N/A,TRUE,"Inclusions";#N/A,#N/A,TRUE,"Exclusions";#N/A,#N/A,TRUE,"Areas";#N/A,#N/A,TRUE,"Summary";#N/A,#N/A,TRUE,"Detail"}</definedName>
    <definedName name="_119xczx_1" localSheetId="4">City&amp;" "&amp;State</definedName>
    <definedName name="_120__FDSAUDITLINK__" localSheetId="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xz_1" localSheetId="4">{#N/A,#N/A,TRUE,"Front";#N/A,#N/A,TRUE,"Simple Letter";#N/A,#N/A,TRUE,"Inside";#N/A,#N/A,TRUE,"Contents";#N/A,#N/A,TRUE,"Basis";#N/A,#N/A,TRUE,"Inclusions";#N/A,#N/A,TRUE,"Exclusions";#N/A,#N/A,TRUE,"Areas";#N/A,#N/A,TRUE,"Summary";#N/A,#N/A,TRUE,"Detail"}</definedName>
    <definedName name="_121YES_1" localSheetId="4">{#N/A,#N/A,TRUE,"Front";#N/A,#N/A,TRUE,"Simple Letter";#N/A,#N/A,TRUE,"Inside";#N/A,#N/A,TRUE,"Contents";#N/A,#N/A,TRUE,"Basis";#N/A,#N/A,TRUE,"Inclusions";#N/A,#N/A,TRUE,"Exclusions";#N/A,#N/A,TRUE,"Areas";#N/A,#N/A,TRUE,"Summary";#N/A,#N/A,TRUE,"Detail"}</definedName>
    <definedName name="_122YU_1" localSheetId="4">{#N/A,#N/A,TRUE,"Front";#N/A,#N/A,TRUE,"Simple Letter";#N/A,#N/A,TRUE,"Inside";#N/A,#N/A,TRUE,"Contents";#N/A,#N/A,TRUE,"Basis";#N/A,#N/A,TRUE,"Inclusions";#N/A,#N/A,TRUE,"Exclusions";#N/A,#N/A,TRUE,"Areas";#N/A,#N/A,TRUE,"Summary";#N/A,#N/A,TRUE,"Detail"}</definedName>
    <definedName name="_123z_1" localSheetId="4">{#N/A,#N/A,TRUE,"Front";#N/A,#N/A,TRUE,"Simple Letter";#N/A,#N/A,TRUE,"Inside";#N/A,#N/A,TRUE,"Contents";#N/A,#N/A,TRUE,"Basis";#N/A,#N/A,TRUE,"Inclusions";#N/A,#N/A,TRUE,"Exclusions";#N/A,#N/A,TRUE,"Areas";#N/A,#N/A,TRUE,"Summary";#N/A,#N/A,TRUE,"Detail"}</definedName>
    <definedName name="_124zc_1" localSheetId="4">{#N/A,#N/A,TRUE,"Front";#N/A,#N/A,TRUE,"Simple Letter";#N/A,#N/A,TRUE,"Inside";#N/A,#N/A,TRUE,"Contents";#N/A,#N/A,TRUE,"Basis";#N/A,#N/A,TRUE,"Inclusions";#N/A,#N/A,TRUE,"Exclusions";#N/A,#N/A,TRUE,"Areas";#N/A,#N/A,TRUE,"Summary";#N/A,#N/A,TRUE,"Detail"}</definedName>
    <definedName name="_125zccz_1" localSheetId="4">City&amp;" "&amp;State</definedName>
    <definedName name="_126zxz_1" localSheetId="4">City&amp;" "&amp;State</definedName>
    <definedName name="_127zz_1" localSheetId="4">{#N/A,#N/A,TRUE,"Front";#N/A,#N/A,TRUE,"Simple Letter";#N/A,#N/A,TRUE,"Inside";#N/A,#N/A,TRUE,"Contents";#N/A,#N/A,TRUE,"Basis";#N/A,#N/A,TRUE,"Inclusions";#N/A,#N/A,TRUE,"Exclusions";#N/A,#N/A,TRUE,"Areas";#N/A,#N/A,TRUE,"Summary";#N/A,#N/A,TRUE,"Detail"}</definedName>
    <definedName name="_13wrn.²Ä1­Ó¤ë1_Ü20¤H." localSheetId="4" hidden="1">{#N/A,#N/A,FALSE,"²Ä1­Ó¤ë"}</definedName>
    <definedName name="_144__FDSAUDITLINK__" localSheetId="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60__FDSAUDITLINK__" localSheetId="4"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wrn.²Ä1­Ó¤ë1_Ü20¤H." localSheetId="4" hidden="1">{#N/A,#N/A,FALSE,"²Ä1­Ó¤ë"}</definedName>
    <definedName name="_1wrn.²Ä1­Ó¤ë1_Ü20¤H." localSheetId="4" hidden="1">{#N/A,#N/A,FALSE,"²Ä1­Ó¤ë"}</definedName>
    <definedName name="_2_wrn.²Ä1­Ó¤ë1_Ü20¤H." localSheetId="4" hidden="1">{#N/A,#N/A,FALSE,"²Ä1­Ó¤ë"}</definedName>
    <definedName name="_206__FDSAUDITLINK__" localSheetId="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wrn.²Ä1­Ó¤ë1_Ü20¤H." localSheetId="4" hidden="1">{#N/A,#N/A,FALSE,"²Ä1­Ó¤ë"}</definedName>
    <definedName name="_353__FDSAUDITLINK__" localSheetId="4"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add_BOQ_1" localSheetId="4">{#N/A,#N/A,TRUE,"Front";#N/A,#N/A,TRUE,"Simple Letter";#N/A,#N/A,TRUE,"Inside";#N/A,#N/A,TRUE,"Contents";#N/A,#N/A,TRUE,"Basis";#N/A,#N/A,TRUE,"Inclusions";#N/A,#N/A,TRUE,"Exclusions";#N/A,#N/A,TRUE,"Areas";#N/A,#N/A,TRUE,"Summary";#N/A,#N/A,TRUE,"Detail"}</definedName>
    <definedName name="_371__FDSAUDITLINK__" localSheetId="4"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cadcd_1" localSheetId="4">{#N/A,#N/A,TRUE,"Front";#N/A,#N/A,TRUE,"Simple Letter";#N/A,#N/A,TRUE,"Inside";#N/A,#N/A,TRUE,"Contents";#N/A,#N/A,TRUE,"Basis";#N/A,#N/A,TRUE,"Inclusions";#N/A,#N/A,TRUE,"Exclusions";#N/A,#N/A,TRUE,"Areas";#N/A,#N/A,TRUE,"Summary";#N/A,#N/A,TRUE,"Detail"}</definedName>
    <definedName name="_39cf_1" localSheetId="4">{#N/A,#N/A,TRUE,"Front";#N/A,#N/A,TRUE,"Simple Letter";#N/A,#N/A,TRUE,"Inside";#N/A,#N/A,TRUE,"Contents";#N/A,#N/A,TRUE,"Basis";#N/A,#N/A,TRUE,"Inclusions";#N/A,#N/A,TRUE,"Exclusions";#N/A,#N/A,TRUE,"Areas";#N/A,#N/A,TRUE,"Summary";#N/A,#N/A,TRUE,"Detail"}</definedName>
    <definedName name="_3wrn.²Ä1­Ó¤ë1_Ü20¤H." localSheetId="4" hidden="1">{#N/A,#N/A,FALSE,"²Ä1­Ó¤ë"}</definedName>
    <definedName name="_40cff_1" localSheetId="4">{#N/A,#N/A,TRUE,"Front";#N/A,#N/A,TRUE,"Simple Letter";#N/A,#N/A,TRUE,"Inside";#N/A,#N/A,TRUE,"Contents";#N/A,#N/A,TRUE,"Basis";#N/A,#N/A,TRUE,"Inclusions";#N/A,#N/A,TRUE,"Exclusions";#N/A,#N/A,TRUE,"Areas";#N/A,#N/A,TRUE,"Summary";#N/A,#N/A,TRUE,"Detail"}</definedName>
    <definedName name="_42con_1" localSheetId="4">{#N/A,#N/A,TRUE,"Front";#N/A,#N/A,TRUE,"Simple Letter";#N/A,#N/A,TRUE,"Inside";#N/A,#N/A,TRUE,"Contents";#N/A,#N/A,TRUE,"Basis";#N/A,#N/A,TRUE,"Inclusions";#N/A,#N/A,TRUE,"Exclusions";#N/A,#N/A,TRUE,"Areas";#N/A,#N/A,TRUE,"Summary";#N/A,#N/A,TRUE,"Detail"}</definedName>
    <definedName name="_42wrn.²Ä1­Ó¤ë1_Ü20¤H." localSheetId="4" hidden="1">{#N/A,#N/A,FALSE,"²Ä1­Ó¤ë"}</definedName>
    <definedName name="_43cvv_1" localSheetId="4">City&amp;" "&amp;#NAME?</definedName>
    <definedName name="_44czxz_1" localSheetId="4">City&amp;" "&amp;#NAME?</definedName>
    <definedName name="_45dcf_1" localSheetId="4">City&amp;" "&amp;#NAME?</definedName>
    <definedName name="_45wrn.²Ä1­Ó¤ë1_Ü20¤H." localSheetId="4" hidden="1">{#N/A,#N/A,FALSE,"²Ä1­Ó¤ë"}</definedName>
    <definedName name="_46DCI_1" localSheetId="4">{#N/A,#N/A,TRUE,"Front";#N/A,#N/A,TRUE,"Simple Letter";#N/A,#N/A,TRUE,"Inside";#N/A,#N/A,TRUE,"Contents";#N/A,#N/A,TRUE,"Basis";#N/A,#N/A,TRUE,"Inclusions";#N/A,#N/A,TRUE,"Exclusions";#N/A,#N/A,TRUE,"Areas";#N/A,#N/A,TRUE,"Summary";#N/A,#N/A,TRUE,"Detail"}</definedName>
    <definedName name="_47dear_1" localSheetId="4">{#N/A,#N/A,TRUE,"Front";#N/A,#N/A,TRUE,"Simple Letter";#N/A,#N/A,TRUE,"Inside";#N/A,#N/A,TRUE,"Contents";#N/A,#N/A,TRUE,"Basis";#N/A,#N/A,TRUE,"Inclusions";#N/A,#N/A,TRUE,"Exclusions";#N/A,#N/A,TRUE,"Areas";#N/A,#N/A,TRUE,"Summary";#N/A,#N/A,TRUE,"Detail"}</definedName>
    <definedName name="_48dsdsadasdas_1" localSheetId="4">City&amp;" "&amp;#NAME?</definedName>
    <definedName name="_49dty_1" localSheetId="4">{#N/A,#N/A,TRUE,"Front";#N/A,#N/A,TRUE,"Simple Letter";#N/A,#N/A,TRUE,"Inside";#N/A,#N/A,TRUE,"Contents";#N/A,#N/A,TRUE,"Basis";#N/A,#N/A,TRUE,"Inclusions";#N/A,#N/A,TRUE,"Exclusions";#N/A,#N/A,TRUE,"Areas";#N/A,#N/A,TRUE,"Summary";#N/A,#N/A,TRUE,"Detail"}</definedName>
    <definedName name="_49wrn.²Ä1­Ó¤ë1_Ü20¤H." localSheetId="4" hidden="1">{#N/A,#N/A,FALSE,"²Ä1­Ó¤ë"}</definedName>
    <definedName name="_4wrn.²Ä1­Ó¤ë1_Ü20¤H." localSheetId="4" hidden="1">{#N/A,#N/A,FALSE,"²Ä1­Ó¤ë"}</definedName>
    <definedName name="_50ere_1" localSheetId="4">City&amp;" "&amp;#NAME?</definedName>
    <definedName name="_50wrn.²Ä1­Ó¤ë1_Ü20¤H." localSheetId="4" hidden="1">{#N/A,#N/A,FALSE,"²Ä1­Ó¤ë"}</definedName>
    <definedName name="_51ereew_1" localSheetId="4">City&amp;" "&amp;#NAME?</definedName>
    <definedName name="_52erre_1" localSheetId="4">City&amp;" "&amp;#NAME?</definedName>
    <definedName name="_56face_1" localSheetId="4">City&amp;" "&amp;#NAME?</definedName>
    <definedName name="_57fdfd_1" localSheetId="4">City&amp;" "&amp;#NAME?</definedName>
    <definedName name="_58fedfed_1" localSheetId="4">City&amp;" "&amp;#NAME?</definedName>
    <definedName name="_59fere_1" localSheetId="4">{#N/A,#N/A,TRUE,"Front";#N/A,#N/A,TRUE,"Simple Letter";#N/A,#N/A,TRUE,"Inside";#N/A,#N/A,TRUE,"Contents";#N/A,#N/A,TRUE,"Basis";#N/A,#N/A,TRUE,"Inclusions";#N/A,#N/A,TRUE,"Exclusions";#N/A,#N/A,TRUE,"Areas";#N/A,#N/A,TRUE,"Summary";#N/A,#N/A,TRUE,"Detail"}</definedName>
    <definedName name="_5wrn.²Ä1­Ó¤ë1_Ü20¤H." localSheetId="4" hidden="1">{#N/A,#N/A,FALSE,"²Ä1­Ó¤ë"}</definedName>
    <definedName name="_60FOXC_1" localSheetId="4">{#N/A,#N/A,TRUE,"Front";#N/A,#N/A,TRUE,"Simple Letter";#N/A,#N/A,TRUE,"Inside";#N/A,#N/A,TRUE,"Contents";#N/A,#N/A,TRUE,"Basis";#N/A,#N/A,TRUE,"Inclusions";#N/A,#N/A,TRUE,"Exclusions";#N/A,#N/A,TRUE,"Areas";#N/A,#N/A,TRUE,"Summary";#N/A,#N/A,TRUE,"Detail"}</definedName>
    <definedName name="_60wrn.²Ä1­Ó¤ë1_Ü20¤H." localSheetId="4" hidden="1">{#N/A,#N/A,FALSE,"²Ä1­Ó¤ë"}</definedName>
    <definedName name="_61full_1" localSheetId="4">{#N/A,#N/A,TRUE,"Front";#N/A,#N/A,TRUE,"Simple Letter";#N/A,#N/A,TRUE,"Inside";#N/A,#N/A,TRUE,"Contents";#N/A,#N/A,TRUE,"Basis";#N/A,#N/A,TRUE,"Inclusions";#N/A,#N/A,TRUE,"Exclusions";#N/A,#N/A,TRUE,"Areas";#N/A,#N/A,TRUE,"Summary";#N/A,#N/A,TRUE,"Detail"}</definedName>
    <definedName name="_62grtr_1" localSheetId="4">{#N/A,#N/A,TRUE,"Front";#N/A,#N/A,TRUE,"Simple Letter";#N/A,#N/A,TRUE,"Inside";#N/A,#N/A,TRUE,"Contents";#N/A,#N/A,TRUE,"Basis";#N/A,#N/A,TRUE,"Inclusions";#N/A,#N/A,TRUE,"Exclusions";#N/A,#N/A,TRUE,"Areas";#N/A,#N/A,TRUE,"Summary";#N/A,#N/A,TRUE,"Detail"}</definedName>
    <definedName name="_64hi_1" localSheetId="4">{#N/A,#N/A,TRUE,"Front";#N/A,#N/A,TRUE,"Simple Letter";#N/A,#N/A,TRUE,"Inside";#N/A,#N/A,TRUE,"Contents";#N/A,#N/A,TRUE,"Basis";#N/A,#N/A,TRUE,"Inclusions";#N/A,#N/A,TRUE,"Exclusions";#N/A,#N/A,TRUE,"Areas";#N/A,#N/A,TRUE,"Summary";#N/A,#N/A,TRUE,"Detail"}</definedName>
    <definedName name="_65HTML_Control_1" localSheetId="4">{"'Sheet1'!$A$4386:$N$4591"}</definedName>
    <definedName name="_66hyy_1" localSheetId="4">City&amp;" "&amp;#NAME?</definedName>
    <definedName name="_67IDC2_1" localSheetId="4">City&amp;" "&amp;#NAME?</definedName>
    <definedName name="_68__FDSAUDITLINK__" localSheetId="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IDCGK_1" localSheetId="4">City&amp;" "&amp;#NAME?</definedName>
    <definedName name="_69ju_1" localSheetId="4">{#N/A,#N/A,TRUE,"Front";#N/A,#N/A,TRUE,"Simple Letter";#N/A,#N/A,TRUE,"Inside";#N/A,#N/A,TRUE,"Contents";#N/A,#N/A,TRUE,"Basis";#N/A,#N/A,TRUE,"Inclusions";#N/A,#N/A,TRUE,"Exclusions";#N/A,#N/A,TRUE,"Areas";#N/A,#N/A,TRUE,"Summary";#N/A,#N/A,TRUE,"Detail"}</definedName>
    <definedName name="_70KHJ_1" localSheetId="4">City&amp;" "&amp;#NAME?</definedName>
    <definedName name="_71kil_1" localSheetId="4">{#N/A,#N/A,TRUE,"Front";#N/A,#N/A,TRUE,"Simple Letter";#N/A,#N/A,TRUE,"Inside";#N/A,#N/A,TRUE,"Contents";#N/A,#N/A,TRUE,"Basis";#N/A,#N/A,TRUE,"Inclusions";#N/A,#N/A,TRUE,"Exclusions";#N/A,#N/A,TRUE,"Areas";#N/A,#N/A,TRUE,"Summary";#N/A,#N/A,TRUE,"Detail"}</definedName>
    <definedName name="_72kju_1" localSheetId="4">{#N/A,#N/A,TRUE,"Front";#N/A,#N/A,TRUE,"Simple Letter";#N/A,#N/A,TRUE,"Inside";#N/A,#N/A,TRUE,"Contents";#N/A,#N/A,TRUE,"Basis";#N/A,#N/A,TRUE,"Inclusions";#N/A,#N/A,TRUE,"Exclusions";#N/A,#N/A,TRUE,"Areas";#N/A,#N/A,TRUE,"Summary";#N/A,#N/A,TRUE,"Detail"}</definedName>
    <definedName name="_73lkl_1" localSheetId="4">{#N/A,#N/A,TRUE,"Front";#N/A,#N/A,TRUE,"Simple Letter";#N/A,#N/A,TRUE,"Inside";#N/A,#N/A,TRUE,"Contents";#N/A,#N/A,TRUE,"Basis";#N/A,#N/A,TRUE,"Inclusions";#N/A,#N/A,TRUE,"Exclusions";#N/A,#N/A,TRUE,"Areas";#N/A,#N/A,TRUE,"Summary";#N/A,#N/A,TRUE,"Detail"}</definedName>
    <definedName name="_74LL_1" localSheetId="4">City&amp;" "&amp;#NAME?</definedName>
    <definedName name="_75lll_1" localSheetId="4">City&amp;" "&amp;#NAME?</definedName>
    <definedName name="_76loc1_1" localSheetId="4">City&amp;" "&amp;#NAME?</definedName>
    <definedName name="_77Location_1" localSheetId="4">City&amp;" "&amp;#NAME?</definedName>
    <definedName name="_78locations_1" localSheetId="4">City&amp;" "&amp;#NAME?</definedName>
    <definedName name="_79MAJOR_1" localSheetId="4">City&amp;" "&amp;#NAME?</definedName>
    <definedName name="_80mas_1" localSheetId="4">City&amp;" "&amp;#NAME?</definedName>
    <definedName name="_81mm_1" localSheetId="4">City&amp;" "&amp;#NAME?</definedName>
    <definedName name="_82Mullions_1" localSheetId="4">{#N/A,#N/A,TRUE,"Front";#N/A,#N/A,TRUE,"Simple Letter";#N/A,#N/A,TRUE,"Inside";#N/A,#N/A,TRUE,"Contents";#N/A,#N/A,TRUE,"Basis";#N/A,#N/A,TRUE,"Inclusions";#N/A,#N/A,TRUE,"Exclusions";#N/A,#N/A,TRUE,"Areas";#N/A,#N/A,TRUE,"Summary";#N/A,#N/A,TRUE,"Detail"}</definedName>
    <definedName name="_83nngg_1" localSheetId="4">City&amp;" "&amp;#NAME?</definedName>
    <definedName name="_84Org_1" localSheetId="4">{#N/A,#N/A,TRUE,"Front";#N/A,#N/A,TRUE,"Simple Letter";#N/A,#N/A,TRUE,"Inside";#N/A,#N/A,TRUE,"Contents";#N/A,#N/A,TRUE,"Basis";#N/A,#N/A,TRUE,"Inclusions";#N/A,#N/A,TRUE,"Exclusions";#N/A,#N/A,TRUE,"Areas";#N/A,#N/A,TRUE,"Summary";#N/A,#N/A,TRUE,"Detail"}</definedName>
    <definedName name="_85orrr_1" localSheetId="4">{#N/A,#N/A,TRUE,"Front";#N/A,#N/A,TRUE,"Simple Letter";#N/A,#N/A,TRUE,"Inside";#N/A,#N/A,TRUE,"Contents";#N/A,#N/A,TRUE,"Basis";#N/A,#N/A,TRUE,"Inclusions";#N/A,#N/A,TRUE,"Exclusions";#N/A,#N/A,TRUE,"Areas";#N/A,#N/A,TRUE,"Summary";#N/A,#N/A,TRUE,"Detail"}</definedName>
    <definedName name="_86per_1" localSheetId="4">City&amp;" "&amp;#NAME?</definedName>
    <definedName name="_87plan1_1" localSheetId="4">City&amp;" "&amp;#NAME?</definedName>
    <definedName name="_88pp_1" localSheetId="4">City&amp;" "&amp;#NAME?</definedName>
    <definedName name="_89QC_1" localSheetId="4">{"'Sheet1'!$A$4386:$N$4591"}</definedName>
    <definedName name="_8wrn.²Ä1­Ó¤ë1_Ü20¤H." localSheetId="4" hidden="1">{#N/A,#N/A,FALSE,"²Ä1­Ó¤ë"}</definedName>
    <definedName name="_90QS_1" localSheetId="4">{#N/A,#N/A,TRUE,"Front";#N/A,#N/A,TRUE,"Simple Letter";#N/A,#N/A,TRUE,"Inside";#N/A,#N/A,TRUE,"Contents";#N/A,#N/A,TRUE,"Basis";#N/A,#N/A,TRUE,"Inclusions";#N/A,#N/A,TRUE,"Exclusions";#N/A,#N/A,TRUE,"Areas";#N/A,#N/A,TRUE,"Summary";#N/A,#N/A,TRUE,"Detail"}</definedName>
    <definedName name="_91qttty_1" localSheetId="4">{#N/A,#N/A,TRUE,"Front";#N/A,#N/A,TRUE,"Simple Letter";#N/A,#N/A,TRUE,"Inside";#N/A,#N/A,TRUE,"Contents";#N/A,#N/A,TRUE,"Basis";#N/A,#N/A,TRUE,"Inclusions";#N/A,#N/A,TRUE,"Exclusions";#N/A,#N/A,TRUE,"Areas";#N/A,#N/A,TRUE,"Summary";#N/A,#N/A,TRUE,"Detail"}</definedName>
    <definedName name="_92ravi_1" localSheetId="4">{#N/A,#N/A,TRUE,"Front";#N/A,#N/A,TRUE,"Simple Letter";#N/A,#N/A,TRUE,"Inside";#N/A,#N/A,TRUE,"Contents";#N/A,#N/A,TRUE,"Basis";#N/A,#N/A,TRUE,"Inclusions";#N/A,#N/A,TRUE,"Exclusions";#N/A,#N/A,TRUE,"Areas";#N/A,#N/A,TRUE,"Summary";#N/A,#N/A,TRUE,"Detail"}</definedName>
    <definedName name="_93re_1" localSheetId="4">{#N/A,#N/A,TRUE,"Front";#N/A,#N/A,TRUE,"Simple Letter";#N/A,#N/A,TRUE,"Inside";#N/A,#N/A,TRUE,"Contents";#N/A,#N/A,TRUE,"Basis";#N/A,#N/A,TRUE,"Inclusions";#N/A,#N/A,TRUE,"Exclusions";#N/A,#N/A,TRUE,"Areas";#N/A,#N/A,TRUE,"Summary";#N/A,#N/A,TRUE,"Detail"}</definedName>
    <definedName name="_94rev.plan_1" localSheetId="4">City&amp;" "&amp;#NAME?</definedName>
    <definedName name="_96rrr_1" localSheetId="4">City&amp;" "&amp;#NAME?</definedName>
    <definedName name="_97rsdec_1" localSheetId="4">{#N/A,#N/A,TRUE,"Front";#N/A,#N/A,TRUE,"Simple Letter";#N/A,#N/A,TRUE,"Inside";#N/A,#N/A,TRUE,"Contents";#N/A,#N/A,TRUE,"Basis";#N/A,#N/A,TRUE,"Inclusions";#N/A,#N/A,TRUE,"Exclusions";#N/A,#N/A,TRUE,"Areas";#N/A,#N/A,TRUE,"Summary";#N/A,#N/A,TRUE,"Detail"}</definedName>
    <definedName name="_98salem_1" localSheetId="4">{#N/A,#N/A,TRUE,"Front";#N/A,#N/A,TRUE,"Simple Letter";#N/A,#N/A,TRUE,"Inside";#N/A,#N/A,TRUE,"Contents";#N/A,#N/A,TRUE,"Basis";#N/A,#N/A,TRUE,"Inclusions";#N/A,#N/A,TRUE,"Exclusions";#N/A,#N/A,TRUE,"Areas";#N/A,#N/A,TRUE,"Summary";#N/A,#N/A,TRUE,"Detail"}</definedName>
    <definedName name="_99sas_1" localSheetId="4">City&amp;" "&amp;#NAME?</definedName>
    <definedName name="_a1" localSheetId="4" hidden="1">{#N/A,#N/A,FALSE,"Pharm";#N/A,#N/A,FALSE,"WWCM"}</definedName>
    <definedName name="_A11" localSheetId="4" hidden="1">{#N/A,#N/A,FALSE,"Umsatz 99";#N/A,#N/A,FALSE,"ER 99 "}</definedName>
    <definedName name="_A12" localSheetId="4" hidden="1">{#N/A,#N/A,FALSE,"Umsatz 99";#N/A,#N/A,FALSE,"ER 99 "}</definedName>
    <definedName name="_a3" localSheetId="4" hidden="1">{"Geo - Detail Detail",#N/A,FALSE,"Geo View";"Geo - Detail",#N/A,FALSE,"Geo View";"Dept - Detail Detail",#N/A,FALSE,"Dept View";"Dept - Detail",#N/A,FALSE,"Dept View"}</definedName>
    <definedName name="_aa1" localSheetId="4" hidden="1">{#N/A,"PURADD",FALSE,"Business Analysis";#N/A,"PURSPP",FALSE,"Business Analysis";#N/A,"CTGIND",FALSE,"Business Analysis";#N/A,"PURCHM",FALSE,"Business Analysis";#N/A,"SPADD",FALSE,"Business Analysis";#N/A,"EPOXY",FALSE,"Business Analysis";#N/A,"PURPER",FALSE,"Business Analysis"}</definedName>
    <definedName name="_aaa1" localSheetId="4" hidden="1">{#N/A,#N/A,FALSE,"Model";#N/A,#N/A,FALSE,"Division"}</definedName>
    <definedName name="_AAA1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s1" localSheetId="4" hidden="1">{#N/A,#N/A,FALSE,"REPORT"}</definedName>
    <definedName name="_ab098" localSheetId="4" hidden="1">{#N/A,"PURCHM",FALSE,"Business Analysis";#N/A,"SPADD",FALSE,"Business Analysis"}</definedName>
    <definedName name="_abc098" localSheetId="4" hidden="1">{#N/A,"PURCHM",FALSE,"Business Analysis";#N/A,"SPADD",FALSE,"Business Analysis"}</definedName>
    <definedName name="_abc1" localSheetId="4" hidden="1">{"detail",#N/A,FALSE,"mfg";"summary",#N/A,FALSE,"mfg"}</definedName>
    <definedName name="_abc10" localSheetId="4" hidden="1">{"detail",#N/A,FALSE,"mfg";"summary",#N/A,FALSE,"mfg"}</definedName>
    <definedName name="_abc101" localSheetId="4" hidden="1">{"detail",#N/A,FALSE,"mfg";"summary",#N/A,FALSE,"mfg"}</definedName>
    <definedName name="_abc102" localSheetId="4" hidden="1">{"detail",#N/A,FALSE,"mfg";"summary",#N/A,FALSE,"mfg"}</definedName>
    <definedName name="_abc105" localSheetId="4" hidden="1">{"detail",#N/A,FALSE,"mfg";"summary",#N/A,FALSE,"mfg"}</definedName>
    <definedName name="_abc1082" localSheetId="4" hidden="1">{"detail",#N/A,FALSE,"mfg";"summary",#N/A,FALSE,"mfg"}</definedName>
    <definedName name="_abc11" localSheetId="4" hidden="1">{"detail",#N/A,FALSE,"mfg";"summary",#N/A,FALSE,"mfg"}</definedName>
    <definedName name="_abc115" localSheetId="4" hidden="1">{"detail",#N/A,FALSE,"mfg";"summary",#N/A,FALSE,"mfg"}</definedName>
    <definedName name="_abc12" localSheetId="4" hidden="1">{"detail",#N/A,FALSE,"mfg";"summary",#N/A,FALSE,"mfg"}</definedName>
    <definedName name="_abc1234" localSheetId="4" hidden="1">{#N/A,"PURCHM",FALSE,"Business Analysis";#N/A,"SPADD",FALSE,"Business Analysis"}</definedName>
    <definedName name="_abc125" localSheetId="4" hidden="1">{"detail",#N/A,FALSE,"mfg";"summary",#N/A,FALSE,"mfg"}</definedName>
    <definedName name="_abc13" localSheetId="4" hidden="1">{"detail",#N/A,FALSE,"mfg";"summary",#N/A,FALSE,"mfg"}</definedName>
    <definedName name="_abc1325" localSheetId="4" hidden="1">{"detail",#N/A,FALSE,"mfg";"summary",#N/A,FALSE,"mfg"}</definedName>
    <definedName name="_abc14" localSheetId="4" hidden="1">{"detail",#N/A,FALSE,"mfg";"summary",#N/A,FALSE,"mfg"}</definedName>
    <definedName name="_abc1425" localSheetId="4" hidden="1">{"detail",#N/A,FALSE,"mfg";"summary",#N/A,FALSE,"mfg"}</definedName>
    <definedName name="_abc2" localSheetId="4" hidden="1">{"detail",#N/A,FALSE,"mfg";"summary",#N/A,FALSE,"mfg"}</definedName>
    <definedName name="_abc200" localSheetId="4" hidden="1">{"detail",#N/A,FALSE,"mfg";"summary",#N/A,FALSE,"mfg"}</definedName>
    <definedName name="_abc2005" localSheetId="4" hidden="1">{#N/A,"PURCHM",FALSE,"Business Analysis";#N/A,"SPADD",FALSE,"Business Analysis"}</definedName>
    <definedName name="_abc201" localSheetId="4" hidden="1">{"detail",#N/A,FALSE,"mfg";"summary",#N/A,FALSE,"mfg"}</definedName>
    <definedName name="_abc202" localSheetId="4" hidden="1">{"detail",#N/A,FALSE,"mfg";"summary",#N/A,FALSE,"mfg"}</definedName>
    <definedName name="_abc2054" localSheetId="4" hidden="1">{"detail",#N/A,FALSE,"mfg";"summary",#N/A,FALSE,"mfg"}</definedName>
    <definedName name="_abc212" localSheetId="4" hidden="1">{"detail",#N/A,FALSE,"mfg";"summary",#N/A,FALSE,"mfg"}</definedName>
    <definedName name="_abc212450" localSheetId="4" hidden="1">{"detail",#N/A,FALSE,"mfg";"summary",#N/A,FALSE,"mfg"}</definedName>
    <definedName name="_abc23" localSheetId="4" hidden="1">{"detail",#N/A,FALSE,"mfg";"summary",#N/A,FALSE,"mfg"}</definedName>
    <definedName name="_abc24" localSheetId="4" hidden="1">{"detail",#N/A,FALSE,"mfg";"summary",#N/A,FALSE,"mfg"}</definedName>
    <definedName name="_abc25" localSheetId="4" hidden="1">{"detail",#N/A,FALSE,"mfg";"summary",#N/A,FALSE,"mfg"}</definedName>
    <definedName name="_abc26" localSheetId="4" hidden="1">{"detail",#N/A,FALSE,"mfg";"summary",#N/A,FALSE,"mfg"}</definedName>
    <definedName name="_abc289" localSheetId="4" hidden="1">{"detail",#N/A,FALSE,"mfg";"summary",#N/A,FALSE,"mfg"}</definedName>
    <definedName name="_abc3" localSheetId="4" hidden="1">{"detail",#N/A,FALSE,"mfg";"summary",#N/A,FALSE,"mfg"}</definedName>
    <definedName name="_abc31" localSheetId="4" hidden="1">{"detail",#N/A,FALSE,"mfg";"summary",#N/A,FALSE,"mfg"}</definedName>
    <definedName name="_abc312" localSheetId="4" hidden="1">{"detail",#N/A,FALSE,"mfg";"summary",#N/A,FALSE,"mfg"}</definedName>
    <definedName name="_abc315" localSheetId="4" hidden="1">{"detail",#N/A,FALSE,"mfg";"summary",#N/A,FALSE,"mfg"}</definedName>
    <definedName name="_abc316" localSheetId="4" hidden="1">{"detail",#N/A,FALSE,"mfg";"summary",#N/A,FALSE,"mfg"}</definedName>
    <definedName name="_abc32" localSheetId="4" hidden="1">{"detail",#N/A,FALSE,"mfg";"summary",#N/A,FALSE,"mfg"}</definedName>
    <definedName name="_abc3216" localSheetId="4" hidden="1">{"detail",#N/A,FALSE,"mfg";"summary",#N/A,FALSE,"mfg"}</definedName>
    <definedName name="_abc35" localSheetId="4" hidden="1">{"detail",#N/A,FALSE,"mfg";"summary",#N/A,FALSE,"mfg"}</definedName>
    <definedName name="_abc36" localSheetId="4" hidden="1">{"detail",#N/A,FALSE,"mfg";"summary",#N/A,FALSE,"mfg"}</definedName>
    <definedName name="_abc37" localSheetId="4" hidden="1">{"detail",#N/A,FALSE,"mfg";"summary",#N/A,FALSE,"mfg"}</definedName>
    <definedName name="_abc38" localSheetId="4" hidden="1">{"detail",#N/A,FALSE,"mfg";"summary",#N/A,FALSE,"mfg"}</definedName>
    <definedName name="_ABC41" localSheetId="4" hidden="1">{"detail",#N/A,FALSE,"mfg";"summary",#N/A,FALSE,"mfg"}</definedName>
    <definedName name="_abc42" localSheetId="4" hidden="1">{"detail",#N/A,FALSE,"mfg";"summary",#N/A,FALSE,"mfg"}</definedName>
    <definedName name="_abc51" localSheetId="4" hidden="1">{"detail",#N/A,FALSE,"mfg";"summary",#N/A,FALSE,"mfg"}</definedName>
    <definedName name="_abc61" localSheetId="4" hidden="1">{"detail",#N/A,FALSE,"mfg";"summary",#N/A,FALSE,"mfg"}</definedName>
    <definedName name="_abc71" localSheetId="4" hidden="1">{"detail",#N/A,FALSE,"mfg";"summary",#N/A,FALSE,"mfg"}</definedName>
    <definedName name="_abc7884" localSheetId="4" hidden="1">{"detail",#N/A,FALSE,"mfg";"summary",#N/A,FALSE,"mfg"}</definedName>
    <definedName name="_ACS2000" localSheetId="4" hidden="1">{#N/A,#N/A,FALSE,"REPORT"}</definedName>
    <definedName name="_AFD" localSheetId="4" hidden="1">{#N/A,#N/A,FALSE,"Fmoh-Vmoh 2002";#N/A,#N/A,FALSE,"Fmoh-Vmoh 2002"}</definedName>
    <definedName name="_age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nx5" localSheetId="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ap2" localSheetId="4" hidden="1">{"detail",#N/A,FALSE,"mfg";"summary",#N/A,FALSE,"mfg"}</definedName>
    <definedName name="_aro30" localSheetId="4" hidden="1">{#N/A,#N/A,FALSE,"Staffnos &amp; cost"}</definedName>
    <definedName name="_ASDFF" localSheetId="4" hidden="1">{#N/A,#N/A,FALSE,"Annex-I";#N/A,#N/A,FALSE,"Annex-III";#N/A,#N/A,FALSE,"Annex-IV";#N/A,#N/A,FALSE,"Annex-V";#N/A,#N/A,FALSE,"annex V (i)";#N/A,#N/A,FALSE,"Annex-VI";#N/A,#N/A,FALSE,"Annex-VIII";#N/A,#N/A,FALSE,"Annex-VII";#N/A,#N/A,FALSE,"Annex-IX ";#N/A,#N/A,FALSE,"Annexu X (i)";#N/A,#N/A,FALSE,"Annex-X (ii)";#N/A,#N/A,FALSE,"Annex-X (iii)";#N/A,#N/A,FALSE,"Annex-XI (i)";#N/A,#N/A,FALSE,"Annex-XI (ii)";#N/A,#N/A,FALSE,"Annex-XII";#N/A,#N/A,FALSE,"Annex-XIII"}</definedName>
    <definedName name="_b111" localSheetId="4" hidden="1">{#N/A,#N/A,FALSE,"Pharm";#N/A,#N/A,FALSE,"WWCM"}</definedName>
    <definedName name="_b2" localSheetId="4" hidden="1">{"PVGraph2",#N/A,FALSE,"PV Data"}</definedName>
    <definedName name="_bg2" localSheetId="4" hidden="1">{#N/A,#N/A,TRUE,"Summary - 1";#N/A,#N/A,TRUE,"Summary - 2";#N/A,#N/A,TRUE,"Group Analysis";#N/A,#N/A,TRUE,"FM Analysis";#N/A,#N/A,TRUE,"T&amp;M-Onsite";#N/A,#N/A,TRUE,"FP-Onsite";#N/A,#N/A,TRUE,"NB-Onsite";#N/A,#N/A,TRUE,"T&amp;M-Offshore";#N/A,#N/A,TRUE,"FP-Offshore";#N/A,#N/A,TRUE,"Appendix-A";#N/A,#N/A,TRUE,"Appendix-B"}</definedName>
    <definedName name="_bg3" localSheetId="4" hidden="1">{#N/A,#N/A,TRUE,"Summary - 1";#N/A,#N/A,TRUE,"Summary - 2";#N/A,#N/A,TRUE,"Group Analysis";#N/A,#N/A,TRUE,"FM Analysis";#N/A,#N/A,TRUE,"T&amp;M-Onsite";#N/A,#N/A,TRUE,"FP-Onsite";#N/A,#N/A,TRUE,"NB-Onsite";#N/A,#N/A,TRUE,"T&amp;M-Offshore";#N/A,#N/A,TRUE,"FP-Offshore";#N/A,#N/A,TRUE,"Appendix-A";#N/A,#N/A,TRUE,"Appendix-B"}</definedName>
    <definedName name="_bji23" localSheetId="4" hidden="1">{#N/A,"PURCHM",FALSE,"Business Analysis";#N/A,"SPADD",FALSE,"Business Analysis"}</definedName>
    <definedName name="_bkd87" localSheetId="4" hidden="1">{#N/A,"PURCHM",FALSE,"Business Analysis";#N/A,"SPADD",FALSE,"Business Analysis"}</definedName>
    <definedName name="_BU4" localSheetId="4" hidden="1">{"Page 1",#N/A,TRUE,"Sheet1";"Page 2",#N/A,TRUE,"Sheet1"}</definedName>
    <definedName name="_BU5" localSheetId="4" hidden="1">{"Page 1",#N/A,TRUE,"Sheet1";"Page 2",#N/A,TRUE,"Sheet1"}</definedName>
    <definedName name="_c" localSheetId="4" hidden="1">{"Fiesta Facer Page",#N/A,FALSE,"Q_C_S";"Fiesta Main Page",#N/A,FALSE,"V_L";"Fiesta 95BP Struct",#N/A,FALSE,"StructBP";"Fiesta Post 95BP Struct",#N/A,FALSE,"AdjStructBP"}</definedName>
    <definedName name="_c_base" localSheetId="4">{0.1;0;0.382758620689655;0;0;0;0.258620689655172;0;0.258620689655172}</definedName>
    <definedName name="_df1" localSheetId="4" hidden="1">{#N/A,#N/A,FALSE,"Calc";#N/A,#N/A,FALSE,"Sensitivity";#N/A,#N/A,FALSE,"LT Earn.Dil.";#N/A,#N/A,FALSE,"Dil. AVP"}</definedName>
    <definedName name="_df2" localSheetId="4" hidden="1">{#N/A,#N/A,FALSE,"Calc";#N/A,#N/A,FALSE,"Sensitivity";#N/A,#N/A,FALSE,"LT Earn.Dil.";#N/A,#N/A,FALSE,"Dil. AVP"}</definedName>
    <definedName name="_dfk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v202" localSheetId="4" hidden="1">{#N/A,"PURADD",FALSE,"Business Analysis";#N/A,"PURSPP",FALSE,"Business Analysis";#N/A,"CTGIND",FALSE,"Business Analysis";#N/A,"PURCHM",FALSE,"Business Analysis";#N/A,"SPADD",FALSE,"Business Analysis";#N/A,"EPOXY",FALSE,"Business Analysis";#N/A,"PURPER",FALSE,"Business Analysis"}</definedName>
    <definedName name="_div203" localSheetId="4" hidden="1">{#N/A,"PURADD",FALSE,"Business Analysis";#N/A,"PURSPP",FALSE,"Business Analysis";#N/A,"CTGIND",FALSE,"Business Analysis";#N/A,"PURCHM",FALSE,"Business Analysis";#N/A,"SPADD",FALSE,"Business Analysis";#N/A,"EPOXY",FALSE,"Business Analysis";#N/A,"PURPER",FALSE,"Business Analysis"}</definedName>
    <definedName name="_djd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wa1" localSheetId="4" hidden="1">{#N/A,"PURCHM",FALSE,"Business Analysis";#N/A,"SPADD",FALSE,"Business Analysis"}</definedName>
    <definedName name="_ee" localSheetId="4" hidden="1">{"consolidated",#N/A,FALSE,"Sheet1";"cms",#N/A,FALSE,"Sheet1";"fse",#N/A,FALSE,"Sheet1"}</definedName>
    <definedName name="_ER1" localSheetId="4" hidden="1">{#N/A,#N/A,FALSE,"COMP"}</definedName>
    <definedName name="_eu93" localSheetId="4" hidden="1">{"Comp_of_Price_Effect",#N/A,FALSE,"QTRDPVAR"}</definedName>
    <definedName name="_f" localSheetId="4" hidden="1">{"QTR_ACT",#N/A,FALSE,"PROP_PBIT_DEV_Q3";"QTR_BUD",#N/A,FALSE,"PROP_PBIT_DEV_Q3";"YTD_BUD",#N/A,FALSE,"PROP_PBIT_DEV_Q3";"YTD_ACT",#N/A,FALSE,"PROP_PBIT_DEV_Q3";"FY95 SNAP3",#N/A,FALSE,"PROP_PBIT_DEV_Q3";"FY95_BUD",#N/A,FALSE,"PROP_PBIT_DEV_Q3";"FY96_BUD",#N/A,FALSE,"PROP_PBIT_DEV_Q3"}</definedName>
    <definedName name="_fco2" localSheetId="4" hidden="1">{#N/A,#N/A,FALSE,"gc (2)"}</definedName>
    <definedName name="_fy97" localSheetId="4" hidden="1">{#N/A,#N/A,FALSE,"FY97";#N/A,#N/A,FALSE,"FY98";#N/A,#N/A,FALSE,"FY99";#N/A,#N/A,FALSE,"FY00";#N/A,#N/A,FALSE,"FY01"}</definedName>
    <definedName name="_fy977" localSheetId="4" hidden="1">{#N/A,#N/A,FALSE,"FY97";#N/A,#N/A,FALSE,"FY98";#N/A,#N/A,FALSE,"FY99";#N/A,#N/A,FALSE,"FY00";#N/A,#N/A,FALSE,"FY01"}</definedName>
    <definedName name="_Grp16" localSheetId="4" hidden="1">{#N/A,#N/A,FALSE,"PMTABB";#N/A,#N/A,FALSE,"PMTABB"}</definedName>
    <definedName name="_hd1" localSheetId="4" hidden="1">{#N/A,#N/A,FALSE,"Calc";#N/A,#N/A,FALSE,"Sensitivity";#N/A,#N/A,FALSE,"LT Earn.Dil.";#N/A,#N/A,FALSE,"Dil. AVP"}</definedName>
    <definedName name="_hd2" localSheetId="4" hidden="1">{#N/A,#N/A,FALSE,"Calc";#N/A,#N/A,FALSE,"Sensitivity";#N/A,#N/A,FALSE,"LT Earn.Dil.";#N/A,#N/A,FALSE,"Dil. AVP"}</definedName>
    <definedName name="_I2" localSheetId="4" hidden="1">{"PVGraph2",#N/A,FALSE,"PV Data"}</definedName>
    <definedName name="_i21" localSheetId="4" hidden="1">{"PVGraph2",#N/A,FALSE,"PV Data"}</definedName>
    <definedName name="_I22" localSheetId="4" hidden="1">{"PVGraph2",#N/A,FALSE,"PV Data"}</definedName>
    <definedName name="_i2211" localSheetId="4" hidden="1">{"PVGraph2",#N/A,FALSE,"PV Data"}</definedName>
    <definedName name="_i223" localSheetId="4" hidden="1">{"PVGraph2",#N/A,FALSE,"PV Data"}</definedName>
    <definedName name="_i23" localSheetId="4" hidden="1">{"PVGraph2",#N/A,FALSE,"PV Data"}</definedName>
    <definedName name="_i2323" localSheetId="4" hidden="1">{"PVGraph2",#N/A,FALSE,"PV Data"}</definedName>
    <definedName name="_i24" localSheetId="4" hidden="1">{"PVGraph2",#N/A,FALSE,"PV Data"}</definedName>
    <definedName name="_I3" localSheetId="4" hidden="1">{"PVGraph2",#N/A,FALSE,"PV Data"}</definedName>
    <definedName name="_IDC2" localSheetId="4">City&amp;" "&amp;State</definedName>
    <definedName name="_II2" localSheetId="4" hidden="1">{"PVGraph2",#N/A,FALSE,"PV Data"}</definedName>
    <definedName name="_jUL2005" localSheetId="4" hidden="1">{#N/A,#N/A,FALSE,"Aging Summary";#N/A,#N/A,FALSE,"Ratio Analysis";#N/A,#N/A,FALSE,"Test 120 Day Accts";#N/A,#N/A,FALSE,"Tickmarks"}</definedName>
    <definedName name="_loc1" localSheetId="4">City&amp;" "&amp;State</definedName>
    <definedName name="_mno9" localSheetId="4" hidden="1">{"detail",#N/A,FALSE,"mfg";"summary",#N/A,FALSE,"mfg"}</definedName>
    <definedName name="_nam305" localSheetId="4" hidden="1">{"detail",#N/A,FALSE,"mfg";"summary",#N/A,FALSE,"mfg"}</definedName>
    <definedName name="_new1" localSheetId="4" hidden="1">{#N/A,#N/A,FALSE,"Pharm";#N/A,#N/A,FALSE,"WWCM"}</definedName>
    <definedName name="_OIL310106" localSheetId="4" hidden="1">{#N/A,#N/A,FALSE,"PMTABB";#N/A,#N/A,FALSE,"PMTABB"}</definedName>
    <definedName name="_OIL310701" localSheetId="4" hidden="1">{#N/A,#N/A,FALSE,"PMTABB";#N/A,#N/A,FALSE,"PMTABB"}</definedName>
    <definedName name="_PL65" localSheetId="4" hidden="1">{"PAGE 1",#N/A,FALSE,"ES-01-XX";"PAGE 2",#N/A,FALSE,"ES-01-XX"}</definedName>
    <definedName name="_pp1" localSheetId="4" hidden="1">{#N/A,#N/A,FALSE,"Trends";#N/A,#N/A,FALSE,"As Reported";#N/A,#N/A,FALSE,"(un) Commited"}</definedName>
    <definedName name="_puc101" localSheetId="4" hidden="1">{#N/A,"PURCHM",FALSE,"Business Analysis";#N/A,"SPADD",FALSE,"Business Analysis"}</definedName>
    <definedName name="_puc102" localSheetId="4" hidden="1">{#N/A,"PURCHM",FALSE,"Business Analysis";#N/A,"SPADD",FALSE,"Business Analysis"}</definedName>
    <definedName name="_Q1" localSheetId="4" hidden="1">{#N/A,#N/A,FALSE,"CDA Plan"}</definedName>
    <definedName name="_r" localSheetId="4" hidden="1">{#N/A,#N/A,FALSE,"Pharm";#N/A,#N/A,FALSE,"WWCM"}</definedName>
    <definedName name="_RA1" localSheetId="4" hidden="1">{"'Jan-02'!$F$46:$F$47","'Jan-02'!$F$46:$F$47"}</definedName>
    <definedName name="_ram1" localSheetId="4" hidden="1">{#N/A,#N/A,FALSE,"gc (2)"}</definedName>
    <definedName name="_rc"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T25" localSheetId="4" hidden="1">{#N/A,#N/A,FALSE,"Umsatz 99";#N/A,#N/A,FALSE,"ER 99 "}</definedName>
    <definedName name="_S_Base" localSheetId="4">{0.1;0;0.382758620689655;0;0;0;0.258620689655172;0;0.258620689655172}</definedName>
    <definedName name="_S_new_case" localSheetId="4">{0.1;0;0.45;0;0;0;0;0;0.45}</definedName>
    <definedName name="_s34" localSheetId="4" hidden="1">{"QTD_GENERALH2",#N/A,FALSE,"QTD"}</definedName>
    <definedName name="_san4" localSheetId="4" hidden="1">{0,#N/A,TRUE,0;0,#N/A,TRUE,0}</definedName>
    <definedName name="_sd34" localSheetId="4" hidden="1">{"QTD",#N/A,FALSE,"SUM"}</definedName>
    <definedName name="_SGA2" localSheetId="4" hidden="1">{"Page 1",#N/A,TRUE,"Sheet1";"Page 2",#N/A,TRUE,"Sheet1"}</definedName>
    <definedName name="_ss1" localSheetId="4" hidden="1">{"detail",#N/A,FALSE,"mfg";"summary",#N/A,FALSE,"mfg"}</definedName>
    <definedName name="_SSK1" localSheetId="4" hidden="1">{#N/A,#N/A,FALSE,"COMP"}</definedName>
    <definedName name="_sti02" localSheetId="4" hidden="1">{#N/A,#N/A,FALSE,"gc (2)"}</definedName>
    <definedName name="_t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localSheetId="4" hidden="1">{#N/A,#N/A,TRUE,"Financials";#N/A,#N/A,TRUE,"Operating Statistics";#N/A,#N/A,TRUE,"Capex &amp; Depreciation";#N/A,#N/A,TRUE,"Debt"}</definedName>
    <definedName name="_tb1" localSheetId="4" hidden="1">{#N/A,#N/A,FALSE,"One Pager";#N/A,#N/A,FALSE,"Technical"}</definedName>
    <definedName name="_tm1" localSheetId="4" hidden="1">{#N/A,#N/A,FALSE,"Pharm";#N/A,#N/A,FALSE,"WWCM"}</definedName>
    <definedName name="_trc1" localSheetId="4">City&amp;" "&amp;State</definedName>
    <definedName name="_V" localSheetId="4" hidden="1">{"Page 1",#N/A,TRUE,"Sheet1";"Page 2",#N/A,TRUE,"Sheet1"}</definedName>
    <definedName name="_V2" localSheetId="4" hidden="1">{#N/A,#N/A,FALSE,"Tabl. A1";#N/A,#N/A,FALSE,"Tabl. A1 b";#N/A,#N/A,FALSE,"Tabl. A2";#N/A,#N/A,FALSE,"Tabl. A2-1";#N/A,#N/A,FALSE,"Tabl. A2-2"}</definedName>
    <definedName name="_W" localSheetId="4" hidden="1">{#N/A,#N/A,FALSE,"Fmoh-Vmoh 2002";#N/A,#N/A,FALSE,"Fmoh-Vmoh 2002"}</definedName>
    <definedName name="_w1" localSheetId="4" hidden="1">{"PVGraph2",#N/A,FALSE,"PV Data"}</definedName>
    <definedName name="_w11" localSheetId="4" hidden="1">{"PVGraph2",#N/A,FALSE,"PV Data"}</definedName>
    <definedName name="_w112" localSheetId="4" hidden="1">{"PVGraph2",#N/A,FALSE,"PV Data"}</definedName>
    <definedName name="_w1121" localSheetId="4" hidden="1">{"PVGraph2",#N/A,FALSE,"PV Data"}</definedName>
    <definedName name="_w12" localSheetId="4" hidden="1">{"PVGraph2",#N/A,FALSE,"PV Data"}</definedName>
    <definedName name="_w121" localSheetId="4" hidden="1">{"PVGraph2",#N/A,FALSE,"PV Data"}</definedName>
    <definedName name="_w12345" localSheetId="4" hidden="1">{"PVGraph2",#N/A,FALSE,"PV Data"}</definedName>
    <definedName name="_w13" localSheetId="4" hidden="1">{"PVGraph2",#N/A,FALSE,"PV Data"}</definedName>
    <definedName name="_w2" localSheetId="4" hidden="1">{"PVGraph2",#N/A,FALSE,"PV Data"}</definedName>
    <definedName name="_w3" localSheetId="4" hidden="1">{"PVGraph2",#N/A,FALSE,"PV Data"}</definedName>
    <definedName name="_w9" localSheetId="4" hidden="1">{"PVGraph2",#N/A,FALSE,"PV Data"}</definedName>
    <definedName name="_wrn071" localSheetId="4" hidden="1">{#N/A,"PURCHM",FALSE,"Business Analysis";#N/A,"SPADD",FALSE,"Business Analysis"}</definedName>
    <definedName name="_wrn1" localSheetId="4" hidden="1">{#N/A,#N/A,FALSE,"DCF";#N/A,#N/A,FALSE,"WACC";#N/A,#N/A,FALSE,"Sales_EBIT";#N/A,#N/A,FALSE,"Capex_Depreciation";#N/A,#N/A,FALSE,"WC";#N/A,#N/A,FALSE,"Interest";#N/A,#N/A,FALSE,"Assumptions"}</definedName>
    <definedName name="_wrn213" localSheetId="4" hidden="1">{"detail",#N/A,FALSE,"mfg";"summary",#N/A,FALSE,"mfg"}</definedName>
    <definedName name="_WRN41" localSheetId="4" hidden="1">{"detail",#N/A,FALSE,"mfg";"summary",#N/A,FALSE,"mfg"}</definedName>
    <definedName name="_wrn413" localSheetId="4" hidden="1">{"detail",#N/A,FALSE,"mfg";"summary",#N/A,FALSE,"mfg"}</definedName>
    <definedName name="_wrn51" localSheetId="4" hidden="1">{#N/A,"PURCHM",FALSE,"Business Analysis";#N/A,"SPADD",FALSE,"Business Analysis"}</definedName>
    <definedName name="_wrn61" localSheetId="4" hidden="1">{"detail",#N/A,FALSE,"mfg";"summary",#N/A,FALSE,"mfg"}</definedName>
    <definedName name="_wrn651" localSheetId="4" hidden="1">{"detail",#N/A,FALSE,"mfg";"summary",#N/A,FALSE,"mfg"}</definedName>
    <definedName name="_WVU41"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www" localSheetId="4" hidden="1">{#N/A,#N/A,FALSE,"DCF";#N/A,#N/A,FALSE,"WACC";#N/A,#N/A,FALSE,"Sales_EBIT";#N/A,#N/A,FALSE,"Capex_Depreciation";#N/A,#N/A,FALSE,"WC";#N/A,#N/A,FALSE,"Interest";#N/A,#N/A,FALSE,"Assumptions"}</definedName>
    <definedName name="_x1" localSheetId="4" hidden="1">{"detail",#N/A,FALSE,"mfg";"summary",#N/A,FALSE,"mfg"}</definedName>
    <definedName name="_X2" localSheetId="4" hidden="1">{#N/A,#N/A,FALSE,"Other";#N/A,#N/A,FALSE,"Ace";#N/A,#N/A,FALSE,"Derm"}</definedName>
    <definedName name="_x3" localSheetId="4" hidden="1">{"detail",#N/A,FALSE,"mfg";"summary",#N/A,FALSE,"mfg"}</definedName>
    <definedName name="_x4" localSheetId="4" hidden="1">{#N/A,"PURCHM",FALSE,"Business Analysis";#N/A,"SPADD",FALSE,"Business Analysis"}</definedName>
    <definedName name="_x5" localSheetId="4" hidden="1">{#N/A,"PURADD",FALSE,"Business Analysis";#N/A,"PURSPP",FALSE,"Business Analysis";#N/A,"CTGIND",FALSE,"Business Analysis";#N/A,"PURCHM",FALSE,"Business Analysis";#N/A,"SPADD",FALSE,"Business Analysis";#N/A,"EPOXY",FALSE,"Business Analysis";#N/A,"PURPER",FALSE,"Business Analysis"}</definedName>
    <definedName name="_xkd" localSheetId="4" hidden="1">{"Page 1",#N/A,TRUE,"Sheet1";"Page 2",#N/A,TRUE,"Sheet1"}</definedName>
    <definedName name="_xx1" localSheetId="4" hidden="1">{#N/A,#N/A,FALSE,"CMN_FE"}</definedName>
    <definedName name="_xx10" localSheetId="4" hidden="1">{#N/A,"PURCHM",FALSE,"Business Analysis";#N/A,"SPADD",FALSE,"Business Analysis"}</definedName>
    <definedName name="_xx3" localSheetId="4" hidden="1">{"detail",#N/A,FALSE,"mfg";"summary",#N/A,FALSE,"mfg"}</definedName>
    <definedName name="_xx4"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localSheetId="4" hidden="1">{"oct_res_comm",#N/A,FALSE,"VarToBud"}</definedName>
    <definedName name="_xx8" localSheetId="4" hidden="1">{"QTR_ACT",#N/A,FALSE,"PROP_PBIT_DEV_Q3";"QTR_BUD",#N/A,FALSE,"PROP_PBIT_DEV_Q3";"YTD_BUD",#N/A,FALSE,"PROP_PBIT_DEV_Q3";"YTD_ACT",#N/A,FALSE,"PROP_PBIT_DEV_Q3";"FY95 SNAP3",#N/A,FALSE,"PROP_PBIT_DEV_Q3";"FY95_BUD",#N/A,FALSE,"PROP_PBIT_DEV_Q3";"FY96_BUD",#N/A,FALSE,"PROP_PBIT_DEV_Q3"}</definedName>
    <definedName name="_xx9" localSheetId="4" hidden="1">{"AS REP",#N/A,FALSE,"EEFSNAP2";"PROP",#N/A,FALSE,"EEFSNAP2";"RISKS",#N/A,FALSE,"EEFSNAP2";"VIEW ALL",#N/A,FALSE,"EEFSNAP2"}</definedName>
    <definedName name="_y2" localSheetId="4" hidden="1">{"PVGraph2",#N/A,FALSE,"PV Data"}</definedName>
    <definedName name="_y22" localSheetId="4" hidden="1">{"PVGraph2",#N/A,FALSE,"PV Data"}</definedName>
    <definedName name="_Z04" localSheetId="4" hidden="1">{#N/A,#N/A,FALSE,"Australia";#N/A,#N/A,FALSE,"Austria";#N/A,#N/A,FALSE,"Belgium";#N/A,#N/A,FALSE,"Canada";#N/A,#N/A,FALSE,"France";#N/A,#N/A,FALSE,"Germany";#N/A,#N/A,FALSE,"Hong Kong";#N/A,#N/A,FALSE,"Italy";#N/A,#N/A,FALSE,"Japan";#N/A,#N/A,FALSE,"Korea";#N/A,#N/A,FALSE,"Mexico";#N/A,#N/A,FALSE,"Poland";#N/A,#N/A,FALSE,"Spain";#N/A,#N/A,FALSE,"Switzerland";#N/A,#N/A,FALSE,"UK"}</definedName>
    <definedName name="_Z05" localSheetId="4" hidden="1">{#N/A,#N/A,FALSE,"Australia";#N/A,#N/A,FALSE,"Austria";#N/A,#N/A,FALSE,"Belgium";#N/A,#N/A,FALSE,"Canada";#N/A,#N/A,FALSE,"France";#N/A,#N/A,FALSE,"Germany";#N/A,#N/A,FALSE,"Hong Kong";#N/A,#N/A,FALSE,"Italy";#N/A,#N/A,FALSE,"Japan";#N/A,#N/A,FALSE,"Korea";#N/A,#N/A,FALSE,"Mexico";#N/A,#N/A,FALSE,"Poland";#N/A,#N/A,FALSE,"Spain";#N/A,#N/A,FALSE,"Switzerland";#N/A,#N/A,FALSE,"UK"}</definedName>
    <definedName name="_z12" localSheetId="4" hidden="1">{"pro_view",#N/A,FALSE,"EEFSNAP2";"rep_view",#N/A,FALSE,"EEFSNAP2"}</definedName>
    <definedName name="_z22" localSheetId="4" hidden="1">{#N/A,"PURADD",FALSE,"Business Analysis";#N/A,"PURSPP",FALSE,"Business Analysis";#N/A,"CTGIND",FALSE,"Business Analysis";#N/A,"PURCHM",FALSE,"Business Analysis";#N/A,"SPADD",FALSE,"Business Analysis";#N/A,"EPOXY",FALSE,"Business Analysis";#N/A,"PURPER",FALSE,"Business Analysis"}</definedName>
    <definedName name="_z25" localSheetId="4" hidden="1">{"detail",#N/A,FALSE,"mfg";"summary",#N/A,FALSE,"mfg"}</definedName>
    <definedName name="_Zaaleswork" localSheetId="4">{0;0;0;0;1;#N/A;0.25;0.25;0.5;0.25;2;FALSE;FALSE;FALSE;FALSE;FALSE;#N/A;1;72;#N/A;#N/A;"&amp;L&amp;7 RAMIBD04\GROUPS\M&amp;A\GORMAN\SPONSORS\MODEL\NEWMOD_1.XLS -- &amp;D, &amp;T -- Page &amp;P of &amp;N
&amp;7";"&amp;R&amp;""Times New Roman,Italic""&amp;7&amp;F; &amp;D; &amp;T; page &amp;P of &amp;N"}</definedName>
    <definedName name="_Zbaladj" localSheetId="4">{0;0;0;0;1;1;0;0;0;0;2;FALSE;FALSE;FALSE;FALSE;FALSE;#N/A;1;#N/A;1;1;"";""}</definedName>
    <definedName name="_ZEV" localSheetId="4">{0;0;0;0;1;#N/A;0.75;0.75;1;1;1;FALSE;FALSE;FALSE;FALSE;FALSE;#N/A;1;100;#N/A;#N/A;"&amp;A";"Page &amp;P"}</definedName>
    <definedName name="_Zmodel" localSheetId="4">{0;0;0;0;1;1;0.25;0.25;0.75;0.25;2;FALSE;FALSE;FALSE;FALSE;FALSE;#N/A;1;75;#N/A;#N/A;"";""}</definedName>
    <definedName name="_Znotes" localSheetId="4">{0;0;0;0;1;1;0;0;0.35;0.3;2;FALSE;FALSE;FALSE;FALSE;FALSE;#N/A;1;100;#N/A;#N/A;"";""}</definedName>
    <definedName name="_ZPage_6" localSheetId="4">{0;0;0;0;1;#N/A;0.5;0.5;0.5;0.5;2;TRUE;FALSE;FALSE;FALSE;FALSE;#N/A;1;#N/A;1;1;"&amp;R&amp;""Times New Roman,Italic""&amp;8 18b/groups/tele/quigley/teletrac/basemdl.xls&amp;""Arial,Regular""&amp;10
&amp;""Times New Roman,Bold""&amp;D  &amp;T";""}</definedName>
    <definedName name="_ZPage_7" localSheetId="4">{0;0;0;0;1;#N/A;0.5;0.5;0.5;0.5;2;TRUE;FALSE;FALSE;FALSE;FALSE;#N/A;1;#N/A;1;1;"&amp;R&amp;""Times New Roman,Italic""&amp;8 18b/groups/tele/quigley/teletrac/basemdl.xls&amp;""Arial,Regular""&amp;10
&amp;""Times New Roman,Bold""&amp;D  &amp;T";""}</definedName>
    <definedName name="_Zpage4" localSheetId="4">{0;0;0;0;1;1;0;0;0.6;0.3;2;FALSE;FALSE;FALSE;FALSE;FALSE;#N/A;1;100;#N/A;#N/A;"";""}</definedName>
    <definedName name="_Zsummary" localSheetId="4">{0;0;0;0;1;1;0.85;0.87;0.5;0.5;1;FALSE;FALSE;FALSE;FALSE;FALSE;#N/A;1;100;#N/A;#N/A;"";""}</definedName>
    <definedName name="_Zwhole_model" localSheetId="4">{0;0;0;0;1;1;0.25;0;0.75;0.5;2;FALSE;FALSE;FALSE;FALSE;FALSE;#N/A;1;77;#N/A;#N/A;"";""}</definedName>
    <definedName name="_Zwholemodel" localSheetId="4">{0;0;0;0;1;1;0.25;0;0.75;0.5;2;FALSE;FALSE;FALSE;FALSE;FALSE;#N/A;1;77;#N/A;#N/A;"";""}</definedName>
    <definedName name="_zz1" localSheetId="4" hidden="1">{"pro_view",#N/A,FALSE,"EEFSNAP2";"rep_view",#N/A,FALSE,"EEFSNAP2"}</definedName>
    <definedName name="_zz2" localSheetId="4" hidden="1">{#N/A,"PURADD",FALSE,"Business Analysis";#N/A,"PURSPP",FALSE,"Business Analysis";#N/A,"CTGIND",FALSE,"Business Analysis";#N/A,"PURCHM",FALSE,"Business Analysis";#N/A,"SPADD",FALSE,"Business Analysis";#N/A,"EPOXY",FALSE,"Business Analysis";#N/A,"PURPER",FALSE,"Business Analysis"}</definedName>
    <definedName name="a" localSheetId="4" hidden="1">{#N/A,#N/A,FALSE,"Umsatz 99";#N/A,#N/A,FALSE,"ER 99 "}</definedName>
    <definedName name="a_1" localSheetId="4" hidden="1">{#N/A,#N/A,FALSE,"PMTABB";#N/A,#N/A,FALSE,"PMTABB"}</definedName>
    <definedName name="A11A" localSheetId="4" hidden="1">{#N/A,#N/A,FALSE,"Umsatz 99";#N/A,#N/A,FALSE,"ER 99 "}</definedName>
    <definedName name="a1a" localSheetId="4" hidden="1">{#N/A,"PURCHM",FALSE,"Business Analysis";#N/A,"SPADD",FALSE,"Business Analysis"}</definedName>
    <definedName name="a1b" localSheetId="4" hidden="1">{#N/A,"PURADD",FALSE,"Business Analysis";#N/A,"PURSPP",FALSE,"Business Analysis";#N/A,"CTGIND",FALSE,"Business Analysis";#N/A,"PURCHM",FALSE,"Business Analysis";#N/A,"SPADD",FALSE,"Business Analysis";#N/A,"EPOXY",FALSE,"Business Analysis";#N/A,"PURPER",FALSE,"Business Analysis"}</definedName>
    <definedName name="a2a" localSheetId="4" hidden="1">{"detail",#N/A,FALSE,"mfg";"summary",#N/A,FALSE,"mfg"}</definedName>
    <definedName name="aa" localSheetId="4" hidden="1">{#N/A,"PURADD",FALSE,"Business Analysis";#N/A,"PURSPP",FALSE,"Business Analysis";#N/A,"CTGIND",FALSE,"Business Analysis";#N/A,"PURCHM",FALSE,"Business Analysis";#N/A,"SPADD",FALSE,"Business Analysis";#N/A,"EPOXY",FALSE,"Business Analysis";#N/A,"PURPER",FALSE,"Business Analysis"}</definedName>
    <definedName name="aaa"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äää" localSheetId="4" hidden="1">{#N/A,#N/A,FALSE,"Umsatz 99";#N/A,#N/A,FALSE,"ER 99 "}</definedName>
    <definedName name="aaaa" localSheetId="4" hidden="1">{#N/A,#N/A,FALSE,"REPORT"}</definedName>
    <definedName name="AAAA222" localSheetId="4" hidden="1">{"Page 1",#N/A,TRUE,"Sheet1";"Page 2",#N/A,TRUE,"Sheet1"}</definedName>
    <definedName name="aaaaa" localSheetId="4" hidden="1">{#N/A,#N/A,FALSE,"REPORT"}</definedName>
    <definedName name="aaaaaa" localSheetId="4" hidden="1">{#N/A,#N/A,FALSE,"REPORT"}</definedName>
    <definedName name="aaaaaaa" localSheetId="4" hidden="1">{#N/A,#N/A,FALSE,"REPORT"}</definedName>
    <definedName name="aaaaaaaaa" localSheetId="4" hidden="1">{#N/A,"PURCHM",FALSE,"Business Analysis";#N/A,"SPADD",FALSE,"Business Analysis"}</definedName>
    <definedName name="aaaaaaaaaa" localSheetId="4" hidden="1">{#N/A,#N/A,FALSE,"Umsatz 99";#N/A,#N/A,FALSE,"ER 99 "}</definedName>
    <definedName name="aaaaaaaaaaa" localSheetId="4" hidden="1">{#N/A,#N/A,FALSE,"REPORT"}</definedName>
    <definedName name="AAAAAAAAAAAA" localSheetId="4" hidden="1">{#N/A,#N/A,FALSE,"Tabl. A1";#N/A,#N/A,FALSE,"Tabl. A1 b";#N/A,#N/A,FALSE,"Tabl. A2";#N/A,#N/A,FALSE,"Tabl. A2-1";#N/A,#N/A,FALSE,"Tabl. A2-2"}</definedName>
    <definedName name="aaaaaaaaaaaaaaa" localSheetId="4" hidden="1">{#N/A,#N/A,FALSE,"Pharm";#N/A,#N/A,FALSE,"WWCM"}</definedName>
    <definedName name="aaaaaaaaaaaaaaaaa" localSheetId="4" hidden="1">{#N/A,"PURCHM",FALSE,"Business Analysis";#N/A,"SPADD",FALSE,"Business Analysis"}</definedName>
    <definedName name="aaaaaaaaaaaaaaaaaaaaaaaaaa" localSheetId="4" hidden="1">{"detail",#N/A,FALSE,"mfg";"summary",#N/A,FALSE,"mfg"}</definedName>
    <definedName name="aaaaab" localSheetId="4" hidden="1">{#N/A,#N/A,FALSE,"Model";#N/A,#N/A,FALSE,"Division"}</definedName>
    <definedName name="aaaaabb" localSheetId="4" hidden="1">{#N/A,#N/A,FALSE,"CDA Plan"}</definedName>
    <definedName name="äääööö" localSheetId="4" hidden="1">{#N/A,#N/A,FALSE,"Umsatz EO BP";#N/A,#N/A,FALSE,"Umsatz EO OP";#N/A,#N/A,FALSE,"ER EO BP";#N/A,#N/A,FALSE,"ER EO OP";#N/A,#N/A,FALSE,"EA EO (2)";#N/A,#N/A,FALSE,"EA EO";#N/A,#N/A,FALSE,"EA EO (3)";#N/A,#N/A,FALSE,"EA EO (4)";#N/A,#N/A,FALSE,"KA EO  (2)";#N/A,#N/A,FALSE,"KA EO";#N/A,#N/A,FALSE,"KA EO  (3)";#N/A,#N/A,FALSE,"KA EO (4)"}</definedName>
    <definedName name="aaasb" localSheetId="4" hidden="1">{#N/A,#N/A,FALSE,"Pharm";#N/A,#N/A,FALSE,"WWCM"}</definedName>
    <definedName name="aab" localSheetId="4" hidden="1">{#N/A,#N/A,FALSE,"Pharm";#N/A,#N/A,FALSE,"WWCM"}</definedName>
    <definedName name="aaddd" localSheetId="4" hidden="1">{#N/A,#N/A,FALSE,"REPORT"}</definedName>
    <definedName name="aas" localSheetId="4" hidden="1">{#N/A,#N/A,FALSE,"1";#N/A,#N/A,FALSE,"2";#N/A,#N/A,FALSE,"16 - 17";#N/A,#N/A,FALSE,"18 - 19";#N/A,#N/A,FALSE,"26";#N/A,#N/A,FALSE,"27";#N/A,#N/A,FALSE,"28"}</definedName>
    <definedName name="aass" localSheetId="4" hidden="1">{"detail",#N/A,FALSE,"mfg";"summary",#N/A,FALSE,"mfg"}</definedName>
    <definedName name="aaww" localSheetId="4" hidden="1">{"Polymers Details",#N/A,FALSE,"Current Yr";"Polymer Details",#N/A,FALSE,"Budget";"Polymer Details",#N/A,FALSE,"Prior Year"}</definedName>
    <definedName name="aax" localSheetId="4" hidden="1">{"detail",#N/A,FALSE,"mfg";"summary",#N/A,FALSE,"mfg"}</definedName>
    <definedName name="AAZAZER" localSheetId="4" hidden="1">{#N/A,#N/A,FALSE,"Tabl. A1";#N/A,#N/A,FALSE,"Tabl. A1 b";#N/A,#N/A,FALSE,"Tabl. A2";#N/A,#N/A,FALSE,"Tabl. A2-1";#N/A,#N/A,FALSE,"Tabl. A2-2"}</definedName>
    <definedName name="ab" localSheetId="4" hidden="1">{#N/A,#N/A,FALSE,"Aging Summary";#N/A,#N/A,FALSE,"Ratio Analysis";#N/A,#N/A,FALSE,"Test 120 Day Accts";#N/A,#N/A,FALSE,"Tickmarks"}</definedName>
    <definedName name="ab_1" localSheetId="4" hidden="1">{#N/A,#N/A,FALSE,"FREE"}</definedName>
    <definedName name="ab_2" localSheetId="4" hidden="1">{#N/A,#N/A,FALSE,"FREE"}</definedName>
    <definedName name="ab_3" localSheetId="4" hidden="1">{#N/A,#N/A,FALSE,"FREE"}</definedName>
    <definedName name="ab_4" localSheetId="4" hidden="1">{#N/A,#N/A,FALSE,"FREE"}</definedName>
    <definedName name="abab" localSheetId="4" hidden="1">{"Co1statements",#N/A,FALSE,"Cmpy1";"Co2statement",#N/A,FALSE,"Cmpy2";"co1pm",#N/A,FALSE,"Co1PM";"co2PM",#N/A,FALSE,"Co2PM";"value",#N/A,FALSE,"value";"opco",#N/A,FALSE,"NewSparkle";"adjusts",#N/A,FALSE,"Adjustments"}</definedName>
    <definedName name="ABC" localSheetId="4">{"Client Name or Project Name"}</definedName>
    <definedName name="abc0mq" localSheetId="4" hidden="1">{#N/A,"PURCHM",FALSE,"Business Analysis";#N/A,"SPADD",FALSE,"Business Analysis"}</definedName>
    <definedName name="abc0nks" localSheetId="4" hidden="1">{"detail",#N/A,FALSE,"mfg";"summary",#N/A,FALSE,"mfg"}</definedName>
    <definedName name="abc101a" localSheetId="4" hidden="1">{#N/A,"PURCHM",FALSE,"Business Analysis";#N/A,"SPADD",FALSE,"Business Analysis"}</definedName>
    <definedName name="abc109a" localSheetId="4" hidden="1">{"detail",#N/A,FALSE,"mfg";"summary",#N/A,FALSE,"mfg"}</definedName>
    <definedName name="abc11a" localSheetId="4" hidden="1">{"detail",#N/A,FALSE,"mfg";"summary",#N/A,FALSE,"mfg"}</definedName>
    <definedName name="abc11ab" localSheetId="4" hidden="1">{#N/A,"PURCHM",FALSE,"Business Analysis";#N/A,"SPADD",FALSE,"Business Analysis"}</definedName>
    <definedName name="abc12a" localSheetId="4" hidden="1">{"detail",#N/A,FALSE,"mfg";"summary",#N/A,FALSE,"mfg"}</definedName>
    <definedName name="abc13a" localSheetId="4" hidden="1">{"detail",#N/A,FALSE,"mfg";"summary",#N/A,FALSE,"mfg"}</definedName>
    <definedName name="abc14a" localSheetId="4" hidden="1">{"detail",#N/A,FALSE,"mfg";"summary",#N/A,FALSE,"mfg"}</definedName>
    <definedName name="abc1b" localSheetId="4" hidden="1">{#N/A,"PURCHM",FALSE,"Business Analysis";#N/A,"SPADD",FALSE,"Business Analysis"}</definedName>
    <definedName name="abc200a" localSheetId="4" hidden="1">{"detail",#N/A,FALSE,"mfg";"summary",#N/A,FALSE,"mfg"}</definedName>
    <definedName name="abc202a" localSheetId="4" hidden="1">{"detail",#N/A,FALSE,"mfg";"summary",#N/A,FALSE,"mfg"}</definedName>
    <definedName name="abc202b" localSheetId="4" hidden="1">{#N/A,"PURCHM",FALSE,"Business Analysis";#N/A,"SPADD",FALSE,"Business Analysis"}</definedName>
    <definedName name="abc213a" localSheetId="4" hidden="1">{"detail",#N/A,FALSE,"mfg";"summary",#N/A,FALSE,"mfg"}</definedName>
    <definedName name="abc2a" localSheetId="4" hidden="1">{"detail",#N/A,FALSE,"mfg";"summary",#N/A,FALSE,"mfg"}</definedName>
    <definedName name="abc312b" localSheetId="4" hidden="1">{"detail",#N/A,FALSE,"mfg";"summary",#N/A,FALSE,"mfg"}</definedName>
    <definedName name="abc31a" localSheetId="4" hidden="1">{"detail",#N/A,FALSE,"mfg";"summary",#N/A,FALSE,"mfg"}</definedName>
    <definedName name="abc32b" localSheetId="4" hidden="1">{"detail",#N/A,FALSE,"mfg";"summary",#N/A,FALSE,"mfg"}</definedName>
    <definedName name="abc35b" localSheetId="4" hidden="1">{"detail",#N/A,FALSE,"mfg";"summary",#N/A,FALSE,"mfg"}</definedName>
    <definedName name="abc36b" localSheetId="4" hidden="1">{"detail",#N/A,FALSE,"mfg";"summary",#N/A,FALSE,"mfg"}</definedName>
    <definedName name="abc37b" localSheetId="4" hidden="1">{"detail",#N/A,FALSE,"mfg";"summary",#N/A,FALSE,"mfg"}</definedName>
    <definedName name="abc38b" localSheetId="4" hidden="1">{"detail",#N/A,FALSE,"mfg";"summary",#N/A,FALSE,"mfg"}</definedName>
    <definedName name="abc41b" localSheetId="4" hidden="1">{"detail",#N/A,FALSE,"mfg";"summary",#N/A,FALSE,"mfg"}</definedName>
    <definedName name="abc42b" localSheetId="4" hidden="1">{"detail",#N/A,FALSE,"mfg";"summary",#N/A,FALSE,"mfg"}</definedName>
    <definedName name="abc51b" localSheetId="4" hidden="1">{"detail",#N/A,FALSE,"mfg";"summary",#N/A,FALSE,"mfg"}</definedName>
    <definedName name="abc61b" localSheetId="4" hidden="1">{"detail",#N/A,FALSE,"mfg";"summary",#N/A,FALSE,"mfg"}</definedName>
    <definedName name="abc67v" localSheetId="4" hidden="1">{#N/A,"PURCHM",FALSE,"Business Analysis";#N/A,"SPADD",FALSE,"Business Analysis"}</definedName>
    <definedName name="abc71b" localSheetId="4" hidden="1">{"detail",#N/A,FALSE,"mfg";"summary",#N/A,FALSE,"mfg"}</definedName>
    <definedName name="abc9bn" localSheetId="4" hidden="1">{"detail",#N/A,FALSE,"mfg";"summary",#N/A,FALSE,"mfg"}</definedName>
    <definedName name="abc9er" localSheetId="4" hidden="1">{"detail",#N/A,FALSE,"mfg";"summary",#N/A,FALSE,"mfg"}</definedName>
    <definedName name="abc9kn" localSheetId="4" hidden="1">{"detail",#N/A,FALSE,"mfg";"summary",#N/A,FALSE,"mfg"}</definedName>
    <definedName name="abca312" localSheetId="4" hidden="1">{"detail",#N/A,FALSE,"mfg";"summary",#N/A,FALSE,"mfg"}</definedName>
    <definedName name="abca312b" localSheetId="4" hidden="1">{"detail",#N/A,FALSE,"mfg";"summary",#N/A,FALSE,"mfg"}</definedName>
    <definedName name="ABCD" localSheetId="4">{"Client Name or Project Name"}</definedName>
    <definedName name="abcd1" localSheetId="4" hidden="1">{#N/A,"PURCHM",FALSE,"Business Analysis";#N/A,"SPADD",FALSE,"Business Analysis"}</definedName>
    <definedName name="abcd10" localSheetId="4" hidden="1">{#N/A,"PURCHM",FALSE,"Business Analysis";#N/A,"SPADD",FALSE,"Business Analysis"}</definedName>
    <definedName name="abcd101" localSheetId="4" hidden="1">{#N/A,"PURCHM",FALSE,"Business Analysis";#N/A,"SPADD",FALSE,"Business Analysis"}</definedName>
    <definedName name="abcd10a" localSheetId="4" hidden="1">{#N/A,"PURCHM",FALSE,"Business Analysis";#N/A,"SPADD",FALSE,"Business Analysis"}</definedName>
    <definedName name="abcd11" localSheetId="4" hidden="1">{#N/A,"PURCHM",FALSE,"Business Analysis";#N/A,"SPADD",FALSE,"Business Analysis"}</definedName>
    <definedName name="abcd12" localSheetId="4" hidden="1">{#N/A,"PURCHM",FALSE,"Business Analysis";#N/A,"SPADD",FALSE,"Business Analysis"}</definedName>
    <definedName name="abcd12b" localSheetId="4" hidden="1">{#N/A,"PURCHM",FALSE,"Business Analysis";#N/A,"SPADD",FALSE,"Business Analysis"}</definedName>
    <definedName name="abcd2" localSheetId="4" hidden="1">{#N/A,"PURCHM",FALSE,"Business Analysis";#N/A,"SPADD",FALSE,"Business Analysis"}</definedName>
    <definedName name="abcd200" localSheetId="4" hidden="1">{#N/A,"PURCHM",FALSE,"Business Analysis";#N/A,"SPADD",FALSE,"Business Analysis"}</definedName>
    <definedName name="abcd200b" localSheetId="4" hidden="1">{#N/A,"PURCHM",FALSE,"Business Analysis";#N/A,"SPADD",FALSE,"Business Analysis"}</definedName>
    <definedName name="abcd202" localSheetId="4" hidden="1">{#N/A,"PURCHM",FALSE,"Business Analysis";#N/A,"SPADD",FALSE,"Business Analysis"}</definedName>
    <definedName name="abcd21" localSheetId="4" hidden="1">{#N/A,"PURCHM",FALSE,"Business Analysis";#N/A,"SPADD",FALSE,"Business Analysis"}</definedName>
    <definedName name="abcd212" localSheetId="4" hidden="1">{#N/A,"PURCHM",FALSE,"Business Analysis";#N/A,"SPADD",FALSE,"Business Analysis"}</definedName>
    <definedName name="abcd21225b" localSheetId="4" hidden="1">{#N/A,"PURCHM",FALSE,"Business Analysis";#N/A,"SPADD",FALSE,"Business Analysis"}</definedName>
    <definedName name="abcd212b" localSheetId="4" hidden="1">{#N/A,"PURCHM",FALSE,"Business Analysis";#N/A,"SPADD",FALSE,"Business Analysis"}</definedName>
    <definedName name="abcd213" localSheetId="4" hidden="1">{#N/A,"PURCHM",FALSE,"Business Analysis";#N/A,"SPADD",FALSE,"Business Analysis"}</definedName>
    <definedName name="abcd213b" localSheetId="4" hidden="1">{#N/A,"PURCHM",FALSE,"Business Analysis";#N/A,"SPADD",FALSE,"Business Analysis"}</definedName>
    <definedName name="abcd21kb" localSheetId="4" hidden="1">{#N/A,"PURCHM",FALSE,"Business Analysis";#N/A,"SPADD",FALSE,"Business Analysis"}</definedName>
    <definedName name="abcd254" localSheetId="4" hidden="1">{#N/A,"PURCHM",FALSE,"Business Analysis";#N/A,"SPADD",FALSE,"Business Analysis"}</definedName>
    <definedName name="abcd2ab" localSheetId="4" hidden="1">{#N/A,"PURCHM",FALSE,"Business Analysis";#N/A,"SPADD",FALSE,"Business Analysis"}</definedName>
    <definedName name="abcd312" localSheetId="4" hidden="1">{#N/A,"PURCHM",FALSE,"Business Analysis";#N/A,"SPADD",FALSE,"Business Analysis"}</definedName>
    <definedName name="abcd312bd" localSheetId="4" hidden="1">{#N/A,"PURCHM",FALSE,"Business Analysis";#N/A,"SPADD",FALSE,"Business Analysis"}</definedName>
    <definedName name="abcd32" localSheetId="4" hidden="1">{#N/A,"PURCHM",FALSE,"Business Analysis";#N/A,"SPADD",FALSE,"Business Analysis"}</definedName>
    <definedName name="abcd32b" localSheetId="4" hidden="1">{#N/A,"PURCHM",FALSE,"Business Analysis";#N/A,"SPADD",FALSE,"Business Analysis"}</definedName>
    <definedName name="abcd33" localSheetId="4" hidden="1">{"detail",#N/A,FALSE,"mfg";"summary",#N/A,FALSE,"mfg"}</definedName>
    <definedName name="abcd33b" localSheetId="4" hidden="1">{"detail",#N/A,FALSE,"mfg";"summary",#N/A,FALSE,"mfg"}</definedName>
    <definedName name="abcd34" localSheetId="4" hidden="1">{#N/A,"PURCHM",FALSE,"Business Analysis";#N/A,"SPADD",FALSE,"Business Analysis"}</definedName>
    <definedName name="abcd34b" localSheetId="4" hidden="1">{#N/A,"PURCHM",FALSE,"Business Analysis";#N/A,"SPADD",FALSE,"Business Analysis"}</definedName>
    <definedName name="abcd35" localSheetId="4" hidden="1">{#N/A,"PURCHM",FALSE,"Business Analysis";#N/A,"SPADD",FALSE,"Business Analysis"}</definedName>
    <definedName name="abcd35b" localSheetId="4" hidden="1">{#N/A,"PURCHM",FALSE,"Business Analysis";#N/A,"SPADD",FALSE,"Business Analysis"}</definedName>
    <definedName name="abcd36" localSheetId="4" hidden="1">{"detail",#N/A,FALSE,"mfg";"summary",#N/A,FALSE,"mfg"}</definedName>
    <definedName name="abcd36b" localSheetId="4" hidden="1">{"detail",#N/A,FALSE,"mfg";"summary",#N/A,FALSE,"mfg"}</definedName>
    <definedName name="abcd39" localSheetId="4" hidden="1">{#N/A,"PURCHM",FALSE,"Business Analysis";#N/A,"SPADD",FALSE,"Business Analysis"}</definedName>
    <definedName name="abcd39bd" localSheetId="4" hidden="1">{#N/A,"PURCHM",FALSE,"Business Analysis";#N/A,"SPADD",FALSE,"Business Analysis"}</definedName>
    <definedName name="ABCD41" localSheetId="4" hidden="1">{#N/A,"PURCHM",FALSE,"Business Analysis";#N/A,"SPADD",FALSE,"Business Analysis"}</definedName>
    <definedName name="abcd412" localSheetId="4" hidden="1">{#N/A,"PURCHM",FALSE,"Business Analysis";#N/A,"SPADD",FALSE,"Business Analysis"}</definedName>
    <definedName name="abcd412bd" localSheetId="4" hidden="1">{#N/A,"PURCHM",FALSE,"Business Analysis";#N/A,"SPADD",FALSE,"Business Analysis"}</definedName>
    <definedName name="abcd41bd" localSheetId="4" hidden="1">{#N/A,"PURCHM",FALSE,"Business Analysis";#N/A,"SPADD",FALSE,"Business Analysis"}</definedName>
    <definedName name="abcd42" localSheetId="4" hidden="1">{#N/A,"PURCHM",FALSE,"Business Analysis";#N/A,"SPADD",FALSE,"Business Analysis"}</definedName>
    <definedName name="abcd42bd" localSheetId="4" hidden="1">{#N/A,"PURCHM",FALSE,"Business Analysis";#N/A,"SPADD",FALSE,"Business Analysis"}</definedName>
    <definedName name="abcd45" localSheetId="4" hidden="1">{#N/A,"PURCHM",FALSE,"Business Analysis";#N/A,"SPADD",FALSE,"Business Analysis"}</definedName>
    <definedName name="abcd45bd" localSheetId="4" hidden="1">{#N/A,"PURCHM",FALSE,"Business Analysis";#N/A,"SPADD",FALSE,"Business Analysis"}</definedName>
    <definedName name="abcd50" localSheetId="4" hidden="1">{#N/A,"PURCHM",FALSE,"Business Analysis";#N/A,"SPADD",FALSE,"Business Analysis"}</definedName>
    <definedName name="abcd51" localSheetId="4" hidden="1">{#N/A,"PURCHM",FALSE,"Business Analysis";#N/A,"SPADD",FALSE,"Business Analysis"}</definedName>
    <definedName name="abcd51bd" localSheetId="4" hidden="1">{#N/A,"PURCHM",FALSE,"Business Analysis";#N/A,"SPADD",FALSE,"Business Analysis"}</definedName>
    <definedName name="abcd61" localSheetId="4" hidden="1">{#N/A,"PURCHM",FALSE,"Business Analysis";#N/A,"SPADD",FALSE,"Business Analysis"}</definedName>
    <definedName name="abcd61bd" localSheetId="4" hidden="1">{#N/A,"PURCHM",FALSE,"Business Analysis";#N/A,"SPADD",FALSE,"Business Analysis"}</definedName>
    <definedName name="abcd71" localSheetId="4" hidden="1">{#N/A,"PURCHM",FALSE,"Business Analysis";#N/A,"SPADD",FALSE,"Business Analysis"}</definedName>
    <definedName name="abcd71bd" localSheetId="4" hidden="1">{#N/A,"PURCHM",FALSE,"Business Analysis";#N/A,"SPADD",FALSE,"Business Analysis"}</definedName>
    <definedName name="abcd90" localSheetId="4" hidden="1">{#N/A,"PURCHM",FALSE,"Business Analysis";#N/A,"SPADD",FALSE,"Business Analysis"}</definedName>
    <definedName name="abcd98b" localSheetId="4" hidden="1">{#N/A,"PURCHM",FALSE,"Business Analysis";#N/A,"SPADD",FALSE,"Business Analysis"}</definedName>
    <definedName name="abcda" localSheetId="4" hidden="1">{#N/A,"PURCHM",FALSE,"Business Analysis";#N/A,"SPADD",FALSE,"Business Analysis"}</definedName>
    <definedName name="abcda101" localSheetId="4" hidden="1">{#N/A,"PURCHM",FALSE,"Business Analysis";#N/A,"SPADD",FALSE,"Business Analysis"}</definedName>
    <definedName name="abcdefg" localSheetId="4">{"Client Name or Project Name"}</definedName>
    <definedName name="abcdmibh" localSheetId="4" hidden="1">{#N/A,"PURCHM",FALSE,"Business Analysis";#N/A,"SPADD",FALSE,"Business Analysis"}</definedName>
    <definedName name="abcdv102" localSheetId="4" hidden="1">{#N/A,"PURCHM",FALSE,"Business Analysis";#N/A,"SPADD",FALSE,"Business Analysis"}</definedName>
    <definedName name="abcdv102d" localSheetId="4" hidden="1">{#N/A,"PURCHM",FALSE,"Business Analysis";#N/A,"SPADD",FALSE,"Business Analysis"}</definedName>
    <definedName name="abce" localSheetId="4" hidden="1">{"assumptions",#N/A,FALSE,"Scenario 1";"valuation",#N/A,FALSE,"Scenario 1"}</definedName>
    <definedName name="abci9" localSheetId="4" hidden="1">{#N/A,"PURCHM",FALSE,"Business Analysis";#N/A,"SPADD",FALSE,"Business Analysis"}</definedName>
    <definedName name="abci92" localSheetId="4" hidden="1">{#N/A,"PURCHM",FALSE,"Business Analysis";#N/A,"SPADD",FALSE,"Business Analysis"}</definedName>
    <definedName name="abcj9i" localSheetId="4" hidden="1">{"detail",#N/A,FALSE,"mfg";"summary",#N/A,FALSE,"mfg"}</definedName>
    <definedName name="abckg" localSheetId="4" hidden="1">{#N/A,"PURCHM",FALSE,"Business Analysis";#N/A,"SPADD",FALSE,"Business Analysis"}</definedName>
    <definedName name="abcklg" localSheetId="4" hidden="1">{"detail",#N/A,FALSE,"mfg";"summary",#N/A,FALSE,"mfg"}</definedName>
    <definedName name="abcl96\" localSheetId="4" hidden="1">{#N/A,"PURCHM",FALSE,"Business Analysis";#N/A,"SPADD",FALSE,"Business Analysis"}</definedName>
    <definedName name="abclkj" localSheetId="4" hidden="1">{"detail",#N/A,FALSE,"mfg";"summary",#N/A,FALSE,"mfg"}</definedName>
    <definedName name="abclxs" localSheetId="4" hidden="1">{"detail",#N/A,FALSE,"mfg";"summary",#N/A,FALSE,"mfg"}</definedName>
    <definedName name="abcoi" localSheetId="4" hidden="1">{"detail",#N/A,FALSE,"mfg";"summary",#N/A,FALSE,"mfg"}</definedName>
    <definedName name="abcois" localSheetId="4" hidden="1">{"detail",#N/A,FALSE,"mfg";"summary",#N/A,FALSE,"mfg"}</definedName>
    <definedName name="abcs" localSheetId="4">{0;0;0;0;1;1;0.25;0;0.75;0.5;2;FALSE;FALSE;FALSE;FALSE;FALSE;#N/A;1;77;#N/A;#N/A;"";""}</definedName>
    <definedName name="abji" localSheetId="4" hidden="1">{#N/A,"PURCHM",FALSE,"Business Analysis";#N/A,"SPADD",FALSE,"Business Analysis"}</definedName>
    <definedName name="abki9" localSheetId="4" hidden="1">{#N/A,"PURCHM",FALSE,"Business Analysis";#N/A,"SPADD",FALSE,"Business Analysis"}</definedName>
    <definedName name="ablo5" localSheetId="4" hidden="1">{#N/A,"PURCHM",FALSE,"Business Analysis";#N/A,"SPADD",FALSE,"Business Analysis"}</definedName>
    <definedName name="ABN" localSheetId="4" hidden="1">{#N/A,#N/A,FALSE,"Tabl. FB300";#N/A,#N/A,FALSE,"Tabl. FB350";#N/A,#N/A,FALSE,"Tabl. FB400";#N/A,#N/A,FALSE,"Tabl. FB500";#N/A,#N/A,FALSE,"Tabl. FS090"}</definedName>
    <definedName name="Ac" localSheetId="4" hidden="1">{#N/A,#N/A,FALSE,"One Pager";#N/A,#N/A,FALSE,"Technical"}</definedName>
    <definedName name="acc" localSheetId="4" hidden="1">{#N/A,#N/A,FALSE,"Calc";#N/A,#N/A,FALSE,"Sensitivity";#N/A,#N/A,FALSE,"LT Earn.Dil.";#N/A,#N/A,FALSE,"Dil. AVP"}</definedName>
    <definedName name="accs" localSheetId="4" hidden="1">{"detail",#N/A,FALSE,"mfg";"summary",#N/A,FALSE,"mfg"}</definedName>
    <definedName name="Acdfg" localSheetId="4" hidden="1">{#N/A,#N/A,FALSE,"CMN_FE"}</definedName>
    <definedName name="actionplan" localSheetId="4" hidden="1">{#N/A,"PURADD",FALSE,"Business Analysis";#N/A,"PURSPP",FALSE,"Business Analysis";#N/A,"CTGIND",FALSE,"Business Analysis";#N/A,"PURCHM",FALSE,"Business Analysis";#N/A,"SPADD",FALSE,"Business Analysis";#N/A,"EPOXY",FALSE,"Business Analysis";#N/A,"PURPER",FALSE,"Business Analysis"}</definedName>
    <definedName name="ad" localSheetId="4" hidden="1">{#N/A,#N/A,FALSE,"Umsatz 99";#N/A,#N/A,FALSE,"ER 99 "}</definedName>
    <definedName name="ad_1" localSheetId="4" hidden="1">{#N/A,#N/A,FALSE,"PMTABB";#N/A,#N/A,FALSE,"PMTABB"}</definedName>
    <definedName name="ada"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sd" localSheetId="4" hidden="1">{#N/A,#N/A,FALSE,"KA CH  (2)"}</definedName>
    <definedName name="adc" localSheetId="4" hidden="1">{#N/A,"PURCHM",FALSE,"Business Analysis";#N/A,"SPADD",FALSE,"Business Analysis"}</definedName>
    <definedName name="add_BOQ" localSheetId="4" hidden="1">{#N/A,#N/A,TRUE,"Front";#N/A,#N/A,TRUE,"Simple Letter";#N/A,#N/A,TRUE,"Inside";#N/A,#N/A,TRUE,"Contents";#N/A,#N/A,TRUE,"Basis";#N/A,#N/A,TRUE,"Inclusions";#N/A,#N/A,TRUE,"Exclusions";#N/A,#N/A,TRUE,"Areas";#N/A,#N/A,TRUE,"Summary";#N/A,#N/A,TRUE,"Detail"}</definedName>
    <definedName name="add_BOQ_1" localSheetId="4">{#N/A,#N/A,TRUE,"Front";#N/A,#N/A,TRUE,"Simple Letter";#N/A,#N/A,TRUE,"Inside";#N/A,#N/A,TRUE,"Contents";#N/A,#N/A,TRUE,"Basis";#N/A,#N/A,TRUE,"Inclusions";#N/A,#N/A,TRUE,"Exclusions";#N/A,#N/A,TRUE,"Areas";#N/A,#N/A,TRUE,"Summary";#N/A,#N/A,TRUE,"Detail"}</definedName>
    <definedName name="ADDD" localSheetId="4" hidden="1">{#N/A,#N/A,FALSE,"CDA Plan"}</definedName>
    <definedName name="ADDDD" localSheetId="4" hidden="1">{#N/A,#N/A,FALSE,"CDA Plan"}</definedName>
    <definedName name="adfasdf" localSheetId="4" hidden="1">{#N/A,#N/A,FALSE,"INCOME STATEMENT";#N/A,#N/A,FALSE,"DETAIL BALANCE SHEET";#N/A,#N/A,FALSE,"Summary Balance Sheet";#N/A,#N/A,FALSE,"EQUITY STATEMENT";#N/A,#N/A,FALSE,"AASINTERNAL"}</definedName>
    <definedName name="adfasdg" localSheetId="4" hidden="1">{#N/A,#N/A,FALSE,"INCOME STATEMENT";#N/A,#N/A,FALSE,"DETAIL BALANCE SHEET";#N/A,#N/A,FALSE,"Summary Balance Sheet";#N/A,#N/A,FALSE,"EQUITY STATEMENT";#N/A,#N/A,FALSE,"AASINTERNAL"}</definedName>
    <definedName name="adfd" localSheetId="4" hidden="1">{"sales growth",#N/A,FALSE,"summary";"oper income",#N/A,FALSE,"summary";"oros rank",#N/A,FALSE,"summary";"net assets",#N/A,FALSE,"summary";"asset turnover",#N/A,FALSE,"summary";"orona",#N/A,FALSE,"summary"}</definedName>
    <definedName name="adfgasdysty" localSheetId="4" hidden="1">{#N/A,#N/A,FALSE,"REPORT"}</definedName>
    <definedName name="adfs" localSheetId="4" hidden="1">{#N/A,#N/A,FALSE,"PMTABB";#N/A,#N/A,FALSE,"PMTABB"}</definedName>
    <definedName name="adfs_2" localSheetId="4" hidden="1">{#N/A,#N/A,FALSE,"PMTABB";#N/A,#N/A,FALSE,"PMTABB"}</definedName>
    <definedName name="adfs_3" localSheetId="4" hidden="1">{#N/A,#N/A,FALSE,"PMTABB";#N/A,#N/A,FALSE,"PMTABB"}</definedName>
    <definedName name="adfs_4" localSheetId="4" hidden="1">{#N/A,#N/A,FALSE,"PMTABB";#N/A,#N/A,FALSE,"PMTABB"}</definedName>
    <definedName name="adfsfjfjky" localSheetId="4" hidden="1">{#N/A,#N/A,FALSE,"REPORT"}</definedName>
    <definedName name="adgfgd" localSheetId="4" hidden="1">{"detail",#N/A,FALSE,"mfg";"summary",#N/A,FALSE,"mfg"}</definedName>
    <definedName name="adgg" localSheetId="4" hidden="1">{"'7'!$B$15:$D$32"}</definedName>
    <definedName name="Adj.Cash.Summary" localSheetId="4" hidden="1">{#N/A,#N/A,FALSE,"Master Estimates"}</definedName>
    <definedName name="admin" localSheetId="4" hidden="1">{#N/A,#N/A,FALSE,"Staffnos &amp; cost"}</definedName>
    <definedName name="ADPCM" localSheetId="4" hidden="1">{#N/A,#N/A,FALSE,"Staffnos &amp; cost"}</definedName>
    <definedName name="ads" localSheetId="4" hidden="1">{"detail",#N/A,FALSE,"mfg";"summary",#N/A,FALSE,"mfg"}</definedName>
    <definedName name="adsf" localSheetId="4" hidden="1">{"QTD",#N/A,FALSE,"SUM"}</definedName>
    <definedName name="adsfgds" localSheetId="4" hidden="1">{#N/A,#N/A,FALSE,"Umsatz CH";#N/A,#N/A,FALSE,"ER CH";#N/A,#N/A,FALSE,"EA CH (2) ";#N/A,#N/A,FALSE,"EA CH";#N/A,#N/A,FALSE,"EA CH (3) ";#N/A,#N/A,FALSE,"EA CH (4)";#N/A,#N/A,FALSE,"KA CH";#N/A,#N/A,FALSE,"KA CH  (2)";#N/A,#N/A,FALSE,"KA CH  (3)";#N/A,#N/A,FALSE,"KA CH (4)"}</definedName>
    <definedName name="adsz" localSheetId="4" hidden="1">{#N/A,#N/A,FALSE,"INCOME STATEMENT";#N/A,#N/A,FALSE,"DETAIL BALANCE SHEET";#N/A,#N/A,FALSE,"Summary Balance Sheet";#N/A,#N/A,FALSE,"EQUITY STATEMENT";#N/A,#N/A,FALSE,"AASINTERNAL"}</definedName>
    <definedName name="adxcz" localSheetId="4" hidden="1">{"'7'!$B$15:$D$32"}</definedName>
    <definedName name="ae" localSheetId="4" hidden="1">{#N/A,#N/A,FALSE,"PMTABB";#N/A,#N/A,FALSE,"PMTABB"}</definedName>
    <definedName name="aer" localSheetId="4" hidden="1">{#N/A,#N/A,FALSE,"EW"}</definedName>
    <definedName name="aer_2" localSheetId="4" hidden="1">{#N/A,#N/A,FALSE,"EW"}</definedName>
    <definedName name="aer_3" localSheetId="4" hidden="1">{#N/A,#N/A,FALSE,"EW"}</definedName>
    <definedName name="aer_4" localSheetId="4" hidden="1">{#N/A,#N/A,FALSE,"EW"}</definedName>
    <definedName name="aew" localSheetId="4" hidden="1">{#N/A,"PURCHM",FALSE,"Business Analysis";#N/A,"SPADD",FALSE,"Business Analysis"}</definedName>
    <definedName name="af" localSheetId="4" hidden="1">{#N/A,#N/A,FALSE,"CDA Plan"}</definedName>
    <definedName name="afc" localSheetId="4" hidden="1">{"detail",#N/A,FALSE,"mfg";"summary",#N/A,FALSE,"mfg"}</definedName>
    <definedName name="AFDADSFDAS" localSheetId="4" hidden="1">{#N/A,#N/A,FALSE,"REPORT"}</definedName>
    <definedName name="afds" localSheetId="4" hidden="1">{"YTD",#N/A,FALSE,"SUM"}</definedName>
    <definedName name="AFECLKZE" localSheetId="4" hidden="1">{#N/A,#N/A,FALSE,"Tabl. A1";#N/A,#N/A,FALSE,"Tabl. A1 b";#N/A,#N/A,FALSE,"Tabl. A2";#N/A,#N/A,FALSE,"Tabl. A2-1";#N/A,#N/A,FALSE,"Tabl. A2-2"}</definedName>
    <definedName name="AFGGF" localSheetId="4" hidden="1">{#N/A,#N/A,FALSE,"Tabl. D1";#N/A,#N/A,FALSE,"Tabl. D1 b";#N/A,#N/A,FALSE,"Tabl. D2";#N/A,#N/A,FALSE,"Tabl. D2 b";#N/A,#N/A,FALSE,"Tabl. D3";#N/A,#N/A,FALSE,"Tabl. D4";#N/A,#N/A,FALSE,"Tabl. D5"}</definedName>
    <definedName name="africa" localSheetId="4" hidden="1">{#N/A,#N/A,FALSE,"CNS";#N/A,#N/A,FALSE,"Serz";#N/A,#N/A,FALSE,"Ace"}</definedName>
    <definedName name="AFSDF" localSheetId="4" hidden="1">{#N/A,#N/A,FALSE,"PMTABB";#N/A,#N/A,FALSE,"PMTABB"}</definedName>
    <definedName name="AFSDF_1" localSheetId="4" hidden="1">{#N/A,#N/A,FALSE,"PMTABB";#N/A,#N/A,FALSE,"PMTABB"}</definedName>
    <definedName name="AFSDF_2" localSheetId="4" hidden="1">{#N/A,#N/A,FALSE,"PMTABB";#N/A,#N/A,FALSE,"PMTABB"}</definedName>
    <definedName name="AFSDF_3" localSheetId="4" hidden="1">{#N/A,#N/A,FALSE,"PMTABB";#N/A,#N/A,FALSE,"PMTABB"}</definedName>
    <definedName name="AFSDF_4" localSheetId="4" hidden="1">{#N/A,#N/A,FALSE,"PMTABB";#N/A,#N/A,FALSE,"PMTABB"}</definedName>
    <definedName name="afsdrt" localSheetId="4" hidden="1">{#N/A,#N/A,FALSE,"Aging Summary";#N/A,#N/A,FALSE,"Ratio Analysis";#N/A,#N/A,FALSE,"Test 120 Day Accts";#N/A,#N/A,FALSE,"Tickmarks"}</definedName>
    <definedName name="afsdrt_2" localSheetId="4" hidden="1">{#N/A,#N/A,FALSE,"Aging Summary";#N/A,#N/A,FALSE,"Ratio Analysis";#N/A,#N/A,FALSE,"Test 120 Day Accts";#N/A,#N/A,FALSE,"Tickmarks"}</definedName>
    <definedName name="afsdrt_3" localSheetId="4" hidden="1">{#N/A,#N/A,FALSE,"Aging Summary";#N/A,#N/A,FALSE,"Ratio Analysis";#N/A,#N/A,FALSE,"Test 120 Day Accts";#N/A,#N/A,FALSE,"Tickmarks"}</definedName>
    <definedName name="afsdrt_4" localSheetId="4" hidden="1">{#N/A,#N/A,FALSE,"Aging Summary";#N/A,#N/A,FALSE,"Ratio Analysis";#N/A,#N/A,FALSE,"Test 120 Day Accts";#N/A,#N/A,FALSE,"Tickmarks"}</definedName>
    <definedName name="afssdrt" localSheetId="4" hidden="1">{#N/A,#N/A,FALSE,"EW"}</definedName>
    <definedName name="afssdrt_2" localSheetId="4" hidden="1">{#N/A,#N/A,FALSE,"EW"}</definedName>
    <definedName name="afssdrt_3" localSheetId="4" hidden="1">{#N/A,#N/A,FALSE,"EW"}</definedName>
    <definedName name="afssdrt_4" localSheetId="4" hidden="1">{#N/A,#N/A,FALSE,"EW"}</definedName>
    <definedName name="aft" localSheetId="4" hidden="1">{#N/A,#N/A,FALSE,"CDA Plan"}</definedName>
    <definedName name="ag"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agafdhsdh" localSheetId="4" hidden="1">{#N/A,#N/A,FALSE,"REPORT"}</definedName>
    <definedName name="agcd22" localSheetId="4" hidden="1">{#N/A,"PURCHM",FALSE,"Business Analysis";#N/A,"SPADD",FALSE,"Business Analysis"}</definedName>
    <definedName name="agcd22bd" localSheetId="4" hidden="1">{#N/A,"PURCHM",FALSE,"Business Analysis";#N/A,"SPADD",FALSE,"Business Analysis"}</definedName>
    <definedName name="age"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fdg" localSheetId="4" hidden="1">{#N/A,#N/A,FALSE,"PMW Gruppe 99_98";#N/A,#N/A,FALSE,"PMW KG 98_99";#N/A,#N/A,FALSE,"PMW Inc. 99_98";#N/A,#N/A,FALSE,"PMW VTECH 99_98";#N/A,#N/A,FALSE,"PMW Thail. 99_98";#N/A,#N/A,FALSE,"PMW Canada 99_98";#N/A,#N/A,FALSE,"Währungsabw. 99_98"}</definedName>
    <definedName name="agfds"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aging_Analysis" localSheetId="4" hidden="1">{#N/A,#N/A,FALSE,"Aging Summary";#N/A,#N/A,FALSE,"Ratio Analysis";#N/A,#N/A,FALSE,"Test 120 Day Accts";#N/A,#N/A,FALSE,"Tickmarks"}</definedName>
    <definedName name="agsgaghgfj" localSheetId="4" hidden="1">{#N/A,#N/A,FALSE,"Pharm";#N/A,#N/A,FALSE,"WWCM"}</definedName>
    <definedName name="ah" localSheetId="4" hidden="1">{"detail",#N/A,FALSE,"mfg";"summary",#N/A,FALSE,"mfg"}</definedName>
    <definedName name="AHA"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aj" localSheetId="4" hidden="1">{#N/A,#N/A,FALSE,"PMTABB";#N/A,#N/A,FALSE,"PMTABB"}</definedName>
    <definedName name="ajd" localSheetId="4" hidden="1">{#N/A,#N/A,FALSE,"CDA Plan"}</definedName>
    <definedName name="ajit" localSheetId="4" hidden="1">{#N/A,#N/A,FALSE,"BANNERS";#N/A,#N/A,FALSE,"Market";#N/A,#N/A,FALSE,"Tel Rev";#N/A,#N/A,FALSE,"Revenues IOL";#N/A,#N/A,FALSE,"Invest";#N/A,#N/A,FALSE,"Op Cost1";#N/A,#N/A,FALSE,"Op Cost2";#N/A,#N/A,FALSE,"Oth_&amp;_Tot_Revenues";#N/A,#N/A,FALSE,"Fin Mod";#N/A,#N/A,FALSE,"FinMod_RoW";#N/A,#N/A,FALSE,"P&amp;E Burocrat";#N/A,#N/A,FALSE,"cash flow"}</definedName>
    <definedName name="alex" localSheetId="4" hidden="1">{#N/A,#N/A,FALSE,"REPORT"}</definedName>
    <definedName name="alexan" localSheetId="4" hidden="1">{#N/A,#N/A,FALSE,"REPORT"}</definedName>
    <definedName name="ALL" localSheetId="4">{1}</definedName>
    <definedName name="älll" localSheetId="4" hidden="1">{#N/A,#N/A,FALSE,"Produkte Erw.";#N/A,#N/A,FALSE,"Produkte Plan";#N/A,#N/A,FALSE,"Leistungen Erw.";#N/A,#N/A,FALSE,"Leistungen Plan";#N/A,#N/A,FALSE,"KA Allg.Kosten (2)";#N/A,#N/A,FALSE,"KA All.Kosten"}</definedName>
    <definedName name="AllTables" localSheetId="4">{6}</definedName>
    <definedName name="Alltables2" localSheetId="4">{2}</definedName>
    <definedName name="AllTables3" localSheetId="4">{17}</definedName>
    <definedName name="Altables" localSheetId="4">{1}</definedName>
    <definedName name="alyson" localSheetId="4" hidden="1">{#N/A,#N/A,FALSE,"Australia";#N/A,#N/A,FALSE,"Austria";#N/A,#N/A,FALSE,"Belgium";#N/A,#N/A,FALSE,"Canada";#N/A,#N/A,FALSE,"France";#N/A,#N/A,FALSE,"Germany";#N/A,#N/A,FALSE,"Hong Kong";#N/A,#N/A,FALSE,"Italy";#N/A,#N/A,FALSE,"Japan";#N/A,#N/A,FALSE,"Korea";#N/A,#N/A,FALSE,"Mexico";#N/A,#N/A,FALSE,"Poland";#N/A,#N/A,FALSE,"Spain";#N/A,#N/A,FALSE,"Switzerland";#N/A,#N/A,FALSE,"UK"}</definedName>
    <definedName name="AM" localSheetId="4" hidden="1">{#N/A,#N/A,FALSE,"Staffnos &amp; cost"}</definedName>
    <definedName name="AMIT" localSheetId="4" hidden="1">{#N/A,#N/A,FALSE,"Staffnos &amp; cost"}</definedName>
    <definedName name="añ" localSheetId="4" hidden="1">{"Performance Details",#N/A,FALSE,"Current Yr";"Performance Details",#N/A,FALSE,"Budget";"Performance Details",#N/A,FALSE,"Prior Year"}</definedName>
    <definedName name="ANA"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andy" localSheetId="4" hidden="1">{#N/A,#N/A,FALSE,"REPORT"}</definedName>
    <definedName name="ann"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nnual1" localSheetId="4" hidden="1">{#N/A,#N/A,FALSE,"earnings"}</definedName>
    <definedName name="anwhhs" localSheetId="4">{"Client Name or Project Name"}</definedName>
    <definedName name="äöäö" localSheetId="4" hidden="1">{#N/A,#N/A,FALSE,"Umsatz CH";#N/A,#N/A,FALSE,"ER CH";#N/A,#N/A,FALSE,"EA CH (2) ";#N/A,#N/A,FALSE,"EA CH";#N/A,#N/A,FALSE,"EA CH (3) ";#N/A,#N/A,FALSE,"EA CH (4)";#N/A,#N/A,FALSE,"KA CH";#N/A,#N/A,FALSE,"KA CH  (2)";#N/A,#N/A,FALSE,"KA CH  (3)";#N/A,#N/A,FALSE,"KA CH (4)"}</definedName>
    <definedName name="aop" localSheetId="4" hidden="1">{#N/A,#N/A,FALSE,"CDA Plan"}</definedName>
    <definedName name="Appendix" localSheetId="4" hidden="1">{#N/A,#N/A,FALSE,"Aging Summary";#N/A,#N/A,FALSE,"Ratio Analysis";#N/A,#N/A,FALSE,"Test 120 Day Accts";#N/A,#N/A,FALSE,"Tickmarks"}</definedName>
    <definedName name="aqw" localSheetId="4" hidden="1">{#N/A,"PURCHM",FALSE,"Business Analysis";#N/A,"SPADD",FALSE,"Business Analysis"}</definedName>
    <definedName name="ar" localSheetId="4" hidden="1">{#N/A,#N/A,FALSE,"Status of Projects";#N/A,#N/A,FALSE,"CEA-TEC";#N/A,#N/A,FALSE,"U-Constr.";#N/A,#N/A,FALSE,"summary";#N/A,#N/A,FALSE,"PPP-3 yrs"}</definedName>
    <definedName name="AS" localSheetId="4" hidden="1">{#N/A,#N/A,FALSE,"Pharm";#N/A,#N/A,FALSE,"WWCM"}</definedName>
    <definedName name="as\" localSheetId="4">{"'PS-SOTM'!$A$1","'PS-SOTM'!$A$2:$M$30","'PS-SOTM'!$A$31:$A$38"}</definedName>
    <definedName name="asa" localSheetId="4" hidden="1">{"Fiesta Facer Page",#N/A,FALSE,"Q_C_S";"Fiesta Main Page",#N/A,FALSE,"V_L";"Fiesta 95BP Struct",#N/A,FALSE,"StructBP";"Fiesta Post 95BP Struct",#N/A,FALSE,"AdjStructBP"}</definedName>
    <definedName name="asas" localSheetId="4" hidden="1">{#N/A,#N/A,FALSE,"Umsatz 99";#N/A,#N/A,FALSE,"ER 99 "}</definedName>
    <definedName name="asasa" localSheetId="4" hidden="1">{"Monthly6Q",#N/A,FALSE,"0614ESL"}</definedName>
    <definedName name="ASCVBN" localSheetId="4" hidden="1">{#N/A,#N/A,FALSE,"Tabl. D1";#N/A,#N/A,FALSE,"Tabl. D1 b";#N/A,#N/A,FALSE,"Tabl. D2";#N/A,#N/A,FALSE,"Tabl. D2 b";#N/A,#N/A,FALSE,"Tabl. D3";#N/A,#N/A,FALSE,"Tabl. D4";#N/A,#N/A,FALSE,"Tabl. D5"}</definedName>
    <definedName name="asd" localSheetId="4" hidden="1">{#N/A,#N/A,FALSE,"Pharm";#N/A,#N/A,FALSE,"WWCM"}</definedName>
    <definedName name="asdad" localSheetId="4" hidden="1">{"Page 1",#N/A,TRUE,"Sheet1";"Page 2",#N/A,TRUE,"Sheet1"}</definedName>
    <definedName name="asdasdada" localSheetId="4" hidden="1">{#N/A,#N/A,FALSE,"PGW"}</definedName>
    <definedName name="asdasdasdasd" localSheetId="4" hidden="1">{#N/A,#N/A,FALSE,"OSBL"}</definedName>
    <definedName name="asdf" localSheetId="4" hidden="1">{"Commentary",#N/A,FALSE,"May"}</definedName>
    <definedName name="asdf_2" localSheetId="4" hidden="1">{#N/A,#N/A,FALSE,"PMTABB";#N/A,#N/A,FALSE,"PMTABB"}</definedName>
    <definedName name="asdf_3" localSheetId="4" hidden="1">{#N/A,#N/A,FALSE,"PMTABB";#N/A,#N/A,FALSE,"PMTABB"}</definedName>
    <definedName name="asdf_4" localSheetId="4" hidden="1">{#N/A,#N/A,FALSE,"PMTABB";#N/A,#N/A,FALSE,"PMTABB"}</definedName>
    <definedName name="asdfasdf" localSheetId="4" hidden="1">{#N/A,#N/A,FALSE,"Aging Summary";#N/A,#N/A,FALSE,"Ratio Analysis";#N/A,#N/A,FALSE,"Test 120 Day Accts";#N/A,#N/A,FALSE,"Tickmarks"}</definedName>
    <definedName name="asdfasfsa" localSheetId="4" hidden="1">{"Page 1",#N/A,TRUE,"Sheet1";"Page 2",#N/A,TRUE,"Sheet1"}</definedName>
    <definedName name="asdfdfddfsf"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jf"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 localSheetId="4" hidden="1">{#N/A,#N/A,FALSE,"Pharm";#N/A,#N/A,FALSE,"WWCM"}</definedName>
    <definedName name="asdfgh" localSheetId="4" hidden="1">{#N/A,#N/A,FALSE,"Staffnos &amp; cost"}</definedName>
    <definedName name="ASDFSFD" localSheetId="4" hidden="1">{#N/A,#N/A,FALSE,"Fmoh-Vmoh 2002";#N/A,#N/A,FALSE,"Fmoh-Vmoh 2002"}</definedName>
    <definedName name="asdgahdfhth" localSheetId="4" hidden="1">{#N/A,#N/A,FALSE,"REPORT"}</definedName>
    <definedName name="asdgayery" localSheetId="4" hidden="1">{#N/A,#N/A,FALSE,"Pharm";#N/A,#N/A,FALSE,"WWCM"}</definedName>
    <definedName name="asdgfdytyet" localSheetId="4" hidden="1">{#N/A,#N/A,FALSE,"REPORT"}</definedName>
    <definedName name="asdgtryukuio" localSheetId="4" hidden="1">{#N/A,#N/A,FALSE,"REPORT"}</definedName>
    <definedName name="asdjasldkfj" localSheetId="4" hidden="1">{#N/A,#N/A,FALSE,"PMTABB";#N/A,#N/A,FALSE,"PMTABB"}</definedName>
    <definedName name="asdjasldkfj_1" localSheetId="4" hidden="1">{#N/A,#N/A,FALSE,"PMTABB";#N/A,#N/A,FALSE,"PMTABB"}</definedName>
    <definedName name="asdjasldkfj_2" localSheetId="4" hidden="1">{#N/A,#N/A,FALSE,"PMTABB";#N/A,#N/A,FALSE,"PMTABB"}</definedName>
    <definedName name="asdjasldkfj_3" localSheetId="4" hidden="1">{#N/A,#N/A,FALSE,"PMTABB";#N/A,#N/A,FALSE,"PMTABB"}</definedName>
    <definedName name="asdjasldkfj_4" localSheetId="4" hidden="1">{#N/A,#N/A,FALSE,"PMTABB";#N/A,#N/A,FALSE,"PMTABB"}</definedName>
    <definedName name="asdjgkl" localSheetId="4" hidden="1">{#N/A,#N/A,FALSE,"Pharm";#N/A,#N/A,FALSE,"WWCM"}</definedName>
    <definedName name="asds" localSheetId="4" hidden="1">{#N/A,#N/A,FALSE,"Umsatz CH";#N/A,#N/A,FALSE,"ER CH";#N/A,#N/A,FALSE,"EA CH (2) ";#N/A,#N/A,FALSE,"EA CH";#N/A,#N/A,FALSE,"EA CH (3) ";#N/A,#N/A,FALSE,"EA CH (4)";#N/A,#N/A,FALSE,"KA CH";#N/A,#N/A,FALSE,"KA CH  (2)";#N/A,#N/A,FALSE,"KA CH  (3)";#N/A,#N/A,FALSE,"KA CH (4)"}</definedName>
    <definedName name="asdsar" localSheetId="4" hidden="1">{#N/A,#N/A,FALSE,"ISBL"}</definedName>
    <definedName name="asdsar_2" localSheetId="4" hidden="1">{#N/A,#N/A,FALSE,"ISBL"}</definedName>
    <definedName name="asdsar_3" localSheetId="4" hidden="1">{#N/A,#N/A,FALSE,"ISBL"}</definedName>
    <definedName name="asdsar_4" localSheetId="4" hidden="1">{#N/A,#N/A,FALSE,"ISBL"}</definedName>
    <definedName name="asedfdf" localSheetId="4" hidden="1">{"apci",#N/A,FALSE,"Chem_CY";"eastman",#N/A,FALSE,"Eastman";"betz",#N/A,FALSE,"Betz";"great lakes",#N/A,FALSE,"Great_Lakes";"hercules",#N/A,FALSE,"Hercules Chem Seg Data";"rohm",#N/A,FALSE,"Rohm";"union carbide",#N/A,FALSE,"Union";"witco",#N/A,FALSE,"Witco"}</definedName>
    <definedName name="as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fghujyki" localSheetId="4" hidden="1">{#N/A,#N/A,FALSE,"Pharm";#N/A,#N/A,FALSE,"WWCM"}</definedName>
    <definedName name="asfg" localSheetId="4" hidden="1">{#N/A,#N/A,FALSE,"Balance Sheet";#N/A,#N/A,FALSE,"Income Statement";#N/A,#N/A,FALSE,"Changes in Financial Position"}</definedName>
    <definedName name="asfklasdf"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fsdf" localSheetId="4" hidden="1">{#N/A,#N/A,FALSE,"COMP"}</definedName>
    <definedName name="asha" localSheetId="4" hidden="1">{#N/A,#N/A,FALSE,"COMP"}</definedName>
    <definedName name="askn" localSheetId="4" hidden="1">{#N/A,#N/A,FALSE,"COMP"}</definedName>
    <definedName name="asqq" localSheetId="4" hidden="1">{"Performance Details",#N/A,FALSE,"Current Yr";"Performance Details",#N/A,FALSE,"Budget";"Performance Details",#N/A,FALSE,"Prior Year"}</definedName>
    <definedName name="ASSA" localSheetId="4" hidden="1">{#N/A,#N/A,FALSE,"1";#N/A,#N/A,FALSE,"2";#N/A,#N/A,FALSE,"16 - 17";#N/A,#N/A,FALSE,"18 - 19";#N/A,#N/A,FALSE,"26";#N/A,#N/A,FALSE,"27";#N/A,#N/A,FALSE,"28"}</definedName>
    <definedName name="assdf" localSheetId="4" hidden="1">{#N/A,#N/A,FALSE,"Staffnos &amp; cost"}</definedName>
    <definedName name="aswe" localSheetId="4" hidden="1">{"TXO2N2_GP",#N/A,FALSE,"MTHLYGP";"TXH2_GP",#N/A,FALSE,"MTHLYGP";"LOUIS_GP",#N/A,FALSE,"MTHLYGP";"H2_GP",#N/A,FALSE,"MTHLYGP";"O2N2_GP",#N/A,FALSE,"MTHLYGP";"PACKAGE_GP",#N/A,FALSE,"MTHLYGP";"OTHER_GP",#N/A,FALSE,"MTHLYGP"}</definedName>
    <definedName name="atish"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VIR" localSheetId="4" hidden="1">{#N/A,#N/A,FALSE,"Staffnos &amp; cost"}</definedName>
    <definedName name="aw4wb" localSheetId="4" hidden="1">{#N/A,#N/A,FALSE,"ISBL"}</definedName>
    <definedName name="aw4wb_2" localSheetId="4" hidden="1">{#N/A,#N/A,FALSE,"ISBL"}</definedName>
    <definedName name="aw4wb_3" localSheetId="4" hidden="1">{#N/A,#N/A,FALSE,"ISBL"}</definedName>
    <definedName name="aw4wb_4" localSheetId="4" hidden="1">{#N/A,#N/A,FALSE,"ISBL"}</definedName>
    <definedName name="awe" localSheetId="4" hidden="1">{#N/A,#N/A,FALSE,"PGW"}</definedName>
    <definedName name="awe_2" localSheetId="4" hidden="1">{#N/A,#N/A,FALSE,"PGW"}</definedName>
    <definedName name="awe_3" localSheetId="4" hidden="1">{#N/A,#N/A,FALSE,"PGW"}</definedName>
    <definedName name="awe_4" localSheetId="4" hidden="1">{#N/A,#N/A,FALSE,"PGW"}</definedName>
    <definedName name="aweaw3" localSheetId="4" hidden="1">{#N/A,#N/A,FALSE,"OSBL"}</definedName>
    <definedName name="aweaw3_2" localSheetId="4" hidden="1">{#N/A,#N/A,FALSE,"OSBL"}</definedName>
    <definedName name="aweaw3_3" localSheetId="4" hidden="1">{#N/A,#N/A,FALSE,"OSBL"}</definedName>
    <definedName name="aweaw3_4" localSheetId="4" hidden="1">{#N/A,#N/A,FALSE,"OSBL"}</definedName>
    <definedName name="awetfa" localSheetId="4" hidden="1">{#N/A,#N/A,FALSE,"INCOME STATEMENT";#N/A,#N/A,FALSE,"DETAIL BALANCE SHEET";#N/A,#N/A,FALSE,"Summary Balance Sheet";#N/A,#N/A,FALSE,"EQUITY STATEMENT";#N/A,#N/A,FALSE,"AASINTERNAL"}</definedName>
    <definedName name="awq" localSheetId="4" hidden="1">{"YTD",#N/A,FALSE,"SUM"}</definedName>
    <definedName name="awqe" localSheetId="4" hidden="1">{"net assets",#N/A,FALSE,"summary";"asset turnover",#N/A,FALSE,"summary";"orona",#N/A,FALSE,"summary"}</definedName>
    <definedName name="awqx" localSheetId="4" hidden="1">{"Comp_of_Price_Effect",#N/A,FALSE,"QTRDPVAR"}</definedName>
    <definedName name="aws" localSheetId="4" hidden="1">{#N/A,#N/A,FALSE,"CMN_FE"}</definedName>
    <definedName name="AX" localSheetId="4" hidden="1">{#N/A,#N/A,FALSE,"Pharm";#N/A,#N/A,FALSE,"WWCM"}</definedName>
    <definedName name="AXCHUT" localSheetId="4" hidden="1">{#N/A,#N/A,FALSE,"Tabl. H1";#N/A,#N/A,FALSE,"Tabl. H2"}</definedName>
    <definedName name="Axl" localSheetId="4" hidden="1">{"'7'!$B$15:$D$32"}</definedName>
    <definedName name="axs" localSheetId="4" hidden="1">{"QTD",#N/A,FALSE,"SUM"}</definedName>
    <definedName name="AXXA" localSheetId="4" hidden="1">{#N/A,#N/A,FALSE,"CDA Plan"}</definedName>
    <definedName name="axz" localSheetId="4" hidden="1">{#N/A,"PURCHM",FALSE,"Business Analysis";#N/A,"SPADD",FALSE,"Business Analysis"}</definedName>
    <definedName name="ayman" localSheetId="4" hidden="1">{#N/A,#N/A,FALSE,"1";#N/A,#N/A,FALSE,"2";#N/A,#N/A,FALSE,"16 - 17";#N/A,#N/A,FALSE,"18 - 19";#N/A,#N/A,FALSE,"26";#N/A,#N/A,FALSE,"27";#N/A,#N/A,FALSE,"28"}</definedName>
    <definedName name="ayman1" localSheetId="4" hidden="1">{#N/A,#N/A,FALSE,"Pharm";#N/A,#N/A,FALSE,"WWCM"}</definedName>
    <definedName name="ayman2" localSheetId="4" hidden="1">{#N/A,#N/A,FALSE,"Pharm";#N/A,#N/A,FALSE,"WWCM"}</definedName>
    <definedName name="ayman7" localSheetId="4" hidden="1">{#N/A,#N/A,FALSE,"REPORT"}</definedName>
    <definedName name="ayman8" localSheetId="4" hidden="1">{#N/A,#N/A,FALSE,"REPORT"}</definedName>
    <definedName name="az" localSheetId="4" hidden="1">{#N/A,#N/A,FALSE,"Pharm";#N/A,#N/A,FALSE,"WWCM"}</definedName>
    <definedName name="azeazr" localSheetId="4" hidden="1">{#N/A,#N/A,FALSE,"Sales Graph";#N/A,#N/A,FALSE,"BUC Graph";#N/A,#N/A,FALSE,"P&amp;L - YTD"}</definedName>
    <definedName name="azerety" localSheetId="4" hidden="1">{#N/A,#N/A,FALSE,"Pharm";#N/A,#N/A,FALSE,"WWCM"}</definedName>
    <definedName name="AZXC" localSheetId="4" hidden="1">{#N/A,#N/A,FALSE,"Tabl. H1";#N/A,#N/A,FALSE,"Tabl. H2"}</definedName>
    <definedName name="azxkdsk"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B" localSheetId="4">{#N/A,#N/A,FALSE,"Title Page (3)";#N/A,#N/A,FALSE,"YTD - OTC";#N/A,#N/A,FALSE,"MTH - OTC"}</definedName>
    <definedName name="b2b" localSheetId="4">City&amp;" "&amp;State</definedName>
    <definedName name="bacd1101bd" localSheetId="4" hidden="1">{#N/A,"PURCHM",FALSE,"Business Analysis";#N/A,"SPADD",FALSE,"Business Analysis"}</definedName>
    <definedName name="bacd31" localSheetId="4" hidden="1">{#N/A,"PURCHM",FALSE,"Business Analysis";#N/A,"SPADD",FALSE,"Business Analysis"}</definedName>
    <definedName name="bacd31bd" localSheetId="4" hidden="1">{#N/A,"PURCHM",FALSE,"Business Analysis";#N/A,"SPADD",FALSE,"Business Analysis"}</definedName>
    <definedName name="Balance" localSheetId="4" hidden="1">{#N/A,#N/A,FALSE,"Balance Sheets";#N/A,#N/A,FALSE,"96 Conservative";#N/A,#N/A,FALSE,"96 Possible"}</definedName>
    <definedName name="Bank"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bank1"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BB" localSheetId="4" hidden="1">{#N/A,#N/A,FALSE,"Tabl. A1";#N/A,#N/A,FALSE,"Tabl. A1 b";#N/A,#N/A,FALSE,"Tabl. A2";#N/A,#N/A,FALSE,"Tabl. A2-1";#N/A,#N/A,FALSE,"Tabl. A2-2"}</definedName>
    <definedName name="bb.gb._98" localSheetId="4" hidden="1">{#N/A,#N/A,FALSE,"Umsatz 99";#N/A,#N/A,FALSE,"ER 99 "}</definedName>
    <definedName name="bb.gb._99" localSheetId="4" hidden="1">{#N/A,#N/A,FALSE,"Umsatz 99";#N/A,#N/A,FALSE,"ER 99 "}</definedName>
    <definedName name="bbb" localSheetId="4" hidden="1">{#N/A,#N/A,FALSE,"Pharm";#N/A,#N/A,FALSE,"WWCM"}</definedName>
    <definedName name="bbbb" localSheetId="4" hidden="1">{#N/A,#N/A,FALSE,"REPORT"}</definedName>
    <definedName name="BBBBA" localSheetId="4" hidden="1">{#N/A,#N/A,FALSE,"CDA Plan"}</definedName>
    <definedName name="bbbbb" localSheetId="4" hidden="1">{"consolidated",#N/A,FALSE,"Sheet1";"cms",#N/A,FALSE,"Sheet1";"fse",#N/A,FALSE,"Sheet1"}</definedName>
    <definedName name="BBBBBB" localSheetId="4" hidden="1">{#N/A,#N/A,FALSE,"REPORT"}</definedName>
    <definedName name="bbbbbbb" localSheetId="4" hidden="1">{"detail",#N/A,FALSE,"mfg";"summary",#N/A,FALSE,"mfg"}</definedName>
    <definedName name="BBBBBBBBB" localSheetId="4" hidden="1">{#N/A,#N/A,FALSE,"REPORT"}</definedName>
    <definedName name="bbbbbbbbbb" localSheetId="4" hidden="1">{"detail",#N/A,FALSE,"mfg";"summary",#N/A,FALSE,"mfg"}</definedName>
    <definedName name="bbbbbbbbbbbbb" localSheetId="4" hidden="1">{#N/A,#N/A,FALSE,"Pharm";#N/A,#N/A,FALSE,"WWCM"}</definedName>
    <definedName name="bbbbbbbbbbbbbbbbbbbb" localSheetId="4" hidden="1">{"detail",#N/A,FALSE,"mfg";"summary",#N/A,FALSE,"mfg"}</definedName>
    <definedName name="bbvcx" localSheetId="4" hidden="1">{#N/A,#N/A,FALSE,"Umsatz HM";#N/A,#N/A,FALSE,"ER HM";#N/A,#N/A,FALSE,"EA HM  (2)";#N/A,#N/A,FALSE,"EA HM ";#N/A,#N/A,FALSE,"EA HM  (4)";#N/A,#N/A,FALSE,"EA HM  (3)";#N/A,#N/A,FALSE,"KA HM  (2)";#N/A,#N/A,FALSE,"KA HM";#N/A,#N/A,FALSE,"KA HM  (3)";#N/A,#N/A,FALSE,"KA HM (4)"}</definedName>
    <definedName name="bc" localSheetId="4" hidden="1">{#N/A,#N/A,FALSE,"One Pager";#N/A,#N/A,FALSE,"Technical"}</definedName>
    <definedName name="bcd" localSheetId="4" hidden="1">{"detail",#N/A,FALSE,"mfg";"summary",#N/A,FALSE,"mfg"}</definedName>
    <definedName name="berry" localSheetId="4" hidden="1">{#N/A,#N/A,FALSE,"Taxblinc";#N/A,#N/A,FALSE,"Rsvsacls"}</definedName>
    <definedName name="bfg" localSheetId="4" hidden="1">{#N/A,#N/A,FALSE,"COMP"}</definedName>
    <definedName name="bg3sheet" localSheetId="4" hidden="1">{#N/A,#N/A,TRUE,"Summary - 1";#N/A,#N/A,TRUE,"Summary - 2";#N/A,#N/A,TRUE,"Group Analysis";#N/A,#N/A,TRUE,"FM Analysis";#N/A,#N/A,TRUE,"T&amp;M-Onsite";#N/A,#N/A,TRUE,"FP-Onsite";#N/A,#N/A,TRUE,"NB-Onsite";#N/A,#N/A,TRUE,"T&amp;M-Offshore";#N/A,#N/A,TRUE,"FP-Offshore";#N/A,#N/A,TRUE,"Appendix-A";#N/A,#N/A,TRUE,"Appendix-B"}</definedName>
    <definedName name="bgh" localSheetId="4" hidden="1">{"histincome",#N/A,FALSE,"hyfins";"closing balance",#N/A,FALSE,"hyfins"}</definedName>
    <definedName name="bgisheet" localSheetId="4" hidden="1">{#N/A,#N/A,TRUE,"Summary - 1";#N/A,#N/A,TRUE,"Summary - 2";#N/A,#N/A,TRUE,"Group Analysis";#N/A,#N/A,TRUE,"FM Analysis";#N/A,#N/A,TRUE,"T&amp;M-Onsite";#N/A,#N/A,TRUE,"FP-Onsite";#N/A,#N/A,TRUE,"NB-Onsite";#N/A,#N/A,TRUE,"T&amp;M-Offshore";#N/A,#N/A,TRUE,"FP-Offshore";#N/A,#N/A,TRUE,"Appendix-A";#N/A,#N/A,TRUE,"Appendix-B"}</definedName>
    <definedName name="BH" localSheetId="4" hidden="1">{#N/A,#N/A,FALSE,"CDA Plan"}</definedName>
    <definedName name="bha" localSheetId="4" hidden="1">{#N/A,#N/A,FALSE,"PGW"}</definedName>
    <definedName name="BHDF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UVAN" localSheetId="4" hidden="1">{"'subnets'!$A$1:$F$20"}</definedName>
    <definedName name="bil" localSheetId="4" hidden="1">{#N/A,#N/A,FALSE,"Tabl. D1";#N/A,#N/A,FALSE,"Tabl. D1 b";#N/A,#N/A,FALSE,"Tabl. D2";#N/A,#N/A,FALSE,"Tabl. D2 b";#N/A,#N/A,FALSE,"Tabl. D3";#N/A,#N/A,FALSE,"Tabl. D4";#N/A,#N/A,FALSE,"Tabl. D5"}</definedName>
    <definedName name="bimdk2" localSheetId="4" hidden="1">{#N/A,"PURADD",FALSE,"Business Analysis";#N/A,"PURSPP",FALSE,"Business Analysis";#N/A,"CTGIND",FALSE,"Business Analysis";#N/A,"PURCHM",FALSE,"Business Analysis";#N/A,"SPADD",FALSE,"Business Analysis";#N/A,"EPOXY",FALSE,"Business Analysis";#N/A,"PURPER",FALSE,"Business Analysis"}</definedName>
    <definedName name="bimw09" localSheetId="4" hidden="1">{#N/A,"PURADD",FALSE,"Business Analysis";#N/A,"PURSPP",FALSE,"Business Analysis";#N/A,"CTGIND",FALSE,"Business Analysis";#N/A,"PURCHM",FALSE,"Business Analysis";#N/A,"SPADD",FALSE,"Business Analysis";#N/A,"EPOXY",FALSE,"Business Analysis";#N/A,"PURPER",FALSE,"Business Analysis"}</definedName>
    <definedName name="bkls" localSheetId="4" hidden="1">{#N/A,"PURCHM",FALSE,"Business Analysis";#N/A,"SPADD",FALSE,"Business Analysis"}</definedName>
    <definedName name="blabla" localSheetId="4" hidden="1">{#N/A,#N/A,FALSE,"Tabl. H1";#N/A,#N/A,FALSE,"Tabl. H2"}</definedName>
    <definedName name="BM" localSheetId="4" hidden="1">{#N/A,#N/A,TRUE,"CIN-11";#N/A,#N/A,TRUE,"CIN-13";#N/A,#N/A,TRUE,"CIN-14";#N/A,#N/A,TRUE,"CIN-16";#N/A,#N/A,TRUE,"CIN-17";#N/A,#N/A,TRUE,"CIN-18";#N/A,#N/A,TRUE,"CIN Earnings To Fixed Charges";#N/A,#N/A,TRUE,"CIN Financial Ratios";#N/A,#N/A,TRUE,"CIN-IS";#N/A,#N/A,TRUE,"CIN-BS";#N/A,#N/A,TRUE,"CIN-CS";#N/A,#N/A,TRUE,"Invest In Unconsol Subs"}</definedName>
    <definedName name="bmbnmn" localSheetId="4" hidden="1">{#N/A,#N/A,FALSE,"KA CH  (2)"}</definedName>
    <definedName name="bn"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bn" localSheetId="4" hidden="1">{"oct_res_comm",#N/A,FALSE,"VarToBud"}</definedName>
    <definedName name="bnm" localSheetId="4" hidden="1">{#N/A,#N/A,FALSE,"REPORT"}</definedName>
    <definedName name="bnmk" localSheetId="4" hidden="1">{#N/A,#N/A,FALSE,"Produkte Erw.";#N/A,#N/A,FALSE,"Produkte Plan";#N/A,#N/A,FALSE,"Leistungen Erw.";#N/A,#N/A,FALSE,"Leistungen Plan";#N/A,#N/A,FALSE,"KA Allg.Kosten (2)";#N/A,#N/A,FALSE,"KA All.Kosten"}</definedName>
    <definedName name="bnmm" localSheetId="4" hidden="1">{"detail",#N/A,FALSE,"mfg";"summary",#N/A,FALSE,"mfg"}</definedName>
    <definedName name="bnnn" localSheetId="4" hidden="1">{"consolidated",#N/A,FALSE,"Sheet1";"cms",#N/A,FALSE,"Sheet1";"fse",#N/A,FALSE,"Sheet1"}</definedName>
    <definedName name="bnuyyg"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RRECO310310" localSheetId="4" hidden="1">{#N/A,#N/A,FALSE,"CDA Plan"}</definedName>
    <definedName name="both203" localSheetId="4" hidden="1">{"detail",#N/A,FALSE,"mfg";"summary",#N/A,FALSE,"mfg"}</definedName>
    <definedName name="both204" localSheetId="4" hidden="1">{"detail",#N/A,FALSE,"mfg";"summary",#N/A,FALSE,"mfg"}</definedName>
    <definedName name="both89n" localSheetId="4" hidden="1">{"detail",#N/A,FALSE,"mfg";"summary",#N/A,FALSE,"mfg"}</definedName>
    <definedName name="both8mj" localSheetId="4" hidden="1">{"detail",#N/A,FALSE,"mfg";"summary",#N/A,FALSE,"mfg"}</definedName>
    <definedName name="br" localSheetId="4" hidden="1">{"oct_res_comm",#N/A,FALSE,"VarToBud"}</definedName>
    <definedName name="Bryan" localSheetId="4" hidden="1">{#N/A,"PURADD",FALSE,"Business Analysis";#N/A,"PURSPP",FALSE,"Business Analysis";#N/A,"CTGIND",FALSE,"Business Analysis";#N/A,"PURCHM",FALSE,"Business Analysis";#N/A,"SPADD",FALSE,"Business Analysis";#N/A,"EPOXY",FALSE,"Business Analysis";#N/A,"PURPER",FALSE,"Business Analysis"}</definedName>
    <definedName name="bsdfdsmfbmdsbgm" localSheetId="4" hidden="1">{#N/A,#N/A,FALSE,"Aging Summary";#N/A,#N/A,FALSE,"Ratio Analysis";#N/A,#N/A,FALSE,"Test 120 Day Accts";#N/A,#N/A,FALSE,"Tickmarks"}</definedName>
    <definedName name="BSDPL" localSheetId="4" hidden="1">{#N/A,#N/A,FALSE,"CDA Plan"}</definedName>
    <definedName name="BSSWIP" localSheetId="4">IF(Loan_Amount*Interest_Rate*Loan_Years*Loan_Start&gt;0,1,0)</definedName>
    <definedName name="BSWIP" localSheetId="4">IF(Loan_Amount*Interest_Rate*Loan_Years*Loan_Start&gt;0,1,0)</definedName>
    <definedName name="bt" localSheetId="4" hidden="1">{"QTR_ACT",#N/A,FALSE,"PROP_PBIT_DEV_Q3";"QTR_BUD",#N/A,FALSE,"PROP_PBIT_DEV_Q3";"YTD_BUD",#N/A,FALSE,"PROP_PBIT_DEV_Q3";"YTD_ACT",#N/A,FALSE,"PROP_PBIT_DEV_Q3";"FY95 SNAP3",#N/A,FALSE,"PROP_PBIT_DEV_Q3";"FY95_BUD",#N/A,FALSE,"PROP_PBIT_DEV_Q3";"FY96_BUD",#N/A,FALSE,"PROP_PBIT_DEV_Q3"}</definedName>
    <definedName name="BTOI" localSheetId="4" hidden="1">{#N/A,#N/A,FALSE,"Tabl. FB300";#N/A,#N/A,FALSE,"Tabl. FB350";#N/A,#N/A,FALSE,"Tabl. FB400";#N/A,#N/A,FALSE,"Tabl. FB500";#N/A,#N/A,FALSE,"Tabl. FS090"}</definedName>
    <definedName name="bty" localSheetId="4" hidden="1">{#N/A,#N/A,FALSE,"PGW"}</definedName>
    <definedName name="bty_2" localSheetId="4" hidden="1">{#N/A,#N/A,FALSE,"PGW"}</definedName>
    <definedName name="bty_3" localSheetId="4" hidden="1">{#N/A,#N/A,FALSE,"PGW"}</definedName>
    <definedName name="bty_4" localSheetId="4" hidden="1">{#N/A,#N/A,FALSE,"PGW"}</definedName>
    <definedName name="BUC" localSheetId="4" hidden="1">{"Page 1",#N/A,TRUE,"Sheet1";"Page 2",#N/A,TRUE,"Sheet1"}</definedName>
    <definedName name="Budget2009May" localSheetId="4" hidden="1">{#N/A,#N/A,TRUE,"BALSCH";#N/A,#N/A,TRUE,"COMICRO";#N/A,#N/A,TRUE,"CHECKS";#N/A,#N/A,TRUE,"GLASS";#N/A,#N/A,TRUE,"DEPRE";#N/A,#N/A,TRUE,"A&amp;MCUR";#N/A,#N/A,TRUE,"AGEANAlysis";#N/A,#N/A,TRUE,"CHECKS"}</definedName>
    <definedName name="buibd"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ll" localSheetId="4" hidden="1">{"detail",#N/A,FALSE,"mfg";"summary",#N/A,FALSE,"mfg"}</definedName>
    <definedName name="bull2" localSheetId="4" hidden="1">{#N/A,"PURCHM",FALSE,"Business Analysis";#N/A,"SPADD",FALSE,"Business Analysis"}</definedName>
    <definedName name="bull3" localSheetId="4" hidden="1">{"detail",#N/A,FALSE,"mfg";"summary",#N/A,FALSE,"mfg"}</definedName>
    <definedName name="bull4" localSheetId="4" hidden="1">{#N/A,"PURCHM",FALSE,"Business Analysis";#N/A,"SPADD",FALSE,"Business Analysis"}</definedName>
    <definedName name="bull5" localSheetId="4" hidden="1">{#N/A,"PURADD",FALSE,"Business Analysis";#N/A,"PURSPP",FALSE,"Business Analysis";#N/A,"CTGIND",FALSE,"Business Analysis";#N/A,"PURCHM",FALSE,"Business Analysis";#N/A,"SPADD",FALSE,"Business Analysis";#N/A,"EPOXY",FALSE,"Business Analysis";#N/A,"PURPER",FALSE,"Business Analysis"}</definedName>
    <definedName name="busais"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v" localSheetId="4" hidden="1">{"net assets",#N/A,FALSE,"summary";"asset turnover",#N/A,FALSE,"summary";"orona",#N/A,FALSE,"summary"}</definedName>
    <definedName name="bvcx" localSheetId="4" hidden="1">{"apci",#N/A,FALSE,"Chem_CY";"eastman",#N/A,FALSE,"Eastman";"betz",#N/A,FALSE,"Betz";"great lakes",#N/A,FALSE,"Great_Lakes";"hercules",#N/A,FALSE,"Hercules Chem Seg Data";"rohm",#N/A,FALSE,"Rohm";"union carbide",#N/A,FALSE,"Union";"witco",#N/A,FALSE,"Witco"}</definedName>
    <definedName name="bwgh" localSheetId="4" hidden="1">{#N/A,#N/A,FALSE,"OSBL"}</definedName>
    <definedName name="bwgh_1" localSheetId="4" hidden="1">{#N/A,#N/A,FALSE,"OSBL"}</definedName>
    <definedName name="bwgh_2" localSheetId="4" hidden="1">{#N/A,#N/A,FALSE,"OSBL"}</definedName>
    <definedName name="bwgh_3" localSheetId="4" hidden="1">{#N/A,#N/A,FALSE,"OSBL"}</definedName>
    <definedName name="bwgh_4" localSheetId="4" hidden="1">{#N/A,#N/A,FALSE,"OSBL"}</definedName>
    <definedName name="bwrhrt" localSheetId="4" hidden="1">{#N/A,#N/A,FALSE,"PGW"}</definedName>
    <definedName name="bwrhrt_1" localSheetId="4" hidden="1">{#N/A,#N/A,FALSE,"PGW"}</definedName>
    <definedName name="bwrhrt_2" localSheetId="4" hidden="1">{#N/A,#N/A,FALSE,"PGW"}</definedName>
    <definedName name="bwrhrt_3" localSheetId="4" hidden="1">{#N/A,#N/A,FALSE,"PGW"}</definedName>
    <definedName name="bwrhrt_4" localSheetId="4" hidden="1">{#N/A,#N/A,FALSE,"PGW"}</definedName>
    <definedName name="bz" localSheetId="4" hidden="1">{"sales growth",#N/A,FALSE,"summary";"oper income",#N/A,FALSE,"summary";"oros rank",#N/A,FALSE,"summary";"net assets",#N/A,FALSE,"summary";"asset turnover",#N/A,FALSE,"summary";"orona",#N/A,FALSE,"summary"}</definedName>
    <definedName name="bzdg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dcd" localSheetId="4" hidden="1">{#N/A,#N/A,TRUE,"Front";#N/A,#N/A,TRUE,"Simple Letter";#N/A,#N/A,TRUE,"Inside";#N/A,#N/A,TRUE,"Contents";#N/A,#N/A,TRUE,"Basis";#N/A,#N/A,TRUE,"Inclusions";#N/A,#N/A,TRUE,"Exclusions";#N/A,#N/A,TRUE,"Areas";#N/A,#N/A,TRUE,"Summary";#N/A,#N/A,TRUE,"Detail"}</definedName>
    <definedName name="CAF_Switch" localSheetId="4" hidden="1">{#N/A,#N/A,FALSE,"Staffnos &amp; cost"}</definedName>
    <definedName name="calcutta" localSheetId="4" hidden="1">{#N/A,#N/A,FALSE,"CMN_FE"}</definedName>
    <definedName name="Canada" localSheetId="4" hidden="1">{#N/A,#N/A,FALSE,"PM8 table"}</definedName>
    <definedName name="Cap" localSheetId="4" hidden="1">{TRUE,TRUE,-1.25,-15.5,456.75,279.75,FALSE,FALSE,TRUE,TRUE,0,1,18,1,199,6,3,4,TRUE,TRUE,3,TRUE,1,TRUE,100,"Swvu.cash.","ACwvu.cash.",1,FALSE,FALSE,0.511811023622047,0.511811023622047,0.511811023622047,0.511811023622047,1,"","",FALSE,FALSE,FALSE,FALSE,1,#N/A,1,1,#DIV/0!,FALSE,"Rwvu.cash.",#N/A,FALSE,FALSE}</definedName>
    <definedName name="CapSpendingExcludesSanFu" localSheetId="4" hidden="1">{"detail",#N/A,FALSE,"mfg";"summary",#N/A,FALSE,"mfg"}</definedName>
    <definedName name="CAr" localSheetId="4" hidden="1">{#N/A,#N/A,FALSE,"COMICRO";#N/A,#N/A,FALSE,"BALSCH";#N/A,#N/A,FALSE,"GLASS";#N/A,#N/A,FALSE,"DEPRE";#N/A,#N/A,FALSE,"A&amp;MCUR";#N/A,#N/A,FALSE,"AGEANAlysis";#N/A,#N/A,FALSE,"CHECKS";#N/A,#N/A,FALSE,"CHECKS"}</definedName>
    <definedName name="CASCSAC" localSheetId="4" hidden="1">{#N/A,#N/A,FALSE,"TOWNSHIP"}</definedName>
    <definedName name="CASCSAC_1" localSheetId="4" hidden="1">{#N/A,#N/A,FALSE,"TOWNSHIP"}</definedName>
    <definedName name="CASCSAC_2" localSheetId="4" hidden="1">{#N/A,#N/A,FALSE,"TOWNSHIP"}</definedName>
    <definedName name="CASCSAC_3" localSheetId="4" hidden="1">{#N/A,#N/A,FALSE,"TOWNSHIP"}</definedName>
    <definedName name="CASCSAC_4" localSheetId="4" hidden="1">{#N/A,#N/A,FALSE,"TOWNSHIP"}</definedName>
    <definedName name="cat" localSheetId="4" hidden="1">{#N/A,#N/A,FALSE,"Taxblinc";#N/A,#N/A,FALSE,"Rsvsacls"}</definedName>
    <definedName name="cc" localSheetId="4" hidden="1">{#N/A,"PURADD",FALSE,"Business Analysis";#N/A,"PURSPP",FALSE,"Business Analysis";#N/A,"CTGIND",FALSE,"Business Analysis";#N/A,"PURCHM",FALSE,"Business Analysis";#N/A,"SPADD",FALSE,"Business Analysis";#N/A,"EPOXY",FALSE,"Business Analysis";#N/A,"PURPER",FALSE,"Business Analysis"}</definedName>
    <definedName name="ccc" localSheetId="4">City&amp;" "&amp;State</definedName>
    <definedName name="cccc" localSheetId="4" hidden="1">{#N/A,#N/A,FALSE,"Layout Cash Flow"}</definedName>
    <definedName name="ccccc" localSheetId="4" hidden="1">{#N/A,#N/A,FALSE,"Layout Cash Flow"}</definedName>
    <definedName name="ccf" localSheetId="4" hidden="1">{"YD PRS",#N/A,FALSE,"YTD"}</definedName>
    <definedName name="cdds" localSheetId="4" hidden="1">{"detail",#N/A,FALSE,"mfg";"summary",#N/A,FALSE,"mfg"}</definedName>
    <definedName name="CDE" localSheetId="4">{"Client Name or Project Name"}</definedName>
    <definedName name="cdf" localSheetId="4" hidden="1">{"sales growth",#N/A,FALSE,"summary";"oper income",#N/A,FALSE,"summary";"oros rank",#N/A,FALSE,"summary";"net assets",#N/A,FALSE,"summary";"asset turnover",#N/A,FALSE,"summary";"orona",#N/A,FALSE,"summary"}</definedName>
    <definedName name="cdg" localSheetId="4" hidden="1">{#N/A,#N/A,FALSE,"CDA Plan"}</definedName>
    <definedName name="cds" localSheetId="4" hidden="1">{"detail",#N/A,FALSE,"mfg";"summary",#N/A,FALSE,"mfg"}</definedName>
    <definedName name="Cdscds" localSheetId="4" hidden="1">{"'7'!$B$15:$D$32"}</definedName>
    <definedName name="cea" localSheetId="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line" localSheetId="4" hidden="1">{#N/A,#N/A,FALSE,"Tabl. G1";#N/A,#N/A,FALSE,"Tabl. G2"}</definedName>
    <definedName name="cew" localSheetId="4" hidden="1">{"ICD Details",#N/A,FALSE,"Current Yr";"ICD Details",#N/A,FALSE,"Budget";"ICD Details",#N/A,FALSE,"Prior Year"}</definedName>
    <definedName name="CF" localSheetId="4" hidden="1">{"TOTAL",#N/A,FALSE,"A";"FISCAL94",#N/A,FALSE,"A";"FISCAL95",#N/A,FALSE,"A";"FISCAL96",#N/A,FALSE,"A";"misc page",#N/A,FALSE,"A"}</definedName>
    <definedName name="cf_1" localSheetId="4">{#N/A,#N/A,TRUE,"Front";#N/A,#N/A,TRUE,"Simple Letter";#N/A,#N/A,TRUE,"Inside";#N/A,#N/A,TRUE,"Contents";#N/A,#N/A,TRUE,"Basis";#N/A,#N/A,TRUE,"Inclusions";#N/A,#N/A,TRUE,"Exclusions";#N/A,#N/A,TRUE,"Areas";#N/A,#N/A,TRUE,"Summary";#N/A,#N/A,TRUE,"Detail"}</definedName>
    <definedName name="cff" localSheetId="4" hidden="1">{#N/A,#N/A,TRUE,"Front";#N/A,#N/A,TRUE,"Simple Letter";#N/A,#N/A,TRUE,"Inside";#N/A,#N/A,TRUE,"Contents";#N/A,#N/A,TRUE,"Basis";#N/A,#N/A,TRUE,"Inclusions";#N/A,#N/A,TRUE,"Exclusions";#N/A,#N/A,TRUE,"Areas";#N/A,#N/A,TRUE,"Summary";#N/A,#N/A,TRUE,"Detail"}</definedName>
    <definedName name="cfg" localSheetId="4" hidden="1">{"Act_vs_Budget",#N/A,FALSE,"QTRDPVAR";"Act_vs_Prior_Year",#N/A,FALSE,"QTRDPVAR"}</definedName>
    <definedName name="cflo" localSheetId="4" hidden="1">{"CASH FLOW",#N/A,FALSE,"A"}</definedName>
    <definedName name="cfs" localSheetId="4" hidden="1">{"YD LOUISIANA",#N/A,FALSE,"YTD"}</definedName>
    <definedName name="CGF" localSheetId="4" hidden="1">{#N/A,#N/A,FALSE,"TOWNSHIP"}</definedName>
    <definedName name="CGFGFGF" localSheetId="4" hidden="1">{#N/A,#N/A,FALSE,"FREE"}</definedName>
    <definedName name="cghf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vg" localSheetId="4" hidden="1">{#N/A,#N/A,FALSE,"FREE"}</definedName>
    <definedName name="cgvg_2" localSheetId="4" hidden="1">{#N/A,#N/A,FALSE,"FREE"}</definedName>
    <definedName name="cgvg_3" localSheetId="4" hidden="1">{#N/A,#N/A,FALSE,"FREE"}</definedName>
    <definedName name="cgvg_4" localSheetId="4" hidden="1">{#N/A,#N/A,FALSE,"FREE"}</definedName>
    <definedName name="Cha" localSheetId="4" hidden="1">{#N/A,#N/A,FALSE,"gc (2)"}</definedName>
    <definedName name="Channels"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argers" localSheetId="4" hidden="1">{"PAGE 1",#N/A,FALSE,"ES-01-XX";"PAGE 2",#N/A,FALSE,"ES-01-XX"}</definedName>
    <definedName name="check" localSheetId="4">City&amp;" "&amp;State</definedName>
    <definedName name="CHHANELS"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ik" localSheetId="4" hidden="1">{#N/A,#N/A,FALSE,"Summary";#N/A,#N/A,FALSE,"1991";#N/A,#N/A,FALSE,"91 AMT";#N/A,#N/A,FALSE,"1992";#N/A,#N/A,FALSE,"92 AMT";#N/A,#N/A,FALSE,"1993";#N/A,#N/A,FALSE,"93 AMT"}</definedName>
    <definedName name="chosie" localSheetId="4" hidden="1">{#N/A,#N/A,FALSE,"Pharm";#N/A,#N/A,FALSE,"WWCM"}</definedName>
    <definedName name="cjghjhj" localSheetId="4" hidden="1">{#N/A,#N/A,FALSE,"Umsatz CH";#N/A,#N/A,FALSE,"ER CH";#N/A,#N/A,FALSE,"EA CH (2) ";#N/A,#N/A,FALSE,"EA CH";#N/A,#N/A,FALSE,"EA CH (3) ";#N/A,#N/A,FALSE,"EA CH (4)";#N/A,#N/A,FALSE,"KA CH";#N/A,#N/A,FALSE,"KA CH  (2)";#N/A,#N/A,FALSE,"KA CH  (3)";#N/A,#N/A,FALSE,"KA CH (4)"}</definedName>
    <definedName name="clairep" localSheetId="4" hidden="1">{"Page 1",#N/A,TRUE,"Sheet1";"Page 2",#N/A,TRUE,"Sheet1"}</definedName>
    <definedName name="cma" localSheetId="4" hidden="1">{#N/A,#N/A,FALSE,"CDA Plan"}</definedName>
    <definedName name="CMH"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OGstandard" localSheetId="4" hidden="1">{#N/A,#N/A,FALSE,"Pharm";#N/A,#N/A,FALSE,"WWCM"}</definedName>
    <definedName name="colton" localSheetId="4" hidden="1">{#N/A,#N/A,FALSE,"U_SUBS-97";#N/A,#N/A,FALSE,"S_BARIMP-97";#N/A,#N/A,FALSE,"S_SUBS20-97";#N/A,#N/A,FALSE,"S_VUAIMP-97";#N/A,#N/A,FALSE,"S_WTKDEV-97"}</definedName>
    <definedName name="com" localSheetId="4" hidden="1">{#N/A,#N/A,FALSE,"Aging Summary";#N/A,#N/A,FALSE,"Ratio Analysis";#N/A,#N/A,FALSE,"Test 120 Day Accts";#N/A,#N/A,FALSE,"Tickmarks"}</definedName>
    <definedName name="computation" localSheetId="4" hidden="1">{#N/A,#N/A,FALSE,"Aging Summary";#N/A,#N/A,FALSE,"Ratio Analysis";#N/A,#N/A,FALSE,"Test 120 Day Accts";#N/A,#N/A,FALSE,"Tickmarks"}</definedName>
    <definedName name="con" localSheetId="4" hidden="1">{#N/A,#N/A,TRUE,"Front";#N/A,#N/A,TRUE,"Simple Letter";#N/A,#N/A,TRUE,"Inside";#N/A,#N/A,TRUE,"Contents";#N/A,#N/A,TRUE,"Basis";#N/A,#N/A,TRUE,"Inclusions";#N/A,#N/A,TRUE,"Exclusions";#N/A,#N/A,TRUE,"Areas";#N/A,#N/A,TRUE,"Summary";#N/A,#N/A,TRUE,"Detail"}</definedName>
    <definedName name="con_1" localSheetId="4">{#N/A,#N/A,TRUE,"Front";#N/A,#N/A,TRUE,"Simple Letter";#N/A,#N/A,TRUE,"Inside";#N/A,#N/A,TRUE,"Contents";#N/A,#N/A,TRUE,"Basis";#N/A,#N/A,TRUE,"Inclusions";#N/A,#N/A,TRUE,"Exclusions";#N/A,#N/A,TRUE,"Areas";#N/A,#N/A,TRUE,"Summary";#N/A,#N/A,TRUE,"Detail"}</definedName>
    <definedName name="conf_balamended" localSheetId="4" hidden="1">{#N/A,#N/A,FALSE,"PMTABB";#N/A,#N/A,FALSE,"PMTABB"}</definedName>
    <definedName name="conf_balamended_1" localSheetId="4" hidden="1">{#N/A,#N/A,FALSE,"PMTABB";#N/A,#N/A,FALSE,"PMTABB"}</definedName>
    <definedName name="conf_balamended_2" localSheetId="4" hidden="1">{#N/A,#N/A,FALSE,"PMTABB";#N/A,#N/A,FALSE,"PMTABB"}</definedName>
    <definedName name="conf_balamended_3" localSheetId="4" hidden="1">{#N/A,#N/A,FALSE,"PMTABB";#N/A,#N/A,FALSE,"PMTABB"}</definedName>
    <definedName name="conf_balamended_4" localSheetId="4" hidden="1">{#N/A,#N/A,FALSE,"PMTABB";#N/A,#N/A,FALSE,"PMTABB"}</definedName>
    <definedName name="Consolidated" localSheetId="4" hidden="1">{"P1",#N/A,TRUE,"P1";"P2",#N/A,TRUE,"P2"}</definedName>
    <definedName name="ConsolidatedGBP" localSheetId="4" hidden="1">{#N/A,#N/A,TRUE,"CIN-11";#N/A,#N/A,TRUE,"CIN-13";#N/A,#N/A,TRUE,"CIN-14";#N/A,#N/A,TRUE,"CIN-16";#N/A,#N/A,TRUE,"CIN-17";#N/A,#N/A,TRUE,"CIN-18";#N/A,#N/A,TRUE,"CIN Earnings To Fixed Charges";#N/A,#N/A,TRUE,"CIN Financial Ratios";#N/A,#N/A,TRUE,"CIN-IS";#N/A,#N/A,TRUE,"CIN-BS";#N/A,#N/A,TRUE,"CIN-CS";#N/A,#N/A,TRUE,"Invest In Unconsol Subs"}</definedName>
    <definedName name="control1" localSheetId="4" hidden="1">{#N/A,#N/A,TRUE,"Summary - 1";#N/A,#N/A,TRUE,"Summary - 2";#N/A,#N/A,TRUE,"Group Analysis";#N/A,#N/A,TRUE,"FM Analysis";#N/A,#N/A,TRUE,"T&amp;M-Onsite";#N/A,#N/A,TRUE,"FP-Onsite";#N/A,#N/A,TRUE,"NB-Onsite";#N/A,#N/A,TRUE,"T&amp;M-Offshore";#N/A,#N/A,TRUE,"FP-Offshore";#N/A,#N/A,TRUE,"Appendix-A";#N/A,#N/A,TRUE,"Appendix-B"}</definedName>
    <definedName name="COPY" localSheetId="4" hidden="1">{#N/A,#N/A,FALSE,"Pharm";#N/A,#N/A,FALSE,"WWCM"}</definedName>
    <definedName name="copy_of_wrnaging.trednanalysis" localSheetId="4" hidden="1">{#N/A,#N/A,FALSE,"Aging Summary";#N/A,#N/A,FALSE,"Ratio Analysis";#N/A,#N/A,FALSE,"Test 120 Day Accts";#N/A,#N/A,FALSE,"Tickmarks"}</definedName>
    <definedName name="copy1" localSheetId="4" hidden="1">{#N/A,#N/A,FALSE,"Pharm";#N/A,#N/A,FALSE,"WWCM"}</definedName>
    <definedName name="copy1.wata" localSheetId="4" hidden="1">{#N/A,#N/A,FALSE,"Aging Summary";#N/A,#N/A,FALSE,"Ratio Analysis";#N/A,#N/A,FALSE,"Test 120 Day Accts";#N/A,#N/A,FALSE,"Tickmarks"}</definedName>
    <definedName name="copy11.wata" localSheetId="4" hidden="1">{#N/A,#N/A,FALSE,"Aging Summary";#N/A,#N/A,FALSE,"Ratio Analysis";#N/A,#N/A,FALSE,"Test 120 Day Accts";#N/A,#N/A,FALSE,"Tickmarks"}</definedName>
    <definedName name="COPY2" localSheetId="4" hidden="1">{#N/A,#N/A,FALSE,"Pharm";#N/A,#N/A,FALSE,"WWCM"}</definedName>
    <definedName name="copy2.wata" localSheetId="4" hidden="1">{#N/A,#N/A,FALSE,"Aging Summary";#N/A,#N/A,FALSE,"Ratio Analysis";#N/A,#N/A,FALSE,"Test 120 Day Accts";#N/A,#N/A,FALSE,"Tickmarks"}</definedName>
    <definedName name="copy233" localSheetId="4" hidden="1">{#N/A,#N/A,FALSE,"Pharm";#N/A,#N/A,FALSE,"WWCM"}</definedName>
    <definedName name="copy33" localSheetId="4" hidden="1">{#N/A,#N/A,FALSE,"Pharm";#N/A,#N/A,FALSE,"WWCM"}</definedName>
    <definedName name="copy38" localSheetId="4" hidden="1">{#N/A,#N/A,FALSE,"Pharm";#N/A,#N/A,FALSE,"WWCM"}</definedName>
    <definedName name="copy3wata" localSheetId="4" hidden="1">{#N/A,#N/A,FALSE,"Aging Summary";#N/A,#N/A,FALSE,"Ratio Analysis";#N/A,#N/A,FALSE,"Test 120 Day Accts";#N/A,#N/A,FALSE,"Tickmarks"}</definedName>
    <definedName name="copyeleven.wata" localSheetId="4" hidden="1">{#N/A,#N/A,FALSE,"Aging Summary";#N/A,#N/A,FALSE,"Ratio Analysis";#N/A,#N/A,FALSE,"Test 120 Day Accts";#N/A,#N/A,FALSE,"Tickmarks"}</definedName>
    <definedName name="copyone.wata" localSheetId="4" hidden="1">{#N/A,#N/A,FALSE,"Aging Summary";#N/A,#N/A,FALSE,"Ratio Analysis";#N/A,#N/A,FALSE,"Test 120 Day Accts";#N/A,#N/A,FALSE,"Tickmarks"}</definedName>
    <definedName name="copythreewata" localSheetId="4" hidden="1">{#N/A,#N/A,FALSE,"Aging Summary";#N/A,#N/A,FALSE,"Ratio Analysis";#N/A,#N/A,FALSE,"Test 120 Day Accts";#N/A,#N/A,FALSE,"Tickmarks"}</definedName>
    <definedName name="copytwo.wata" localSheetId="4" hidden="1">{#N/A,#N/A,FALSE,"Aging Summary";#N/A,#N/A,FALSE,"Ratio Analysis";#N/A,#N/A,FALSE,"Test 120 Day Accts";#N/A,#N/A,FALSE,"Tickmarks"}</definedName>
    <definedName name="copywrn.ag.ta" localSheetId="4" hidden="1">{#N/A,#N/A,FALSE,"Aging Summary";#N/A,#N/A,FALSE,"Ratio Analysis";#N/A,#N/A,FALSE,"Test 120 Day Accts";#N/A,#N/A,FALSE,"Tickmarks"}</definedName>
    <definedName name="copywrta" localSheetId="4" hidden="1">{#N/A,#N/A,FALSE,"Aging Summary";#N/A,#N/A,FALSE,"Ratio Analysis";#N/A,#N/A,FALSE,"Test 120 Day Accts";#N/A,#N/A,FALSE,"Tickmarks"}</definedName>
    <definedName name="copywrta1" localSheetId="4" hidden="1">{#N/A,#N/A,FALSE,"Aging Summary";#N/A,#N/A,FALSE,"Ratio Analysis";#N/A,#N/A,FALSE,"Test 120 Day Accts";#N/A,#N/A,FALSE,"Tickmarks"}</definedName>
    <definedName name="cover_1" localSheetId="4" hidden="1">{#N/A,#N/A,FALSE,"Staffnos &amp; cost"}</definedName>
    <definedName name="cs" localSheetId="4" hidden="1">{"AS REP",#N/A,FALSE,"EEFSNAP2";"PROP",#N/A,FALSE,"EEFSNAP2";"RISKS",#N/A,FALSE,"EEFSNAP2";"VIEW ALL",#N/A,FALSE,"EEFSNAP2"}</definedName>
    <definedName name="csa" localSheetId="4" hidden="1">{"TXO2N2_GP",#N/A,FALSE,"MTHLYGP";"TXH2_GP",#N/A,FALSE,"MTHLYGP";"LOUIS_GP",#N/A,FALSE,"MTHLYGP";"H2_GP",#N/A,FALSE,"MTHLYGP";"O2N2_GP",#N/A,FALSE,"MTHLYGP";"PACKAGE_GP",#N/A,FALSE,"MTHLYGP";"OTHER_GP",#N/A,FALSE,"MTHLYGP"}</definedName>
    <definedName name="Customers" localSheetId="4" hidden="1">{#N/A,#N/A,FALSE,"1996";#N/A,#N/A,FALSE,"1995";#N/A,#N/A,FALSE,"1994"}</definedName>
    <definedName name="cv_2" localSheetId="4" hidden="1">{#N/A,#N/A,FALSE,"EW"}</definedName>
    <definedName name="cv_3" localSheetId="4" hidden="1">{#N/A,#N/A,FALSE,"EW"}</definedName>
    <definedName name="cv_4" localSheetId="4" hidden="1">{#N/A,#N/A,FALSE,"EW"}</definedName>
    <definedName name="cvb" localSheetId="4" hidden="1">{"detail",#N/A,FALSE,"mfg";"summary",#N/A,FALSE,"mfg"}</definedName>
    <definedName name="cvbhj" localSheetId="4" hidden="1">{#N/A,#N/A,FALSE,"CDA Plan"}</definedName>
    <definedName name="cvbn" localSheetId="4" hidden="1">{"vol data",#N/A,FALSE,"Datasheet";"vol graph",#N/A,FALSE,"Volume";"price data",#N/A,FALSE,"Datasheet";"price graph",#N/A,FALSE,"Price";"dp data",#N/A,FALSE,"Datasheet";"dp graph",#N/A,FALSE,"DirectProfit"}</definedName>
    <definedName name="cvc" localSheetId="4" hidden="1">{#N/A,#N/A,FALSE,"KA CH  (2)"}</definedName>
    <definedName name="cvcv" localSheetId="4" hidden="1">{"AS REP",#N/A,FALSE,"EEFSNAP2";"PROP",#N/A,FALSE,"EEFSNAP2";"RISKS",#N/A,FALSE,"EEFSNAP2";"VIEW ALL",#N/A,FALSE,"EEFSNAP2"}</definedName>
    <definedName name="cvh" localSheetId="4" hidden="1">{#N/A,#N/A,FALSE,"TOWNSHIP"}</definedName>
    <definedName name="cvh_2" localSheetId="4" hidden="1">{#N/A,#N/A,FALSE,"TOWNSHIP"}</definedName>
    <definedName name="cvh_3" localSheetId="4" hidden="1">{#N/A,#N/A,FALSE,"TOWNSHIP"}</definedName>
    <definedName name="cvh_4" localSheetId="4" hidden="1">{#N/A,#N/A,FALSE,"TOWNSHIP"}</definedName>
    <definedName name="cvn" localSheetId="4">{#N/A,#N/A,FALSE,"PMTABB";#N/A,#N/A,FALSE,"PMTABB"}</definedName>
    <definedName name="cvn_2" localSheetId="4">{#N/A,#N/A,FALSE,"PMTABB";#N/A,#N/A,FALSE,"PMTABB"}</definedName>
    <definedName name="cvn_3" localSheetId="4">{#N/A,#N/A,FALSE,"PMTABB";#N/A,#N/A,FALSE,"PMTABB"}</definedName>
    <definedName name="cvn_4" localSheetId="4">{#N/A,#N/A,FALSE,"PMTABB";#N/A,#N/A,FALSE,"PMTABB"}</definedName>
    <definedName name="cvv" localSheetId="4">City&amp;" "&amp;State</definedName>
    <definedName name="cv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W" localSheetId="4" hidden="1">{#N/A,#N/A,FALSE,"COMP"}</definedName>
    <definedName name="CX" localSheetId="4" hidden="1">{#N/A,#N/A,FALSE,"PGW"}</definedName>
    <definedName name="CX_1" localSheetId="4" hidden="1">{#N/A,#N/A,FALSE,"PGW"}</definedName>
    <definedName name="CX_2" localSheetId="4" hidden="1">{#N/A,#N/A,FALSE,"PGW"}</definedName>
    <definedName name="CX_3" localSheetId="4" hidden="1">{#N/A,#N/A,FALSE,"PGW"}</definedName>
    <definedName name="CX_4" localSheetId="4" hidden="1">{#N/A,#N/A,FALSE,"PGW"}</definedName>
    <definedName name="cxv"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z" localSheetId="4" hidden="1">{"pro_view",#N/A,FALSE,"EEFSNAP2";"rep_view",#N/A,FALSE,"EEFSNAP2"}</definedName>
    <definedName name="czf" localSheetId="4" hidden="1">{"AS REP",#N/A,FALSE,"EEFSNAP2";"PROP",#N/A,FALSE,"EEFSNAP2";"RISKS",#N/A,FALSE,"EEFSNAP2";"VIEW ALL",#N/A,FALSE,"EEFSNAP2"}</definedName>
    <definedName name="czxz" localSheetId="4">City&amp;" "&amp;State</definedName>
    <definedName name="D" localSheetId="4">{#N/A,#N/A,FALSE,"Pharm";#N/A,#N/A,FALSE,"WWCM"}</definedName>
    <definedName name="D_1" localSheetId="4" hidden="1">{#N/A,#N/A,FALSE,"PMTABB";#N/A,#N/A,FALSE,"PMTABB"}</definedName>
    <definedName name="d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a" localSheetId="4" hidden="1">{"Page 1",#N/A,TRUE,"Sheet1";"Page 2",#N/A,TRUE,"Sheet1"}</definedName>
    <definedName name="DAD" localSheetId="4" hidden="1">{#N/A,#N/A,FALSE,"REPORT"}</definedName>
    <definedName name="DADF" localSheetId="4" hidden="1">{#N/A,#N/A,FALSE,"REPORT"}</definedName>
    <definedName name="daf" localSheetId="4" hidden="1">{#N/A,#N/A,FALSE,"1";#N/A,#N/A,FALSE,"2";#N/A,#N/A,FALSE,"16 - 17";#N/A,#N/A,FALSE,"18 - 19";#N/A,#N/A,FALSE,"26";#N/A,#N/A,FALSE,"27";#N/A,#N/A,FALSE,"28"}</definedName>
    <definedName name="dakfkjafgkeaj" localSheetId="4" hidden="1">{#N/A,#N/A,FALSE,"Pharm";#N/A,#N/A,FALSE,"WWCM"}</definedName>
    <definedName name="damn" localSheetId="4" hidden="1">{#N/A,#N/A,FALSE,"Aging Summary";#N/A,#N/A,FALSE,"Ratio Analysis";#N/A,#N/A,FALSE,"Test 120 Day Accts";#N/A,#N/A,FALSE,"Tickmarks"}</definedName>
    <definedName name="dan" localSheetId="4" hidden="1">{#N/A,#N/A,FALSE,"Aging Summary";#N/A,#N/A,FALSE,"Ratio Analysis";#N/A,#N/A,FALSE,"Test 120 Day Accts";#N/A,#N/A,FALSE,"Tickmarks"}</definedName>
    <definedName name="das" localSheetId="4" hidden="1">{#N/A,#N/A,FALSE,"Produkte Erw.";#N/A,#N/A,FALSE,"Produkte Plan";#N/A,#N/A,FALSE,"Leistungen Erw.";#N/A,#N/A,FALSE,"Leistungen Plan";#N/A,#N/A,FALSE,"KA Allg.Kosten (2)";#N/A,#N/A,FALSE,"KA All.Kosten"}</definedName>
    <definedName name="Dat"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_summary"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2" localSheetId="4" hidden="1">{"'Demand Units'!$Z$2:$AF$53"}</definedName>
    <definedName name="dbed" localSheetId="4" hidden="1">{"histincome",#N/A,FALSE,"hyfins";"closing balance",#N/A,FALSE,"hyfins"}</definedName>
    <definedName name="dc" localSheetId="4" hidden="1">{#N/A,#N/A,FALSE,"Status of Projects";#N/A,#N/A,FALSE,"CEA-TEC";#N/A,#N/A,FALSE,"U-Constr.";#N/A,#N/A,FALSE,"summary";#N/A,#N/A,FALSE,"PPP-3 yrs"}</definedName>
    <definedName name="DCF_"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I" localSheetId="4" hidden="1">{#N/A,#N/A,TRUE,"Front";#N/A,#N/A,TRUE,"Simple Letter";#N/A,#N/A,TRUE,"Inside";#N/A,#N/A,TRUE,"Contents";#N/A,#N/A,TRUE,"Basis";#N/A,#N/A,TRUE,"Inclusions";#N/A,#N/A,TRUE,"Exclusions";#N/A,#N/A,TRUE,"Areas";#N/A,#N/A,TRUE,"Summary";#N/A,#N/A,TRUE,"Detail"}</definedName>
    <definedName name="DCI_1" localSheetId="4">{#N/A,#N/A,TRUE,"Front";#N/A,#N/A,TRUE,"Simple Letter";#N/A,#N/A,TRUE,"Inside";#N/A,#N/A,TRUE,"Contents";#N/A,#N/A,TRUE,"Basis";#N/A,#N/A,TRUE,"Inclusions";#N/A,#N/A,TRUE,"Exclusions";#N/A,#N/A,TRUE,"Areas";#N/A,#N/A,TRUE,"Summary";#N/A,#N/A,TRUE,"Detail"}</definedName>
    <definedName name="dd" localSheetId="4" hidden="1">{#N/A,"Good",TRUE,"Sheet1";#N/A,"Normal",TRUE,"Sheet1";#N/A,"Bad",TRUE,"Sheet1"}</definedName>
    <definedName name="ddaadf" localSheetId="4" hidden="1">{"Fiesta Facer Page",#N/A,FALSE,"Q_C_S";"Fiesta Main Page",#N/A,FALSE,"V_L";"Fiesta 95BP Struct",#N/A,FALSE,"StructBP";"Fiesta Post 95BP Struct",#N/A,FALSE,"AdjStructBP"}</definedName>
    <definedName name="ddd" localSheetId="4" hidden="1">{#N/A,#N/A,FALSE,"Pharm";#N/A,#N/A,FALSE,"WWCM"}</definedName>
    <definedName name="dddaz" localSheetId="4" hidden="1">{#N/A,#N/A,FALSE,"Pharm";#N/A,#N/A,FALSE,"WWCM"}</definedName>
    <definedName name="ddddd" localSheetId="4">{#N/A,#N/A,FALSE,"Pharm";#N/A,#N/A,FALSE,"WWCM"}</definedName>
    <definedName name="dddddd" localSheetId="4" hidden="1">{#N/A,#N/A,FALSE,"Pharm";#N/A,#N/A,FALSE,"WWCM"}</definedName>
    <definedName name="ddddddd" localSheetId="4" hidden="1">{"detail",#N/A,FALSE,"mfg";"summary",#N/A,FALSE,"mfg"}</definedName>
    <definedName name="DDDDDDDD" localSheetId="4" hidden="1">{#N/A,#N/A,FALSE,"CDA Plan"}</definedName>
    <definedName name="ddde"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ee" localSheetId="4" hidden="1">{#N/A,#N/A,FALSE,"Finanzbedarsrechnung"}</definedName>
    <definedName name="ddf" localSheetId="4" hidden="1">{#N/A,#N/A,FALSE,"KA CH  (2)"}</definedName>
    <definedName name="ddfded"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ddsdd"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DDSDS" localSheetId="4" hidden="1">{#N/A,#N/A,FALSE,"PMTABB";#N/A,#N/A,FALSE,"PMTABB"}</definedName>
    <definedName name="ddx" localSheetId="4" hidden="1">{"YD LAPO2",#N/A,FALSE,"YTD";"YD LPH2",#N/A,FALSE,"YTD";"YD LOUISIANA",#N/A,FALSE,"YTD";"YD GENERALH2",#N/A,FALSE,"YTD";"YD PRS",#N/A,FALSE,"YTD";"YD PACKAGE",#N/A,FALSE,"YTD";"YD OTHER",#N/A,FALSE,"YTD"}</definedName>
    <definedName name="DE"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ar" localSheetId="4" hidden="1">{#N/A,#N/A,TRUE,"Front";#N/A,#N/A,TRUE,"Simple Letter";#N/A,#N/A,TRUE,"Inside";#N/A,#N/A,TRUE,"Contents";#N/A,#N/A,TRUE,"Basis";#N/A,#N/A,TRUE,"Inclusions";#N/A,#N/A,TRUE,"Exclusions";#N/A,#N/A,TRUE,"Areas";#N/A,#N/A,TRUE,"Summary";#N/A,#N/A,TRUE,"Detail"}</definedName>
    <definedName name="Debtr" localSheetId="4" hidden="1">{#N/A,#N/A,FALSE,"FREE"}</definedName>
    <definedName name="dede" localSheetId="4" hidden="1">{#N/A,#N/A,FALSE,"Pharm";#N/A,#N/A,FALSE,"WWCM"}</definedName>
    <definedName name="DEDED" localSheetId="4" hidden="1">{#N/A,#N/A,FALSE,"Card";#N/A,#N/A,FALSE,"Prav";#N/A,#N/A,FALSE,"Irbe";#N/A,#N/A,FALSE,"Plavix";#N/A,#N/A,FALSE,"Capt";#N/A,#N/A,FALSE,"Fosi"}</definedName>
    <definedName name="DEDEDZE" localSheetId="4" hidden="1">{#N/A,#N/A,FALSE,"Pharm";#N/A,#N/A,FALSE,"WWCM"}</definedName>
    <definedName name="DEDZD" localSheetId="4" hidden="1">{#N/A,#N/A,FALSE,"Pharm";#N/A,#N/A,FALSE,"WWCM"}</definedName>
    <definedName name="DEE" localSheetId="4" hidden="1">{#N/A,#N/A,FALSE,"Pharm";#N/A,#N/A,FALSE,"WWCM"}</definedName>
    <definedName name="def" localSheetId="4" hidden="1">{#N/A,#N/A,FALSE,"Tabl. A1";#N/A,#N/A,FALSE,"Tabl. A1 b";#N/A,#N/A,FALSE,"Tabl. A2";#N/A,#N/A,FALSE,"Tabl. A2-1";#N/A,#N/A,FALSE,"Tabl. A2-2"}</definedName>
    <definedName name="deoi" localSheetId="4" hidden="1">{"mgmt forecast",#N/A,FALSE,"Mgmt Forecast";"dcf table",#N/A,FALSE,"Mgmt Forecast";"sensitivity",#N/A,FALSE,"Mgmt Forecast";"table inputs",#N/A,FALSE,"Mgmt Forecast";"calculations",#N/A,FALSE,"Mgmt Forecast"}</definedName>
    <definedName name="Depereciation" localSheetId="4" hidden="1">{"'Furniture&amp; O.E'!$A$4:$D$27"}</definedName>
    <definedName name="Depre" localSheetId="4" hidden="1">{#N/A,#N/A,FALSE,"COMP"}</definedName>
    <definedName name="des" localSheetId="4" hidden="1">{"QTR_ACT",#N/A,FALSE,"PROP_PBIT_DEV_Q3";"QTR_BUD",#N/A,FALSE,"PROP_PBIT_DEV_Q3";"YTD_BUD",#N/A,FALSE,"PROP_PBIT_DEV_Q3";"YTD_ACT",#N/A,FALSE,"PROP_PBIT_DEV_Q3";"FY95 SNAP3",#N/A,FALSE,"PROP_PBIT_DEV_Q3";"FY95_BUD",#N/A,FALSE,"PROP_PBIT_DEV_Q3";"FY96_BUD",#N/A,FALSE,"PROP_PBIT_DEV_Q3"}</definedName>
    <definedName name="dev"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c" localSheetId="4" hidden="1">{"TOTTEXAS",#N/A,FALSE,"CM"}</definedName>
    <definedName name="DEZLFEZKLHF" localSheetId="4" hidden="1">{#N/A,#N/A,FALSE,"Pharm";#N/A,#N/A,FALSE,"WWCM"}</definedName>
    <definedName name="dfadhf" localSheetId="4">{"Project Oasis"}</definedName>
    <definedName name="dfd" localSheetId="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DFDAF" localSheetId="4" hidden="1">{#N/A,#N/A,FALSE,"CDA Plan"}</definedName>
    <definedName name="dfdasdf" localSheetId="4" hidden="1">{#N/A,#N/A,FALSE,"Budegeted vs Actual"}</definedName>
    <definedName name="DFDD" localSheetId="4" hidden="1">{#N/A,#N/A,FALSE,"REPORT"}</definedName>
    <definedName name="dfdfd" localSheetId="4" hidden="1">{"SUMMARY",#N/A,FALSE,"Summary"}</definedName>
    <definedName name="dfea" localSheetId="4">{"Client Name or Project Name"}</definedName>
    <definedName name="dff" localSheetId="4">ROW()-fffvb</definedName>
    <definedName name="dfg" localSheetId="4" hidden="1">{#N/A,#N/A,FALSE,"gc (2)"}</definedName>
    <definedName name="dfgdfg" localSheetId="4" hidden="1">{#N/A,#N/A,FALSE,"PMTABB";#N/A,#N/A,FALSE,"PMTABB"}</definedName>
    <definedName name="dfgfd" localSheetId="4" hidden="1">{#N/A,#N/A,FALSE,"COMP"}</definedName>
    <definedName name="dfgfdg" localSheetId="4" hidden="1">{#N/A,#N/A,FALSE,"Umsatz CH";#N/A,#N/A,FALSE,"ER CH";#N/A,#N/A,FALSE,"EA CH (2) ";#N/A,#N/A,FALSE,"EA CH";#N/A,#N/A,FALSE,"EA CH (3) ";#N/A,#N/A,FALSE,"EA CH (4)";#N/A,#N/A,FALSE,"KA CH";#N/A,#N/A,FALSE,"KA CH  (2)";#N/A,#N/A,FALSE,"KA CH  (3)";#N/A,#N/A,FALSE,"KA CH (4)"}</definedName>
    <definedName name="dfgfdgf" localSheetId="4" hidden="1">{#N/A,#N/A,FALSE,"Produkte Erw.";#N/A,#N/A,FALSE,"Produkte Plan";#N/A,#N/A,FALSE,"Leistungen Erw.";#N/A,#N/A,FALSE,"Leistungen Plan";#N/A,#N/A,FALSE,"KA Allg.Kosten (2)";#N/A,#N/A,FALSE,"KA All.Kosten"}</definedName>
    <definedName name="dfgfg" localSheetId="4" hidden="1">{#N/A,#N/A,FALSE,"Umsatz HM";#N/A,#N/A,FALSE,"ER HM";#N/A,#N/A,FALSE,"EA HM  (2)";#N/A,#N/A,FALSE,"EA HM ";#N/A,#N/A,FALSE,"EA HM  (4)";#N/A,#N/A,FALSE,"EA HM  (3)";#N/A,#N/A,FALSE,"KA HM  (2)";#N/A,#N/A,FALSE,"KA HM";#N/A,#N/A,FALSE,"KA HM  (3)";#N/A,#N/A,FALSE,"KA HM (4)"}</definedName>
    <definedName name="dfgg" localSheetId="4" hidden="1">{#N/A,#N/A,FALSE,"gc (2)"}</definedName>
    <definedName name="dfggfhhj" localSheetId="4" hidden="1">{#N/A,#N/A,FALSE,"Umsatz CH";#N/A,#N/A,FALSE,"ER CH";#N/A,#N/A,FALSE,"EA CH (2) ";#N/A,#N/A,FALSE,"EA CH";#N/A,#N/A,FALSE,"EA CH (3) ";#N/A,#N/A,FALSE,"EA CH (4)";#N/A,#N/A,FALSE,"KA CH";#N/A,#N/A,FALSE,"KA CH  (2)";#N/A,#N/A,FALSE,"KA CH  (3)";#N/A,#N/A,FALSE,"KA CH (4)"}</definedName>
    <definedName name="dfgghhjj" localSheetId="4" hidden="1">{#N/A,#N/A,FALSE,"COMP"}</definedName>
    <definedName name="dfgh" localSheetId="4" hidden="1">{#N/A,"PURCHM",FALSE,"Business Analysis";#N/A,"SPADD",FALSE,"Business Analysis"}</definedName>
    <definedName name="dfghdfhdg" localSheetId="4" hidden="1">{#N/A,#N/A,FALSE,"Umsatz 99";#N/A,#N/A,FALSE,"ER 99 "}</definedName>
    <definedName name="dfghfd" localSheetId="4" hidden="1">{#N/A,#N/A,FALSE,"PMTABB";#N/A,#N/A,FALSE,"PMTABB"}</definedName>
    <definedName name="dfghfd_2" localSheetId="4" hidden="1">{#N/A,#N/A,FALSE,"PMTABB";#N/A,#N/A,FALSE,"PMTABB"}</definedName>
    <definedName name="dfghfd_3" localSheetId="4" hidden="1">{#N/A,#N/A,FALSE,"PMTABB";#N/A,#N/A,FALSE,"PMTABB"}</definedName>
    <definedName name="dfghfd_4" localSheetId="4" hidden="1">{#N/A,#N/A,FALSE,"PMTABB";#N/A,#N/A,FALSE,"PMTABB"}</definedName>
    <definedName name="DFHGH" localSheetId="4" hidden="1">{#N/A,#N/A,FALSE,"PGW"}</definedName>
    <definedName name="DFHGH_1" localSheetId="4" hidden="1">{#N/A,#N/A,FALSE,"PGW"}</definedName>
    <definedName name="DFHGH_2" localSheetId="4" hidden="1">{#N/A,#N/A,FALSE,"PGW"}</definedName>
    <definedName name="DFHGH_3" localSheetId="4" hidden="1">{#N/A,#N/A,FALSE,"PGW"}</definedName>
    <definedName name="DFHGH_4" localSheetId="4" hidden="1">{#N/A,#N/A,FALSE,"PGW"}</definedName>
    <definedName name="dfk"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localSheetId="4" hidden="1">{#N/A,#N/A,FALSE,"Pharm";#N/A,#N/A,FALSE,"WWCM"}</definedName>
    <definedName name="dfre" localSheetId="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 localSheetId="4" hidden="1">{#N/A,#N/A,FALSE,"Standing data"}</definedName>
    <definedName name="dfsdfdsf" localSheetId="4" hidden="1">{#N/A,#N/A,FALSE,"Umsatz CH";#N/A,#N/A,FALSE,"ER CH";#N/A,#N/A,FALSE,"EA CH (2) ";#N/A,#N/A,FALSE,"EA CH";#N/A,#N/A,FALSE,"EA CH (3) ";#N/A,#N/A,FALSE,"EA CH (4)";#N/A,#N/A,FALSE,"KA CH";#N/A,#N/A,FALSE,"KA CH  (2)";#N/A,#N/A,FALSE,"KA CH  (3)";#N/A,#N/A,FALSE,"KA CH (4)"}</definedName>
    <definedName name="dfsdfsdfs" localSheetId="4" hidden="1">{#N/A,#N/A,FALSE,"TOWNSHIP"}</definedName>
    <definedName name="dfsdfsfsdfsf" localSheetId="4" hidden="1">{#N/A,#N/A,FALSE,"PMTABB";#N/A,#N/A,FALSE,"PMTABB"}</definedName>
    <definedName name="dfsga" localSheetId="4" hidden="1">{#N/A,#N/A,FALSE,"INCOME STATEMENT";#N/A,#N/A,FALSE,"DETAIL BALANCE SHEET";#N/A,#N/A,FALSE,"Summary Balance Sheet";#N/A,#N/A,FALSE,"EQUITY STATEMENT";#N/A,#N/A,FALSE,"AASINTERNAL"}</definedName>
    <definedName name="dgdg" localSheetId="4" hidden="1">{#N/A,#N/A,FALSE,"Calc";#N/A,#N/A,FALSE,"Sensitivity";#N/A,#N/A,FALSE,"LT Earn.Dil.";#N/A,#N/A,FALSE,"Dil. AVP"}</definedName>
    <definedName name="dgdgss" localSheetId="4" hidden="1">{"consolidated",#N/A,FALSE,"Sheet1";"cms",#N/A,FALSE,"Sheet1";"fse",#N/A,FALSE,"Sheet1"}</definedName>
    <definedName name="dghgh" localSheetId="4" hidden="1">{#N/A,#N/A,FALSE,"Produkte Erw.";#N/A,#N/A,FALSE,"Produkte Plan";#N/A,#N/A,FALSE,"Leistungen Erw.";#N/A,#N/A,FALSE,"Leistungen Plan";#N/A,#N/A,FALSE,"KA Allg.Kosten (2)";#N/A,#N/A,FALSE,"KA All.Kosten"}</definedName>
    <definedName name="dhadfkjadfsghdn" localSheetId="4">Scheduled_Payment+Extra_Payment</definedName>
    <definedName name="dimac" localSheetId="4" hidden="1">{#N/A,#N/A,FALSE,"Tabl. D1";#N/A,#N/A,FALSE,"Tabl. D1 b";#N/A,#N/A,FALSE,"Tabl. D2";#N/A,#N/A,FALSE,"Tabl. D2 b";#N/A,#N/A,FALSE,"Tabl. D3";#N/A,#N/A,FALSE,"Tabl. D4";#N/A,#N/A,FALSE,"Tabl. D5"}</definedName>
    <definedName name="dir" localSheetId="4" hidden="1">{#N/A,#N/A,FALSE,"COMP"}</definedName>
    <definedName name="divyadivya" localSheetId="4" hidden="1">{"Fiesta Facer Page",#N/A,FALSE,"Q_C_S";"Fiesta Main Page",#N/A,FALSE,"V_L";"Fiesta 95BP Struct",#N/A,FALSE,"StructBP";"Fiesta Post 95BP Struct",#N/A,FALSE,"AdjStructBP"}</definedName>
    <definedName name="divyamalik" localSheetId="4" hidden="1">{#N/A,#N/A,FALSE,"Umsatz 99";#N/A,#N/A,FALSE,"ER 99 "}</definedName>
    <definedName name="djd"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ksljd" localSheetId="4" hidden="1">{#N/A,#N/A,FALSE,"Other";#N/A,#N/A,FALSE,"Ace";#N/A,#N/A,FALSE,"Derm"}</definedName>
    <definedName name="dkfjdk"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localSheetId="4" hidden="1">{#N/A,#N/A,FALSE,"Pharm";#N/A,#N/A,FALSE,"WWCM"}</definedName>
    <definedName name="dkj"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malik" localSheetId="4" hidden="1">{#N/A,#N/A,FALSE,"Umsatz 99";#N/A,#N/A,FALSE,"ER 99 "}</definedName>
    <definedName name="dog" localSheetId="4" hidden="1">{#N/A,#N/A,FALSE,"91NOLCB";#N/A,#N/A,FALSE,"92NOLCB";#N/A,#N/A,FALSE,"93NOLCB"}</definedName>
    <definedName name="dq" localSheetId="4" hidden="1">{"Comp_of_Price_Effect",#N/A,FALSE,"QTRDPVAR"}</definedName>
    <definedName name="DRes" localSheetId="4">{"'April 24'!$J$11"}</definedName>
    <definedName name="drw" localSheetId="4" hidden="1">{"PAGE 1",#N/A,FALSE,"COS";"PAGE 2",#N/A,FALSE,"COS";"PAGE 3",#N/A,FALSE,"COS"}</definedName>
    <definedName name="ds" localSheetId="4" hidden="1">{"mgmt forecast",#N/A,FALSE,"Mgmt Forecast";"dcf table",#N/A,FALSE,"Mgmt Forecast";"sensitivity",#N/A,FALSE,"Mgmt Forecast";"table inputs",#N/A,FALSE,"Mgmt Forecast";"calculations",#N/A,FALSE,"Mgmt Forecast"}</definedName>
    <definedName name="dsd" localSheetId="4" hidden="1">{#N/A,#N/A,FALSE,"PMTABB";#N/A,#N/A,FALSE,"PMTABB"}</definedName>
    <definedName name="dsdafgsa" localSheetId="4" hidden="1">{"Performance Details",#N/A,FALSE,"Current Yr";"Performance Details",#N/A,FALSE,"Budget";"Performance Details",#N/A,FALSE,"Prior Year"}</definedName>
    <definedName name="dsdfdafd" localSheetId="4" hidden="1">{#N/A,#N/A,FALSE,"Tabl. A1";#N/A,#N/A,FALSE,"Tabl. A1 b";#N/A,#N/A,FALSE,"Tabl. A2";#N/A,#N/A,FALSE,"Tabl. A2-1";#N/A,#N/A,FALSE,"Tabl. A2-2"}</definedName>
    <definedName name="dsds" localSheetId="4" hidden="1">{#N/A,#N/A,FALSE,"CMN_FE"}</definedName>
    <definedName name="dsdsadasdas" localSheetId="4">City&amp;" "&amp;State</definedName>
    <definedName name="dse" localSheetId="4" hidden="1">{"YTDACT",#N/A,FALSE,"YTD Cum";"YTDBUD",#N/A,FALSE,"YTD Cum";"YTDPRIOR",#N/A,FALSE,"YTD Cum"}</definedName>
    <definedName name="dsf" localSheetId="4" hidden="1">{#N/A,#N/A,FALSE,"CDA Plan"}</definedName>
    <definedName name="dsfgdfklhglkdflkglkjh" localSheetId="4" hidden="1">{#N/A,#N/A,FALSE,"PMTABB";#N/A,#N/A,FALSE,"PMTABB"}</definedName>
    <definedName name="dsfghj" localSheetId="4" hidden="1">{"'7'!$B$15:$D$32"}</definedName>
    <definedName name="dsfghjk" localSheetId="4" hidden="1">{"'7'!$B$15:$D$32"}</definedName>
    <definedName name="dsfsd" localSheetId="4">{#N/A,#N/A,FALSE,"Title Page (2)";#N/A,#N/A,FALSE,"YTD - Pharm";#N/A,#N/A,FALSE,"MTH - Pharm"}</definedName>
    <definedName name="dsfsf" localSheetId="4" hidden="1">{"detail",#N/A,FALSE,"mfg";"summary",#N/A,FALSE,"mfg"}</definedName>
    <definedName name="dsfsffss" localSheetId="4" hidden="1">{#N/A,#N/A,FALSE,"Pharm";#N/A,#N/A,FALSE,"WWCM"}</definedName>
    <definedName name="dsg" localSheetId="4" hidden="1">{#N/A,#N/A,FALSE,"Calc";#N/A,#N/A,FALSE,"Sensitivity";#N/A,#N/A,FALSE,"LT Earn.Dil.";#N/A,#N/A,FALSE,"Dil. AVP"}</definedName>
    <definedName name="dsgfhgfv" localSheetId="4" hidden="1">{#N/A,"PURADD",FALSE,"Business Analysis";#N/A,"PURSPP",FALSE,"Business Analysis";#N/A,"CTGIND",FALSE,"Business Analysis";#N/A,"PURCHM",FALSE,"Business Analysis";#N/A,"SPADD",FALSE,"Business Analysis";#N/A,"EPOXY",FALSE,"Business Analysis";#N/A,"PURPER",FALSE,"Business Analysis"}</definedName>
    <definedName name="dss" localSheetId="4" hidden="1">{#N/A,#N/A,FALSE,"ACQ_GRAPHS";#N/A,#N/A,FALSE,"T_1 GRAPHS";#N/A,#N/A,FALSE,"T_2 GRAPHS";#N/A,#N/A,FALSE,"COMB_GRAPHS"}</definedName>
    <definedName name="dsufiuef" localSheetId="4" hidden="1">{#N/A,#N/A,FALSE,"Layout GuV"}</definedName>
    <definedName name="dswe"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ty" localSheetId="4" hidden="1">{#N/A,#N/A,TRUE,"Front";#N/A,#N/A,TRUE,"Simple Letter";#N/A,#N/A,TRUE,"Inside";#N/A,#N/A,TRUE,"Contents";#N/A,#N/A,TRUE,"Basis";#N/A,#N/A,TRUE,"Inclusions";#N/A,#N/A,TRUE,"Exclusions";#N/A,#N/A,TRUE,"Areas";#N/A,#N/A,TRUE,"Summary";#N/A,#N/A,TRUE,"Detail"}</definedName>
    <definedName name="Dummy" localSheetId="4" hidden="1">{"'Sheet1'!$A$4386:$N$4591"}</definedName>
    <definedName name="dvndouv" localSheetId="4" hidden="1">{#N/A,#N/A,FALSE,"Calc";#N/A,#N/A,FALSE,"Sensitivity";#N/A,#N/A,FALSE,"LT Earn.Dil.";#N/A,#N/A,FALSE,"Dil. AVP"}</definedName>
    <definedName name="DWAX"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x" localSheetId="4" hidden="1">{"Comp_of_Price_Effect",#N/A,FALSE,"QTRDPVAR"}</definedName>
    <definedName name="DXX" localSheetId="4" hidden="1">{#N/A,#N/A,FALSE,"Staffnos &amp; cost"}</definedName>
    <definedName name="dydydyddy" localSheetId="4" hidden="1">{"Page 1",#N/A,TRUE,"Sheet1";"Page 2",#N/A,TRUE,"Sheet1"}</definedName>
    <definedName name="e3232rd" localSheetId="4" hidden="1">{#N/A,#N/A,FALSE,"CMN_FE"}</definedName>
    <definedName name="ed"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DD" localSheetId="4" hidden="1">{#N/A,#N/A,FALSE,"PMTABB";#N/A,#N/A,FALSE,"PMTABB"}</definedName>
    <definedName name="eddgf"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ee" localSheetId="4" hidden="1">{#N/A,#N/A,FALSE,"KA CH  (2)"}</definedName>
    <definedName name="EEE" localSheetId="4" hidden="1">{#N/A,#N/A,FALSE,"Pharm";#N/A,#N/A,FALSE,"WWCM"}</definedName>
    <definedName name="eee.lll" localSheetId="4" hidden="1">{#N/A,#N/A,FALSE,"PMW Gruppe 99_98";#N/A,#N/A,FALSE,"PMW KG 98_99";#N/A,#N/A,FALSE,"PMW Inc. 99_98";#N/A,#N/A,FALSE,"PMW VTECH 99_98";#N/A,#N/A,FALSE,"PMW Thail. 99_98";#N/A,#N/A,FALSE,"PMW Canada 99_98";#N/A,#N/A,FALSE,"Währungsabw. 99_98"}</definedName>
    <definedName name="eeeee" localSheetId="4" hidden="1">{#N/A,#N/A,FALSE,"Pharm";#N/A,#N/A,FALSE,"WWCM"}</definedName>
    <definedName name="eeeeee" localSheetId="4" hidden="1">{"YD OTHER",#N/A,FALSE,"YTD"}</definedName>
    <definedName name="eeeeeee" localSheetId="4" hidden="1">{"YD LPH2",#N/A,FALSE,"YTD"}</definedName>
    <definedName name="eeeeeeee" localSheetId="4" hidden="1">{"Pg1",#N/A,FALSE,"OpExYTDvsBud";"Pg2",#N/A,FALSE,"OpExYTDvsBud"}</definedName>
    <definedName name="eeeeeeeee" localSheetId="4" hidden="1">{"Pa1",#N/A,FALSE,"OpExYTDvsPY";"Pa2",#N/A,FALSE,"OpExYTDvsPY"}</definedName>
    <definedName name="eeeeeeeeee"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localSheetId="4" hidden="1">{#N/A,"PURCHM",FALSE,"Business Analysis";#N/A,"SPADD",FALSE,"Business Analysis"}</definedName>
    <definedName name="eeeeeeeeeeee" localSheetId="4" hidden="1">{"pro_view",#N/A,FALSE,"EEFSNAP2";"rep_view",#N/A,FALSE,"EEFSNAP2"}</definedName>
    <definedName name="eeeeeeeeeeeeeee" localSheetId="4" hidden="1">{#N/A,"PURADD",FALSE,"Business Analysis";#N/A,"PURSPP",FALSE,"Business Analysis";#N/A,"CTGIND",FALSE,"Business Analysis";#N/A,"PURCHM",FALSE,"Business Analysis";#N/A,"SPADD",FALSE,"Business Analysis";#N/A,"EPOXY",FALSE,"Business Analysis";#N/A,"PURPER",FALSE,"Business Analysis"}</definedName>
    <definedName name="eert" localSheetId="4" hidden="1">{#N/A,#N/A,FALSE,"Umsatz EO BP";#N/A,#N/A,FALSE,"Umsatz EO OP";#N/A,#N/A,FALSE,"ER EO BP";#N/A,#N/A,FALSE,"ER EO OP";#N/A,#N/A,FALSE,"EA EO (2)";#N/A,#N/A,FALSE,"EA EO";#N/A,#N/A,FALSE,"EA EO (3)";#N/A,#N/A,FALSE,"EA EO (4)";#N/A,#N/A,FALSE,"KA EO  (2)";#N/A,#N/A,FALSE,"KA EO";#N/A,#N/A,FALSE,"KA EO  (3)";#N/A,#N/A,FALSE,"KA EO (4)"}</definedName>
    <definedName name="efb" localSheetId="4" hidden="1">{"'7'!$B$15:$D$32"}</definedName>
    <definedName name="EFD" localSheetId="4" hidden="1">{#N/A,#N/A,FALSE,"COMP"}</definedName>
    <definedName name="efiuef" localSheetId="4" hidden="1">{"consolidated",#N/A,FALSE,"Sheet1";"cms",#N/A,FALSE,"Sheet1";"fse",#N/A,FALSE,"Sheet1"}</definedName>
    <definedName name="efwefwefasfafqwfe" localSheetId="4" hidden="1">{#N/A,#N/A,FALSE,"PMTABB";#N/A,#N/A,FALSE,"PMTABB"}</definedName>
    <definedName name="ei"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ngs" localSheetId="4" hidden="1">{#N/A,"PURCHM",FALSE,"Business Analysis";#N/A,"SPADD",FALSE,"Business Analysis"}</definedName>
    <definedName name="ejkfgkjze" localSheetId="4" hidden="1">{#N/A,#N/A,FALSE,"Pharm";#N/A,#N/A,FALSE,"WWCM"}</definedName>
    <definedName name="Electricity"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iminmation" localSheetId="4" hidden="1">{#N/A,#N/A,TRUE,"Staffnos &amp; cost"}</definedName>
    <definedName name="emily" localSheetId="4" hidden="1">{#N/A,#N/A,FALSE,"Calc";#N/A,#N/A,FALSE,"Sensitivity";#N/A,#N/A,FALSE,"LT Earn.Dil.";#N/A,#N/A,FALSE,"Dil. AVP"}</definedName>
    <definedName name="eoflsru" localSheetId="4" hidden="1">{"QTD",#N/A,FALSE,"SUM"}</definedName>
    <definedName name="eoil" localSheetId="4" hidden="1">{"detail",#N/A,FALSE,"mfg";"summary",#N/A,FALSE,"mfg"}</definedName>
    <definedName name="EOLsupplyLC" localSheetId="4" hidden="1">{#N/A,#N/A,FALSE,"PMTABB";#N/A,#N/A,FALSE,"PMTABB"}</definedName>
    <definedName name="EOLsupplyLC_2" localSheetId="4" hidden="1">{#N/A,#N/A,FALSE,"PMTABB";#N/A,#N/A,FALSE,"PMTABB"}</definedName>
    <definedName name="EOLsupplyLC_3" localSheetId="4" hidden="1">{#N/A,#N/A,FALSE,"PMTABB";#N/A,#N/A,FALSE,"PMTABB"}</definedName>
    <definedName name="EOLsupplyLC_4" localSheetId="4" hidden="1">{#N/A,#N/A,FALSE,"PMTABB";#N/A,#N/A,FALSE,"PMTABB"}</definedName>
    <definedName name="eqhfiue" localSheetId="4" hidden="1">{#N/A,#N/A,FALSE,"Calc";#N/A,#N/A,FALSE,"Sensitivity";#N/A,#N/A,FALSE,"LT Earn.Dil.";#N/A,#N/A,FALSE,"Dil. AVP"}</definedName>
    <definedName name="er" localSheetId="4" hidden="1">{#N/A,#N/A,FALSE,"Umsatz 99";#N/A,#N/A,FALSE,"ER 99 "}</definedName>
    <definedName name="erd" localSheetId="4" hidden="1">{#N/A,#N/A,FALSE,"Pharm";#N/A,#N/A,FALSE,"WWCM"}</definedName>
    <definedName name="ere" localSheetId="4">City&amp;" "&amp;State</definedName>
    <definedName name="ereew" localSheetId="4">City&amp;" "&amp;State</definedName>
    <definedName name="erere" localSheetId="4" hidden="1">{"Geo - Detail Detail",#N/A,FALSE,"Geo View";"Geo - Detail",#N/A,FALSE,"Geo View";"Dept - Detail Detail",#N/A,FALSE,"Dept View";"Dept - Detail",#N/A,FALSE,"Dept View"}</definedName>
    <definedName name="ererer" localSheetId="4" hidden="1">{"Geo - Detail Detail",#N/A,FALSE,"Geo View";"Geo - Detail",#N/A,FALSE,"Geo View";"Dept - Detail Detail",#N/A,FALSE,"Dept View";"Dept - Detail",#N/A,FALSE,"Dept View"}</definedName>
    <definedName name="ererere" localSheetId="4" hidden="1">{"Geo - Detail Detail",#N/A,FALSE,"Geo View";"Geo - Detail",#N/A,FALSE,"Geo View";"Dept - Detail Detail",#N/A,FALSE,"Dept View";"Dept - Detail",#N/A,FALSE,"Dept View"}</definedName>
    <definedName name="ererererer" localSheetId="4" hidden="1">{#N/A,#N/A,FALSE,"Staffnos &amp; cost"}</definedName>
    <definedName name="ERERWE"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f" localSheetId="4" hidden="1">{"QTR_ACT",#N/A,FALSE,"PROP_PBIT_DEV_Q3";"QTR_BUD",#N/A,FALSE,"PROP_PBIT_DEV_Q3";"YTD_BUD",#N/A,FALSE,"PROP_PBIT_DEV_Q3";"YTD_ACT",#N/A,FALSE,"PROP_PBIT_DEV_Q3";"FY95 SNAP3",#N/A,FALSE,"PROP_PBIT_DEV_Q3";"FY95_BUD",#N/A,FALSE,"PROP_PBIT_DEV_Q3";"FY96_BUD",#N/A,FALSE,"PROP_PBIT_DEV_Q3"}</definedName>
    <definedName name="err" localSheetId="4">{#N/A,#N/A,FALSE,"Sales Graph";#N/A,#N/A,FALSE,"BUC Graph";#N/A,#N/A,FALSE,"P&amp;L - YTD"}</definedName>
    <definedName name="err.g." localSheetId="4" hidden="1">{#N/A,#N/A,FALSE,"KA CH  (2)"}</definedName>
    <definedName name="erre" localSheetId="4">City&amp;" "&amp;State</definedName>
    <definedName name="errr.g" localSheetId="4" hidden="1">{#N/A,#N/A,FALSE,"KA CH  (2)"}</definedName>
    <definedName name="erryeyetyuu" localSheetId="4" hidden="1">{#N/A,#N/A,FALSE,"Pharm";#N/A,#N/A,FALSE,"WWCM"}</definedName>
    <definedName name="ert" localSheetId="4" hidden="1">{#N/A,#N/A,FALSE,"Umsatz 99";#N/A,#N/A,FALSE,"ER 99 "}</definedName>
    <definedName name="ERTFDSG" localSheetId="4" hidden="1">{#N/A,#N/A,FALSE,"PGW"}</definedName>
    <definedName name="ERTFDSG_1" localSheetId="4" hidden="1">{#N/A,#N/A,FALSE,"PGW"}</definedName>
    <definedName name="ERTFDSG_2" localSheetId="4" hidden="1">{#N/A,#N/A,FALSE,"PGW"}</definedName>
    <definedName name="ERTFDSG_3" localSheetId="4" hidden="1">{#N/A,#N/A,FALSE,"PGW"}</definedName>
    <definedName name="ERTFDSG_4" localSheetId="4" hidden="1">{#N/A,#N/A,FALSE,"PGW"}</definedName>
    <definedName name="ertr" localSheetId="4" hidden="1">{#N/A,#N/A,FALSE,"Umsatz 99";#N/A,#N/A,FALSE,"ER 99 "}</definedName>
    <definedName name="erty" localSheetId="4" hidden="1">{"'7'!$B$15:$D$32"}</definedName>
    <definedName name="ervnj" localSheetId="4" hidden="1">{"YTDACT",#N/A,FALSE,"YTD Cum";"YTDBUD",#N/A,FALSE,"YTD Cum";"YTDPRIOR",#N/A,FALSE,"YTD Cum"}</definedName>
    <definedName name="erw"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ryer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4" hidden="1">{"QTR_ACT",#N/A,FALSE,"PROP_PBIT_DEV_Q3";"QTR_BUD",#N/A,FALSE,"PROP_PBIT_DEV_Q3";"YTD_BUD",#N/A,FALSE,"PROP_PBIT_DEV_Q3";"YTD_ACT",#N/A,FALSE,"PROP_PBIT_DEV_Q3";"FY95 SNAP3",#N/A,FALSE,"PROP_PBIT_DEV_Q3";"FY95_BUD",#N/A,FALSE,"PROP_PBIT_DEV_Q3";"FY96_BUD",#N/A,FALSE,"PROP_PBIT_DEV_Q3"}</definedName>
    <definedName name="ESSAI" localSheetId="4" hidden="1">{#N/A,#N/A,FALSE,"Pharm";#N/A,#N/A,FALSE,"WWCM"}</definedName>
    <definedName name="Essar" localSheetId="4" hidden="1">{#N/A,#N/A,FALSE,"PMTABB";#N/A,#N/A,FALSE,"PMTABB"}</definedName>
    <definedName name="et"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et" localSheetId="4" hidden="1">{#N/A,#N/A,FALSE,"Calc";#N/A,#N/A,FALSE,"Sensitivity";#N/A,#N/A,FALSE,"LT Earn.Dil.";#N/A,#N/A,FALSE,"Dil. AVP"}</definedName>
    <definedName name="eu" localSheetId="4" hidden="1">{"apci",#N/A,FALSE,"Chem_CY";"eastman",#N/A,FALSE,"Eastman";"betz",#N/A,FALSE,"Betz";"great lakes",#N/A,FALSE,"Great_Lakes";"hercules",#N/A,FALSE,"Hercules Chem Seg Data";"rohm",#N/A,FALSE,"Rohm";"union carbide",#N/A,FALSE,"Union";"witco",#N/A,FALSE,"Witco"}</definedName>
    <definedName name="evwuhiue" localSheetId="4" hidden="1">{"histincome",#N/A,FALSE,"hyfins";"closing balance",#N/A,FALSE,"hyfins"}</definedName>
    <definedName name="ew" localSheetId="4" hidden="1">{#N/A,"PURADD",FALSE,"Business Analysis";#N/A,"PURSPP",FALSE,"Business Analysis";#N/A,"CTGIND",FALSE,"Business Analysis";#N/A,"PURCHM",FALSE,"Business Analysis";#N/A,"SPADD",FALSE,"Business Analysis";#N/A,"EPOXY",FALSE,"Business Analysis";#N/A,"PURPER",FALSE,"Business Analysis"}</definedName>
    <definedName name="ewa" localSheetId="4" hidden="1">{"'7'!$B$15:$D$32"}</definedName>
    <definedName name="ewaw" localSheetId="4" hidden="1">{"Act_vs_Budget",#N/A,FALSE,"QTRDPVAR";"Act_vs_Prior_Year",#N/A,FALSE,"QTRDPVAR"}</definedName>
    <definedName name="ewdwqd" localSheetId="4" hidden="1">{#N/A,"PURCHM",FALSE,"Business Analysis";#N/A,"SPADD",FALSE,"Business Analysis"}</definedName>
    <definedName name="ewq" localSheetId="4" hidden="1">{"oct_res_comm",#N/A,FALSE,"VarToBud"}</definedName>
    <definedName name="ewr" localSheetId="4" hidden="1">{0,0,0,0,0,0,0,0,0,0,0,0,0,0,0,0,0,0,0,0,0,0,0,0,0,0,0,0,0,0,0,0,0,0,0,0,0,0,0,0,0,0,0,0,0,#VALUE!,0,0,0,0,108.003967338242}</definedName>
    <definedName name="ewv" localSheetId="4" hidden="1">{"Page1",#N/A,FALSE,"OpExJanvsBud";"Page2",#N/A,FALSE,"OpExJanvsBud"}</definedName>
    <definedName name="ewwe" localSheetId="4" hidden="1">{#N/A,#N/A,FALSE,"REPORT"}</definedName>
    <definedName name="excl_FX" localSheetId="4" hidden="1">{"SCM_Detail",#N/A,FALSE,"SCM";"SCM_Top",#N/A,FALSE,"SCM"}</definedName>
    <definedName name="eydsr" localSheetId="4" hidden="1">{#N/A,"PURCHM",FALSE,"Business Analysis";#N/A,"SPADD",FALSE,"Business Analysis"}</definedName>
    <definedName name="f" localSheetId="4" hidden="1">{"QTR_ACT",#N/A,FALSE,"PROP_PBIT_DEV_Q3";"QTR_BUD",#N/A,FALSE,"PROP_PBIT_DEV_Q3";"YTD_BUD",#N/A,FALSE,"PROP_PBIT_DEV_Q3";"YTD_ACT",#N/A,FALSE,"PROP_PBIT_DEV_Q3";"FY95 SNAP3",#N/A,FALSE,"PROP_PBIT_DEV_Q3";"FY95_BUD",#N/A,FALSE,"PROP_PBIT_DEV_Q3";"FY96_BUD",#N/A,FALSE,"PROP_PBIT_DEV_Q3"}</definedName>
    <definedName name="f.ffff" localSheetId="4" hidden="1">{#N/A,#N/A,FALSE,"Umsatz 99";#N/A,#N/A,FALSE,"ER 99 "}</definedName>
    <definedName name="fa" localSheetId="4" hidden="1">{"vol data",#N/A,FALSE,"Datasheet";"vol graph",#N/A,FALSE,"Volume";"price data",#N/A,FALSE,"Datasheet";"price graph",#N/A,FALSE,"Price";"dp data",#N/A,FALSE,"Datasheet";"dp graph",#N/A,FALSE,"DirectProfit"}</definedName>
    <definedName name="FA_SCHEDULE" localSheetId="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faa"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ce" localSheetId="4">City&amp;" "&amp;State</definedName>
    <definedName name="fasdfsdfsegds" localSheetId="4" hidden="1">{#N/A,#N/A,FALSE,"PMTABB";#N/A,#N/A,FALSE,"PMTABB"}</definedName>
    <definedName name="FC" localSheetId="4" hidden="1">{#N/A,#N/A,FALSE,"gc (2)"}</definedName>
    <definedName name="fcd"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uk" localSheetId="4" hidden="1">{"by departments",#N/A,TRUE,"FORECAST";"cap_headcount",#N/A,TRUE,"FORECAST";"summary",#N/A,TRUE,"FORECAST"}</definedName>
    <definedName name="fd" localSheetId="4" hidden="1">{"detail",#N/A,FALSE,"mfg";"summary",#N/A,FALSE,"mfg"}</definedName>
    <definedName name="fdef" localSheetId="4" hidden="1">{#N/A,"PURADD",FALSE,"Business Analysis";#N/A,"PURSPP",FALSE,"Business Analysis";#N/A,"CTGIND",FALSE,"Business Analysis";#N/A,"PURCHM",FALSE,"Business Analysis";#N/A,"SPADD",FALSE,"Business Analysis";#N/A,"EPOXY",FALSE,"Business Analysis";#N/A,"PURPER",FALSE,"Business Analysis"}</definedName>
    <definedName name="fdfd" localSheetId="4">City&amp;" "&amp;State</definedName>
    <definedName name="fdfdf" localSheetId="4" hidden="1">{#N/A,#N/A,FALSE,"Staffnos &amp; cost"}</definedName>
    <definedName name="fdgdfgfdgf" localSheetId="4" hidden="1">{#N/A,#N/A,FALSE,"Produkte Erw.";#N/A,#N/A,FALSE,"Produkte Plan";#N/A,#N/A,FALSE,"Leistungen Erw.";#N/A,#N/A,FALSE,"Leistungen Plan";#N/A,#N/A,FALSE,"KA Allg.Kosten (2)";#N/A,#N/A,FALSE,"KA All.Kosten"}</definedName>
    <definedName name="fdgfdg" localSheetId="4" hidden="1">{#N/A,#N/A,FALSE,"Umsatz EO BP";#N/A,#N/A,FALSE,"Umsatz EO OP";#N/A,#N/A,FALSE,"ER EO BP";#N/A,#N/A,FALSE,"ER EO OP";#N/A,#N/A,FALSE,"EA EO (2)";#N/A,#N/A,FALSE,"EA EO";#N/A,#N/A,FALSE,"EA EO (3)";#N/A,#N/A,FALSE,"EA EO (4)";#N/A,#N/A,FALSE,"KA EO  (2)";#N/A,#N/A,FALSE,"KA EO";#N/A,#N/A,FALSE,"KA EO  (3)";#N/A,#N/A,FALSE,"KA EO (4)"}</definedName>
    <definedName name="fdgfdgfdgfdg" localSheetId="4" hidden="1">{#N/A,#N/A,FALSE,"KA CH  (2)"}</definedName>
    <definedName name="fdgfdgsdgsdgs" localSheetId="4" hidden="1">{#N/A,#N/A,FALSE,"KA CH  (2)"}</definedName>
    <definedName name="fdgsd" localSheetId="4" hidden="1">{#N/A,#N/A,FALSE,"COMP"}</definedName>
    <definedName name="fdhiuvghd" localSheetId="4" hidden="1">{"consolidated",#N/A,FALSE,"Sheet1";"cms",#N/A,FALSE,"Sheet1";"fse",#N/A,FALSE,"Sheet1"}</definedName>
    <definedName name="fdhvoiudhv" localSheetId="4" hidden="1">{TRUE,TRUE,-1.25,-15.5,456.75,279.75,FALSE,FALSE,TRUE,TRUE,0,1,18,1,199,6,3,4,TRUE,TRUE,3,TRUE,1,TRUE,100,"Swvu.cash.","ACwvu.cash.",1,FALSE,FALSE,0.511811023622047,0.511811023622047,0.511811023622047,0.511811023622047,1,"","",FALSE,FALSE,FALSE,FALSE,1,#N/A,1,1,#DIV/0!,FALSE,"Rwvu.cash.",#N/A,FALSE,FALSE}</definedName>
    <definedName name="fdiu" localSheetId="4" hidden="1">{#N/A,#N/A,FALSE,"Balance Sheet";#N/A,#N/A,FALSE,"Income Statement";#N/A,#N/A,FALSE,"Changes in Financial Position"}</definedName>
    <definedName name="fdiugodg" localSheetId="4" hidden="1">{"histincome",#N/A,FALSE,"hyfins";"closing balance",#N/A,FALSE,"hyfins"}</definedName>
    <definedName name="FDQ" localSheetId="4" hidden="1">{"detail",#N/A,FALSE,"mfg";"summary",#N/A,FALSE,"mfg"}</definedName>
    <definedName name="fds" localSheetId="4" hidden="1">{#N/A,#N/A,FALSE,"Pharm";#N/A,#N/A,FALSE,"WWCM"}</definedName>
    <definedName name="fdsa" localSheetId="4" hidden="1">{"QTR_ACT",#N/A,FALSE,"PROP_PBIT_DEV_Q3";"QTR_BUD",#N/A,FALSE,"PROP_PBIT_DEV_Q3";"YTD_BUD",#N/A,FALSE,"PROP_PBIT_DEV_Q3";"YTD_ACT",#N/A,FALSE,"PROP_PBIT_DEV_Q3";"FY95 SNAP3",#N/A,FALSE,"PROP_PBIT_DEV_Q3";"FY95_BUD",#N/A,FALSE,"PROP_PBIT_DEV_Q3";"FY96_BUD",#N/A,FALSE,"PROP_PBIT_DEV_Q3"}</definedName>
    <definedName name="fdsf" localSheetId="4" hidden="1">{#N/A,#N/A,FALSE,"Model";#N/A,#N/A,FALSE,"Division"}</definedName>
    <definedName name="fdskj" localSheetId="4" hidden="1">{#N/A,#N/A,FALSE,"Model";#N/A,#N/A,FALSE,"Division"}</definedName>
    <definedName name="fe" localSheetId="4" hidden="1">{#N/A,#N/A,FALSE,"Layout GuV"}</definedName>
    <definedName name="fe_1" localSheetId="4" hidden="1">{#N/A,#N/A,FALSE,"PMTABB";#N/A,#N/A,FALSE,"PMTABB"}</definedName>
    <definedName name="fe_2" localSheetId="4" hidden="1">{#N/A,#N/A,FALSE,"PMTABB";#N/A,#N/A,FALSE,"PMTABB"}</definedName>
    <definedName name="fe_3" localSheetId="4" hidden="1">{#N/A,#N/A,FALSE,"PMTABB";#N/A,#N/A,FALSE,"PMTABB"}</definedName>
    <definedName name="fe_4" localSheetId="4" hidden="1">{#N/A,#N/A,FALSE,"PMTABB";#N/A,#N/A,FALSE,"PMTABB"}</definedName>
    <definedName name="fedfed" localSheetId="4">City&amp;" "&amp;State</definedName>
    <definedName name="fere" localSheetId="4" hidden="1">{#N/A,#N/A,TRUE,"Front";#N/A,#N/A,TRUE,"Simple Letter";#N/A,#N/A,TRUE,"Inside";#N/A,#N/A,TRUE,"Contents";#N/A,#N/A,TRUE,"Basis";#N/A,#N/A,TRUE,"Inclusions";#N/A,#N/A,TRUE,"Exclusions";#N/A,#N/A,TRUE,"Areas";#N/A,#N/A,TRUE,"Summary";#N/A,#N/A,TRUE,"Detail"}</definedName>
    <definedName name="feret" localSheetId="4" hidden="1">{#N/A,#N/A,FALSE,"FREE"}</definedName>
    <definedName name="feret_1" localSheetId="4" hidden="1">{#N/A,#N/A,FALSE,"FREE"}</definedName>
    <definedName name="feret_2" localSheetId="4" hidden="1">{#N/A,#N/A,FALSE,"FREE"}</definedName>
    <definedName name="feret_3" localSheetId="4" hidden="1">{#N/A,#N/A,FALSE,"FREE"}</definedName>
    <definedName name="feret_4" localSheetId="4" hidden="1">{#N/A,#N/A,FALSE,"FREE"}</definedName>
    <definedName name="fesa" localSheetId="4" hidden="1">{"apci",#N/A,FALSE,"Chem_CY";"eastman",#N/A,FALSE,"Eastman";"betz",#N/A,FALSE,"Betz";"great lakes",#N/A,FALSE,"Great_Lakes";"hercules",#N/A,FALSE,"Hercules Chem Seg Data";"rohm",#N/A,FALSE,"Rohm";"union carbide",#N/A,FALSE,"Union";"witco",#N/A,FALSE,"Witco"}</definedName>
    <definedName name="fetr" localSheetId="4" hidden="1">{"BA detail",#N/A,FALSE,"Q3YTD "}</definedName>
    <definedName name="few" localSheetId="4" hidden="1">{#N/A,#N/A,FALSE,"PMTABB";#N/A,#N/A,FALSE,"PMTABB"}</definedName>
    <definedName name="few_1" localSheetId="4" hidden="1">{#N/A,#N/A,FALSE,"PMTABB";#N/A,#N/A,FALSE,"PMTABB"}</definedName>
    <definedName name="few_2" localSheetId="4" hidden="1">{#N/A,#N/A,FALSE,"PMTABB";#N/A,#N/A,FALSE,"PMTABB"}</definedName>
    <definedName name="few_3" localSheetId="4" hidden="1">{#N/A,#N/A,FALSE,"PMTABB";#N/A,#N/A,FALSE,"PMTABB"}</definedName>
    <definedName name="few_4" localSheetId="4" hidden="1">{#N/A,#N/A,FALSE,"PMTABB";#N/A,#N/A,FALSE,"PMTABB"}</definedName>
    <definedName name="fewq" localSheetId="4" hidden="1">{"Comp_of_Price_Effect",#N/A,FALSE,"QTRDPVAR"}</definedName>
    <definedName name="fewt" localSheetId="4" hidden="1">{#N/A,#N/A,FALSE,"EW"}</definedName>
    <definedName name="fewt_1" localSheetId="4" hidden="1">{#N/A,#N/A,FALSE,"EW"}</definedName>
    <definedName name="fewt_2" localSheetId="4" hidden="1">{#N/A,#N/A,FALSE,"EW"}</definedName>
    <definedName name="fewt_3" localSheetId="4" hidden="1">{#N/A,#N/A,FALSE,"EW"}</definedName>
    <definedName name="fewt_4" localSheetId="4" hidden="1">{#N/A,#N/A,FALSE,"EW"}</definedName>
    <definedName name="ff" localSheetId="4" hidden="1">{#N/A,#N/A,FALSE,"gc (2)"}</definedName>
    <definedName name="ffd" localSheetId="4" hidden="1">{#N/A,#N/A,FALSE,"Rohstoffnotierungen";#N/A,#N/A,FALSE,"ER HCST Erw. 99";#N/A,#N/A,FALSE,"ER HCST Plan 00";#N/A,#N/A,FALSE,"Umsatz KG";#N/A,#N/A,FALSE,"ER HCST";#N/A,#N/A,FALSE,"EA ST (2)";#N/A,#N/A,FALSE,"EA ST";#N/A,#N/A,FALSE,"EA ST (3)";#N/A,#N/A,FALSE,"EA ST (4)";#N/A,#N/A,FALSE,"KA ST  (2)";#N/A,#N/A,FALSE,"KA ST";#N/A,#N/A,FALSE,"KA ST  (3)";#N/A,#N/A,FALSE,"KA ST (4)"}</definedName>
    <definedName name="ffdd" localSheetId="4" hidden="1">{#N/A,#N/A,FALSE,"Umsatz EO BP";#N/A,#N/A,FALSE,"Umsatz EO OP";#N/A,#N/A,FALSE,"ER EO BP";#N/A,#N/A,FALSE,"ER EO OP";#N/A,#N/A,FALSE,"EA EO (2)";#N/A,#N/A,FALSE,"EA EO";#N/A,#N/A,FALSE,"EA EO (3)";#N/A,#N/A,FALSE,"EA EO (4)";#N/A,#N/A,FALSE,"KA EO  (2)";#N/A,#N/A,FALSE,"KA EO";#N/A,#N/A,FALSE,"KA EO  (3)";#N/A,#N/A,FALSE,"KA EO (4)"}</definedName>
    <definedName name="fff" localSheetId="4" hidden="1">{#N/A,#N/A,FALSE,"Pharm";#N/A,#N/A,FALSE,"WWCM"}</definedName>
    <definedName name="fff_2" localSheetId="4" hidden="1">{"Geo - Detail Detail",#N/A,FALSE,"Geo View";"Geo - Detail",#N/A,FALSE,"Geo View";"Dept - Detail Detail",#N/A,FALSE,"Dept View";"Dept - Detail",#N/A,FALSE,"Dept View"}</definedName>
    <definedName name="ffff" localSheetId="4" hidden="1">{#N/A,#N/A,FALSE,"COMP"}</definedName>
    <definedName name="fffffff" localSheetId="4" hidden="1">{#N/A,#N/A,FALSE,"Pharm";#N/A,#N/A,FALSE,"WWCM"}</definedName>
    <definedName name="ffgg" localSheetId="4" hidden="1">{#N/A,#N/A,FALSE,"CDA Plan"}</definedName>
    <definedName name="ffy" localSheetId="4" hidden="1">{#N/A,#N/A,FALSE,"FY97";#N/A,#N/A,FALSE,"FY98";#N/A,#N/A,FALSE,"FY99";#N/A,#N/A,FALSE,"FY00";#N/A,#N/A,FALSE,"FY01"}</definedName>
    <definedName name="fg" localSheetId="4" hidden="1">{#N/A,#N/A,FALSE,"REPORT"}</definedName>
    <definedName name="fgf" localSheetId="4" hidden="1">{#N/A,#N/A,FALSE,"Umsatz 99";#N/A,#N/A,FALSE,"ER 99 "}</definedName>
    <definedName name="FGFG" localSheetId="4" hidden="1">{#N/A,#N/A,FALSE,"Tabl. A1";#N/A,#N/A,FALSE,"Tabl. A1 b";#N/A,#N/A,FALSE,"Tabl. A2";#N/A,#N/A,FALSE,"Tabl. A2-1";#N/A,#N/A,FALSE,"Tabl. A2-2"}</definedName>
    <definedName name="fgfgf" localSheetId="4" hidden="1">{#N/A,#N/A,FALSE,"Umsatz 99";#N/A,#N/A,FALSE,"ER 99 "}</definedName>
    <definedName name="fgfx" localSheetId="4" hidden="1">{#N/A,#N/A,FALSE,"Umsatz 99";#N/A,#N/A,FALSE,"ER 99 "}</definedName>
    <definedName name="fgh" localSheetId="4" hidden="1">{"office ltcg",#N/A,FALSE,"gain01";"IT LTCG",#N/A,FALSE,"gain01"}</definedName>
    <definedName name="FGHFD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ghfghgfh" localSheetId="4" hidden="1">{#N/A,#N/A,FALSE,"KA CH  (2)"}</definedName>
    <definedName name="fghfghfghgfhgfh"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localSheetId="4" hidden="1">{#N/A,#N/A,FALSE,"Umsatz CH";#N/A,#N/A,FALSE,"ER CH";#N/A,#N/A,FALSE,"EA CH (2) ";#N/A,#N/A,FALSE,"EA CH";#N/A,#N/A,FALSE,"EA CH (3) ";#N/A,#N/A,FALSE,"EA CH (4)";#N/A,#N/A,FALSE,"KA CH";#N/A,#N/A,FALSE,"KA CH  (2)";#N/A,#N/A,FALSE,"KA CH  (3)";#N/A,#N/A,FALSE,"KA CH (4)"}</definedName>
    <definedName name="fghfghr" localSheetId="4" hidden="1">{#N/A,#N/A,FALSE,"PGW"}</definedName>
    <definedName name="FGHFH" localSheetId="4" hidden="1">{#N/A,#N/A,FALSE,"PGW"}</definedName>
    <definedName name="FGHFH_1" localSheetId="4" hidden="1">{#N/A,#N/A,FALSE,"PGW"}</definedName>
    <definedName name="FGHFH_2" localSheetId="4" hidden="1">{#N/A,#N/A,FALSE,"PGW"}</definedName>
    <definedName name="FGHFH_3" localSheetId="4" hidden="1">{#N/A,#N/A,FALSE,"PGW"}</definedName>
    <definedName name="FGHFH_4" localSheetId="4" hidden="1">{#N/A,#N/A,FALSE,"PGW"}</definedName>
    <definedName name="fghj"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jkl"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fgjfgjfgj" localSheetId="4" hidden="1">{#N/A,#N/A,FALSE,"Produkte Erw.";#N/A,#N/A,FALSE,"Produkte Plan";#N/A,#N/A,FALSE,"Leistungen Erw.";#N/A,#N/A,FALSE,"Leistungen Plan";#N/A,#N/A,FALSE,"KA Allg.Kosten (2)";#N/A,#N/A,FALSE,"KA All.Kosten"}</definedName>
    <definedName name="fgkjkh" localSheetId="4" hidden="1">{#N/A,#N/A,FALSE,"REPORT"}</definedName>
    <definedName name="fgs" localSheetId="4" hidden="1">{#N/A,#N/A,FALSE,"COMP"}</definedName>
    <definedName name="fgsd" localSheetId="4" hidden="1">{"PAGE 1",#N/A,FALSE,"COS Excluding Geismar";"PAGE 2",#N/A,FALSE,"COS Excluding Geismar";"PAGE 3",#N/A,FALSE,"COS Excluding Geismar"}</definedName>
    <definedName name="fgsg" localSheetId="4" hidden="1">{"consolidated",#N/A,FALSE,"Sheet1";"cms",#N/A,FALSE,"Sheet1";"fse",#N/A,FALSE,"Sheet1"}</definedName>
    <definedName name="fgt" localSheetId="4" hidden="1">{"Performance Details",#N/A,FALSE,"Current Yr";"Performance Details",#N/A,FALSE,"Budget";"Performance Details",#N/A,FALSE,"Prior Year"}</definedName>
    <definedName name="FGVDFG" localSheetId="4" hidden="1">{#N/A,#N/A,FALSE,"Staffnos &amp; cost"}</definedName>
    <definedName name="fh" localSheetId="4" hidden="1">{#N/A,#N/A,FALSE,"KA CH  (2)"}</definedName>
    <definedName name="fhfgh" localSheetId="4" hidden="1">{#N/A,#N/A,FALSE,"Umsatz CH";#N/A,#N/A,FALSE,"ER CH";#N/A,#N/A,FALSE,"EA CH (2) ";#N/A,#N/A,FALSE,"EA CH";#N/A,#N/A,FALSE,"EA CH (3) ";#N/A,#N/A,FALSE,"EA CH (4)";#N/A,#N/A,FALSE,"KA CH";#N/A,#N/A,FALSE,"KA CH  (2)";#N/A,#N/A,FALSE,"KA CH  (3)";#N/A,#N/A,FALSE,"KA CH (4)"}</definedName>
    <definedName name="fhfhh" localSheetId="4" hidden="1">{#N/A,#N/A,FALSE,"Umsatz CH";#N/A,#N/A,FALSE,"ER CH";#N/A,#N/A,FALSE,"EA CH (2) ";#N/A,#N/A,FALSE,"EA CH";#N/A,#N/A,FALSE,"EA CH (3) ";#N/A,#N/A,FALSE,"EA CH (4)";#N/A,#N/A,FALSE,"KA CH";#N/A,#N/A,FALSE,"KA CH  (2)";#N/A,#N/A,FALSE,"KA CH  (3)";#N/A,#N/A,FALSE,"KA CH (4)"}</definedName>
    <definedName name="fhgj" localSheetId="4" hidden="1">{"Geo - Detail Detail",#N/A,FALSE,"Geo View";"Geo - Detail",#N/A,FALSE,"Geo View";"Dept - Detail Detail",#N/A,FALSE,"Dept View";"Dept - Detail",#N/A,FALSE,"Dept View"}</definedName>
    <definedName name="fhh" localSheetId="4" hidden="1">{#N/A,#N/A,FALSE,"Balance Sheets";#N/A,#N/A,FALSE,"96 Conservative";#N/A,#N/A,FALSE,"96 Possible"}</definedName>
    <definedName name="FHJFJ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rtz" localSheetId="4" hidden="1">{#N/A,#N/A,FALSE,"PMW Gruppe 00_99";#N/A,#N/A,FALSE,"PMW KG 00_99";#N/A,#N/A,FALSE,"PMW Inc. 00_99";#N/A,#N/A,FALSE,"PMW VTECH 00_99";#N/A,#N/A,FALSE,"PMW Thail. 00_99";#N/A,#N/A,FALSE,"PMW Canada 00_99";#N/A,#N/A,FALSE,"Währungsabw. 00_99"}</definedName>
    <definedName name="Fin" localSheetId="4" hidden="1">{#N/A,#N/A,TRUE,"Financials";#N/A,#N/A,TRUE,"Operating Statistics";#N/A,#N/A,TRUE,"Capex &amp; Depreciation";#N/A,#N/A,TRUE,"Debt"}</definedName>
    <definedName name="FJEZK" localSheetId="4" hidden="1">{#N/A,#N/A,FALSE,"Pharm";#N/A,#N/A,FALSE,"WWCM"}</definedName>
    <definedName name="fkl" localSheetId="4" hidden="1">{"'7'!$B$15:$D$32"}</definedName>
    <definedName name="fnhv" localSheetId="4" hidden="1">{#N/A,#N/A,FALSE,"Finanzbedarsrechnung"}</definedName>
    <definedName name="Foreign" localSheetId="4" hidden="1">{#N/A,#N/A,FALSE,"PMTABB";#N/A,#N/A,FALSE,"PMTABB"}</definedName>
    <definedName name="forget" localSheetId="4" hidden="1">{#N/A,#N/A,FALSE,"Australia";#N/A,#N/A,FALSE,"Austria";#N/A,#N/A,FALSE,"Belgium";#N/A,#N/A,FALSE,"Canada";#N/A,#N/A,FALSE,"France";#N/A,#N/A,FALSE,"Germany";#N/A,#N/A,FALSE,"Hong Kong";#N/A,#N/A,FALSE,"Italy";#N/A,#N/A,FALSE,"Japan";#N/A,#N/A,FALSE,"Korea";#N/A,#N/A,FALSE,"Mexico";#N/A,#N/A,FALSE,"Poland";#N/A,#N/A,FALSE,"Spain";#N/A,#N/A,FALSE,"Switzerland";#N/A,#N/A,FALSE,"UK"}</definedName>
    <definedName name="FOXC" localSheetId="4" hidden="1">{#N/A,#N/A,TRUE,"Front";#N/A,#N/A,TRUE,"Simple Letter";#N/A,#N/A,TRUE,"Inside";#N/A,#N/A,TRUE,"Contents";#N/A,#N/A,TRUE,"Basis";#N/A,#N/A,TRUE,"Inclusions";#N/A,#N/A,TRUE,"Exclusions";#N/A,#N/A,TRUE,"Areas";#N/A,#N/A,TRUE,"Summary";#N/A,#N/A,TRUE,"Detail"}</definedName>
    <definedName name="FP" localSheetId="4" hidden="1">{#N/A,#N/A,TRUE,"Summary - 1";#N/A,#N/A,TRUE,"Summary - 2";#N/A,#N/A,TRUE,"Group Analysis";#N/A,#N/A,TRUE,"FM Analysis";#N/A,#N/A,TRUE,"T&amp;M-Onsite";#N/A,#N/A,TRUE,"FP-Onsite";#N/A,#N/A,TRUE,"NB-Onsite";#N/A,#N/A,TRUE,"T&amp;M-Offshore";#N/A,#N/A,TRUE,"FP-Offshore";#N/A,#N/A,TRUE,"Appendix-A";#N/A,#N/A,TRUE,"Appendix-B"}</definedName>
    <definedName name="fr" localSheetId="4">{#N/A,"PURCHM",FALSE,"Business Analysis";#N/A,"SPADD",FALSE,"Business Analysis"}</definedName>
    <definedName name="fresh"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FRF" localSheetId="4" hidden="1">{#N/A,#N/A,FALSE,"1";#N/A,#N/A,FALSE,"2";#N/A,#N/A,FALSE,"16 - 17";#N/A,#N/A,FALSE,"18 - 19";#N/A,#N/A,FALSE,"26";#N/A,#N/A,FALSE,"27";#N/A,#N/A,FALSE,"28"}</definedName>
    <definedName name="FRFERFE" localSheetId="4" hidden="1">{#N/A,#N/A,FALSE,"Pharm";#N/A,#N/A,FALSE,"WWCM"}</definedName>
    <definedName name="frqer" localSheetId="4" hidden="1">{#N/A,#N/A,FALSE,"OSBL"}</definedName>
    <definedName name="frty" localSheetId="4" hidden="1">{"PRS",#N/A,FALSE,"CM"}</definedName>
    <definedName name="fs2p" localSheetId="4">77.2+20*LOG('Management commentary '!fr)</definedName>
    <definedName name="fsd" localSheetId="4" hidden="1">{#N/A,#N/A,FALSE,"Staffnos &amp; cost"}</definedName>
    <definedName name="FSDFDS" localSheetId="4" hidden="1">{#N/A,#N/A,FALSE,"PMTABB";#N/A,#N/A,FALSE,"PMTABB"}</definedName>
    <definedName name="fsdfsdf"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fsdfsdfsfsf" localSheetId="4" hidden="1">{#N/A,#N/A,FALSE,"Staffnos &amp; cost"}</definedName>
    <definedName name="fsfs" localSheetId="4" hidden="1">{#N/A,#N/A,FALSE,"Calc";#N/A,#N/A,FALSE,"Sensitivity";#N/A,#N/A,FALSE,"LT Earn.Dil.";#N/A,#N/A,FALSE,"Dil. AVP"}</definedName>
    <definedName name="fslog" localSheetId="4">77.2+20*LOG(freq)</definedName>
    <definedName name="fswq" localSheetId="4" hidden="1">{"'7'!$B$15:$D$32"}</definedName>
    <definedName name="ftss" localSheetId="4" hidden="1">{"FTS",#N/A,FALSE,"E"}</definedName>
    <definedName name="fuck" localSheetId="4" hidden="1">{"by departments",#N/A,TRUE,"FORECAST";"cap_headcount",#N/A,TRUE,"FORECAST";"summary",#N/A,TRUE,"FORECAST"}</definedName>
    <definedName name="fuckme" localSheetId="4" hidden="1">{"SUMMARY",#N/A,TRUE,"SUMMARY";"compare",#N/A,TRUE,"Vs. Bus Plan";"ratios",#N/A,TRUE,"Ratios";"REVENUE",#N/A,TRUE,"Revenue";"expenses",#N/A,TRUE,"1996 budget";"payroll",#N/A,TRUE,"Payroll"}</definedName>
    <definedName name="full" localSheetId="4" hidden="1">{#N/A,#N/A,TRUE,"Front";#N/A,#N/A,TRUE,"Simple Letter";#N/A,#N/A,TRUE,"Inside";#N/A,#N/A,TRUE,"Contents";#N/A,#N/A,TRUE,"Basis";#N/A,#N/A,TRUE,"Inclusions";#N/A,#N/A,TRUE,"Exclusions";#N/A,#N/A,TRUE,"Areas";#N/A,#N/A,TRUE,"Summary";#N/A,#N/A,TRUE,"Detail"}</definedName>
    <definedName name="FVG" localSheetId="4" hidden="1">{#N/A,#N/A,FALSE,"Pharm";#N/A,#N/A,FALSE,"WWCM"}</definedName>
    <definedName name="fwef" localSheetId="4" hidden="1">{#N/A,#N/A,FALSE,"OSBL"}</definedName>
    <definedName name="fwef_1" localSheetId="4" hidden="1">{#N/A,#N/A,FALSE,"OSBL"}</definedName>
    <definedName name="fwef_2" localSheetId="4" hidden="1">{#N/A,#N/A,FALSE,"OSBL"}</definedName>
    <definedName name="fwef_3" localSheetId="4" hidden="1">{#N/A,#N/A,FALSE,"OSBL"}</definedName>
    <definedName name="fwef_4" localSheetId="4" hidden="1">{#N/A,#N/A,FALSE,"OSBL"}</definedName>
    <definedName name="fwer" localSheetId="4" hidden="1">{#N/A,"PURCHM",FALSE,"Business Analysis";#N/A,"SPADD",FALSE,"Business Analysis"}</definedName>
    <definedName name="fx" localSheetId="4" hidden="1">{"TOTTEXAS",#N/A,FALSE,"CM"}</definedName>
    <definedName name="g" localSheetId="4" hidden="1">{#N/A,#N/A,FALSE,"Pharm";#N/A,#N/A,FALSE,"WWCM"}</definedName>
    <definedName name="g_1" localSheetId="4">{#N/A,#N/A,FALSE,"PMTABB";#N/A,#N/A,FALSE,"PMTABB"}</definedName>
    <definedName name="GAG" localSheetId="4" hidden="1">{#N/A,#N/A,FALSE,"Staffnos &amp; cost"}</definedName>
    <definedName name="GASDFG" localSheetId="4" hidden="1">{#N/A,#N/A,TRUE,"Staffnos &amp; cost"}</definedName>
    <definedName name="gd" localSheetId="4" hidden="1">{#N/A,#N/A,FALSE,"Staffnos &amp; cost"}</definedName>
    <definedName name="GDF" localSheetId="4" hidden="1">{"detail",#N/A,FALSE,"mfg";"summary",#N/A,FALSE,"mfg"}</definedName>
    <definedName name="GDFA" localSheetId="4" hidden="1">{#N/A,#N/A,FALSE,"COMP"}</definedName>
    <definedName name="gdfg" localSheetId="4" hidden="1">{#N/A,#N/A,FALSE,"Umsatz EO BP";#N/A,#N/A,FALSE,"Umsatz EO OP";#N/A,#N/A,FALSE,"ER EO BP";#N/A,#N/A,FALSE,"ER EO OP";#N/A,#N/A,FALSE,"EA EO (2)";#N/A,#N/A,FALSE,"EA EO";#N/A,#N/A,FALSE,"EA EO (3)";#N/A,#N/A,FALSE,"EA EO (4)";#N/A,#N/A,FALSE,"KA EO  (2)";#N/A,#N/A,FALSE,"KA EO";#N/A,#N/A,FALSE,"KA EO  (3)";#N/A,#N/A,FALSE,"KA EO (4)"}</definedName>
    <definedName name="gdfgdf" localSheetId="4" hidden="1">{#N/A,#N/A,FALSE,"Pharm";#N/A,#N/A,FALSE,"WWCM"}</definedName>
    <definedName name="GDFHDHGF" localSheetId="4" hidden="1">{#N/A,#N/A,FALSE,"Staffnos &amp; cost"}</definedName>
    <definedName name="gdgd" localSheetId="4" hidden="1">{#N/A,#N/A,FALSE,"Calc";#N/A,#N/A,FALSE,"Sensitivity";#N/A,#N/A,FALSE,"LT Earn.Dil.";#N/A,#N/A,FALSE,"Dil. AVP"}</definedName>
    <definedName name="gdsdfs" localSheetId="4" hidden="1">{"SCM_Detail",#N/A,FALSE,"SCM";"SCM_Top",#N/A,FALSE,"SCM"}</definedName>
    <definedName name="ge" localSheetId="4" hidden="1">{#N/A,#N/A,FALSE,"EW"}</definedName>
    <definedName name="ge_1" localSheetId="4" hidden="1">{#N/A,#N/A,FALSE,"EW"}</definedName>
    <definedName name="ge_2" localSheetId="4" hidden="1">{#N/A,#N/A,FALSE,"EW"}</definedName>
    <definedName name="ge_3" localSheetId="4" hidden="1">{#N/A,#N/A,FALSE,"EW"}</definedName>
    <definedName name="ge_4" localSheetId="4" hidden="1">{#N/A,#N/A,FALSE,"EW"}</definedName>
    <definedName name="georges" localSheetId="4" hidden="1">{#N/A,#N/A,FALSE,"Tabl. FB300";#N/A,#N/A,FALSE,"Tabl. FB350";#N/A,#N/A,FALSE,"Tabl. FB400";#N/A,#N/A,FALSE,"Tabl. FB500";#N/A,#N/A,FALSE,"Tabl. FS090"}</definedName>
    <definedName name="Germany" localSheetId="4" hidden="1">{#N/A,#N/A,FALSE,"PM8 table"}</definedName>
    <definedName name="gf" localSheetId="4" hidden="1">{#N/A,#N/A,FALSE,"KA CH  (2)"}</definedName>
    <definedName name="gfd" localSheetId="4" hidden="1">{#N/A,"PURCHM",FALSE,"Business Analysis";#N/A,"SPADD",FALSE,"Business Analysis"}</definedName>
    <definedName name="gfdfdf" localSheetId="4" hidden="1">{"CTCp1",#N/A,FALSE,"CTC Report";"CTCp2",#N/A,FALSE,"CTC Report";"CTCp3",#N/A,FALSE,"CTC Report";"CTCp4",#N/A,FALSE,"CTC Report"}</definedName>
    <definedName name="gfdg" localSheetId="4" hidden="1">{#N/A,#N/A,FALSE,"Staffnos &amp; cost"}</definedName>
    <definedName name="gfdjhjh" localSheetId="4" hidden="1">{#N/A,#N/A,FALSE,"Pharm";#N/A,#N/A,FALSE,"WWCM"}</definedName>
    <definedName name="gfds" localSheetId="4" hidden="1">{"oct_res_comm",#N/A,FALSE,"VarToBud"}</definedName>
    <definedName name="gfghdfgdf" localSheetId="4" hidden="1">{#N/A,#N/A,FALSE,"Umsatz CH";#N/A,#N/A,FALSE,"ER CH";#N/A,#N/A,FALSE,"EA CH (2) ";#N/A,#N/A,FALSE,"EA CH";#N/A,#N/A,FALSE,"EA CH (3) ";#N/A,#N/A,FALSE,"EA CH (4)";#N/A,#N/A,FALSE,"KA CH";#N/A,#N/A,FALSE,"KA CH  (2)";#N/A,#N/A,FALSE,"KA CH  (3)";#N/A,#N/A,FALSE,"KA CH (4)"}</definedName>
    <definedName name="gfh" localSheetId="4" hidden="1">{#N/A,#N/A,FALSE,"PMTABB";#N/A,#N/A,FALSE,"PMTABB"}</definedName>
    <definedName name="gfh_2" localSheetId="4" hidden="1">{#N/A,#N/A,FALSE,"PMTABB";#N/A,#N/A,FALSE,"PMTABB"}</definedName>
    <definedName name="gfh_3" localSheetId="4" hidden="1">{#N/A,#N/A,FALSE,"PMTABB";#N/A,#N/A,FALSE,"PMTABB"}</definedName>
    <definedName name="gfh_4" localSheetId="4" hidden="1">{#N/A,#N/A,FALSE,"PMTABB";#N/A,#N/A,FALSE,"PMTABB"}</definedName>
    <definedName name="gfhfgh" localSheetId="4" hidden="1">{#N/A,#N/A,FALSE,"Umsatz HM";#N/A,#N/A,FALSE,"ER HM";#N/A,#N/A,FALSE,"EA HM  (2)";#N/A,#N/A,FALSE,"EA HM ";#N/A,#N/A,FALSE,"EA HM  (4)";#N/A,#N/A,FALSE,"EA HM  (3)";#N/A,#N/A,FALSE,"KA HM  (2)";#N/A,#N/A,FALSE,"KA HM";#N/A,#N/A,FALSE,"KA HM  (3)";#N/A,#N/A,FALSE,"KA HM (4)"}</definedName>
    <definedName name="gfhfghgsdfghfg" localSheetId="4" hidden="1">{#N/A,#N/A,FALSE,"Umsatz 99";#N/A,#N/A,FALSE,"ER 99 "}</definedName>
    <definedName name="gfhh" localSheetId="4" hidden="1">{#N/A,#N/A,FALSE,"Umsatz CH";#N/A,#N/A,FALSE,"ER CH";#N/A,#N/A,FALSE,"EA CH (2) ";#N/A,#N/A,FALSE,"EA CH";#N/A,#N/A,FALSE,"EA CH (3) ";#N/A,#N/A,FALSE,"EA CH (4)";#N/A,#N/A,FALSE,"KA CH";#N/A,#N/A,FALSE,"KA CH  (2)";#N/A,#N/A,FALSE,"KA CH  (3)";#N/A,#N/A,FALSE,"KA CH (4)"}</definedName>
    <definedName name="GFNFGJH" localSheetId="4" hidden="1">{#N/A,#N/A,FALSE,"TOWNSHIP"}</definedName>
    <definedName name="GFNFGJH_1" localSheetId="4" hidden="1">{#N/A,#N/A,FALSE,"TOWNSHIP"}</definedName>
    <definedName name="GFNFGJH_2" localSheetId="4" hidden="1">{#N/A,#N/A,FALSE,"TOWNSHIP"}</definedName>
    <definedName name="GFNFGJH_3" localSheetId="4" hidden="1">{#N/A,#N/A,FALSE,"TOWNSHIP"}</definedName>
    <definedName name="GFNFGJH_4" localSheetId="4" hidden="1">{#N/A,#N/A,FALSE,"TOWNSHIP"}</definedName>
    <definedName name="gfr" localSheetId="4" hidden="1">{#N/A,#N/A,FALSE,"Staffnos &amp; cost"}</definedName>
    <definedName name="gfrr" localSheetId="4" hidden="1">{#N/A,#N/A,FALSE,"Umsatz 99";#N/A,#N/A,FALSE,"ER 99 "}</definedName>
    <definedName name="gfsd" localSheetId="4" hidden="1">{"consolidated",#N/A,FALSE,"Sheet1";"cms",#N/A,FALSE,"Sheet1";"fse",#N/A,FALSE,"Sheet1"}</definedName>
    <definedName name="gg" localSheetId="4" hidden="1">{#N/A,#N/A,FALSE,"Umsatz EO BP";#N/A,#N/A,FALSE,"Umsatz EO OP";#N/A,#N/A,FALSE,"ER EO BP";#N/A,#N/A,FALSE,"ER EO OP";#N/A,#N/A,FALSE,"EA EO (2)";#N/A,#N/A,FALSE,"EA EO";#N/A,#N/A,FALSE,"EA EO (3)";#N/A,#N/A,FALSE,"EA EO (4)";#N/A,#N/A,FALSE,"KA EO  (2)";#N/A,#N/A,FALSE,"KA EO";#N/A,#N/A,FALSE,"KA EO  (3)";#N/A,#N/A,FALSE,"KA EO (4)"}</definedName>
    <definedName name="GGF" localSheetId="4" hidden="1">{#N/A,#N/A,FALSE,"SUMMARY";#N/A,#N/A,FALSE,"SUMMARY"}</definedName>
    <definedName name="gggg" localSheetId="4" hidden="1">{#N/A,#N/A,FALSE,"Model";#N/A,#N/A,FALSE,"Division"}</definedName>
    <definedName name="GGGGGGGG" localSheetId="4" hidden="1">{#N/A,#N/A,FALSE,"CDA Plan"}</definedName>
    <definedName name="gh" localSheetId="4" hidden="1">{"detail",#N/A,FALSE,"mfg";"summary",#N/A,FALSE,"mfg"}</definedName>
    <definedName name="GHDHGFJFJJGFJF" localSheetId="4" hidden="1">{#N/A,#N/A,FALSE,"Staffnos &amp; cost"}</definedName>
    <definedName name="ghfgh" localSheetId="4" hidden="1">{#N/A,#N/A,FALSE,"Umsatz CH";#N/A,#N/A,FALSE,"ER CH";#N/A,#N/A,FALSE,"EA CH (2) ";#N/A,#N/A,FALSE,"EA CH";#N/A,#N/A,FALSE,"EA CH (3) ";#N/A,#N/A,FALSE,"EA CH (4)";#N/A,#N/A,FALSE,"KA CH";#N/A,#N/A,FALSE,"KA CH  (2)";#N/A,#N/A,FALSE,"KA CH  (3)";#N/A,#N/A,FALSE,"KA CH (4)"}</definedName>
    <definedName name="ghh" localSheetId="4" hidden="1">{#N/A,#N/A,FALSE,"KA CH  (2)"}</definedName>
    <definedName name="ghi" localSheetId="4" hidden="1">{#N/A,#N/A,FALSE,"Tabl. FB300";#N/A,#N/A,FALSE,"Tabl. FB350";#N/A,#N/A,FALSE,"Tabl. FB400";#N/A,#N/A,FALSE,"Tabl. FB500";#N/A,#N/A,FALSE,"Tabl. FS090"}</definedName>
    <definedName name="ghj" localSheetId="4" hidden="1">{#N/A,#N/A,FALSE,"gc (2)"}</definedName>
    <definedName name="ghj.ljj" localSheetId="4" hidden="1">{#N/A,#N/A,FALSE,"Produkte Erw.";#N/A,#N/A,FALSE,"Produkte Plan";#N/A,#N/A,FALSE,"Leistungen Erw.";#N/A,#N/A,FALSE,"Leistungen Plan";#N/A,#N/A,FALSE,"KA Allg.Kosten (2)";#N/A,#N/A,FALSE,"KA All.Kosten"}</definedName>
    <definedName name="ghj.zz" localSheetId="4" hidden="1">{#N/A,#N/A,FALSE,"Umsatz CH";#N/A,#N/A,FALSE,"ER CH";#N/A,#N/A,FALSE,"EA CH (2) ";#N/A,#N/A,FALSE,"EA CH";#N/A,#N/A,FALSE,"EA CH (3) ";#N/A,#N/A,FALSE,"EA CH (4)";#N/A,#N/A,FALSE,"KA CH";#N/A,#N/A,FALSE,"KA CH  (2)";#N/A,#N/A,FALSE,"KA CH  (3)";#N/A,#N/A,FALSE,"KA CH (4)"}</definedName>
    <definedName name="ghjggjh" localSheetId="4" hidden="1">{#N/A,#N/A,FALSE,"Pharm";#N/A,#N/A,FALSE,"WWCM"}</definedName>
    <definedName name="ghjhgj" localSheetId="4" hidden="1">{#N/A,#N/A,FALSE,"PMW Gruppe 99_98";#N/A,#N/A,FALSE,"PMW KG 98_99";#N/A,#N/A,FALSE,"PMW Inc. 99_98";#N/A,#N/A,FALSE,"PMW VTECH 99_98";#N/A,#N/A,FALSE,"PMW Thail. 99_98";#N/A,#N/A,FALSE,"PMW Canada 99_98";#N/A,#N/A,FALSE,"Währungsabw. 99_98"}</definedName>
    <definedName name="ghjhgjh" localSheetId="4" hidden="1">{#N/A,#N/A,FALSE,"KA CH  (2)"}</definedName>
    <definedName name="ghjhj" localSheetId="4" hidden="1">{#N/A,#N/A,FALSE,"Umsatz EO BP";#N/A,#N/A,FALSE,"Umsatz EO OP";#N/A,#N/A,FALSE,"ER EO BP";#N/A,#N/A,FALSE,"ER EO OP";#N/A,#N/A,FALSE,"EA EO (2)";#N/A,#N/A,FALSE,"EA EO";#N/A,#N/A,FALSE,"EA EO (3)";#N/A,#N/A,FALSE,"EA EO (4)";#N/A,#N/A,FALSE,"KA EO  (2)";#N/A,#N/A,FALSE,"KA EO";#N/A,#N/A,FALSE,"KA EO  (3)";#N/A,#N/A,FALSE,"KA EO (4)"}</definedName>
    <definedName name="ghjk"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TI" localSheetId="4" hidden="1">{#N/A,#N/A,FALSE,"FREE"}</definedName>
    <definedName name="GHJTI_1" localSheetId="4" hidden="1">{#N/A,#N/A,FALSE,"FREE"}</definedName>
    <definedName name="GHJTI_2" localSheetId="4" hidden="1">{#N/A,#N/A,FALSE,"FREE"}</definedName>
    <definedName name="GHJTI_3" localSheetId="4" hidden="1">{#N/A,#N/A,FALSE,"FREE"}</definedName>
    <definedName name="GHJTI_4" localSheetId="4" hidden="1">{#N/A,#N/A,FALSE,"FREE"}</definedName>
    <definedName name="ghk" localSheetId="4" hidden="1">{#N/A,#N/A,FALSE,"PMW Gruppe 99_98";#N/A,#N/A,FALSE,"PMW KG 98_99";#N/A,#N/A,FALSE,"PMW Inc. 99_98";#N/A,#N/A,FALSE,"PMW VTECH 99_98";#N/A,#N/A,FALSE,"PMW Thail. 99_98";#N/A,#N/A,FALSE,"PMW Canada 99_98";#N/A,#N/A,FALSE,"Währungsabw. 99_98"}</definedName>
    <definedName name="GHRE"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ghuifd" localSheetId="4" hidden="1">{#N/A,"PURCHM",FALSE,"Business Analysis";#N/A,"SPADD",FALSE,"Business Analysis"}</definedName>
    <definedName name="gjh" localSheetId="4" hidden="1">{#N/A,#N/A,FALSE,"Umsatz 99";#N/A,#N/A,FALSE,"ER 99 "}</definedName>
    <definedName name="gjk" localSheetId="4" hidden="1">{#N/A,#N/A,FALSE,"Umsatz HM";#N/A,#N/A,FALSE,"ER HM";#N/A,#N/A,FALSE,"EA HM  (2)";#N/A,#N/A,FALSE,"EA HM ";#N/A,#N/A,FALSE,"EA HM  (4)";#N/A,#N/A,FALSE,"EA HM  (3)";#N/A,#N/A,FALSE,"KA HM  (2)";#N/A,#N/A,FALSE,"KA HM";#N/A,#N/A,FALSE,"KA HM  (3)";#N/A,#N/A,FALSE,"KA HM (4)"}</definedName>
    <definedName name="gjygj" localSheetId="4" hidden="1">{#N/A,#N/A,FALSE,"COMP"}</definedName>
    <definedName name="gk0901int" localSheetId="4" hidden="1">{#N/A,#N/A,FALSE,"PMTABB";#N/A,#N/A,FALSE,"PMTABB"}</definedName>
    <definedName name="gk0901int_1" localSheetId="4" hidden="1">{#N/A,#N/A,FALSE,"PMTABB";#N/A,#N/A,FALSE,"PMTABB"}</definedName>
    <definedName name="gk0901int_2" localSheetId="4" hidden="1">{#N/A,#N/A,FALSE,"PMTABB";#N/A,#N/A,FALSE,"PMTABB"}</definedName>
    <definedName name="gk0901int_3" localSheetId="4" hidden="1">{#N/A,#N/A,FALSE,"PMTABB";#N/A,#N/A,FALSE,"PMTABB"}</definedName>
    <definedName name="gk0901int_4" localSheetId="4" hidden="1">{#N/A,#N/A,FALSE,"PMTABB";#N/A,#N/A,FALSE,"PMTABB"}</definedName>
    <definedName name="gkjjk" localSheetId="4" hidden="1">{#N/A,#N/A,FALSE,"Umsatz CH";#N/A,#N/A,FALSE,"ER CH";#N/A,#N/A,FALSE,"EA CH (2) ";#N/A,#N/A,FALSE,"EA CH";#N/A,#N/A,FALSE,"EA CH (3) ";#N/A,#N/A,FALSE,"EA CH (4)";#N/A,#N/A,FALSE,"KA CH";#N/A,#N/A,FALSE,"KA CH  (2)";#N/A,#N/A,FALSE,"KA CH  (3)";#N/A,#N/A,FALSE,"KA CH (4)"}</definedName>
    <definedName name="gl0" localSheetId="4" hidden="1">{"'7'!$B$15:$D$32"}</definedName>
    <definedName name="Global1" localSheetId="4" hidden="1">{#N/A,#N/A,FALSE,"Pharm";#N/A,#N/A,FALSE,"WWCM"}</definedName>
    <definedName name="gods" localSheetId="4" hidden="1">{"consolidated",#N/A,FALSE,"Sheet1";"cms",#N/A,FALSE,"Sheet1";"fse",#N/A,FALSE,"Sheet1"}</definedName>
    <definedName name="gqarefg" localSheetId="4" hidden="1">{#N/A,#N/A,FALSE,"PMTABB";#N/A,#N/A,FALSE,"PMTABB"}</definedName>
    <definedName name="gqarefg_1" localSheetId="4" hidden="1">{#N/A,#N/A,FALSE,"PMTABB";#N/A,#N/A,FALSE,"PMTABB"}</definedName>
    <definedName name="gqarefg_2" localSheetId="4" hidden="1">{#N/A,#N/A,FALSE,"PMTABB";#N/A,#N/A,FALSE,"PMTABB"}</definedName>
    <definedName name="gqarefg_3" localSheetId="4" hidden="1">{#N/A,#N/A,FALSE,"PMTABB";#N/A,#N/A,FALSE,"PMTABB"}</definedName>
    <definedName name="gqarefg_4" localSheetId="4" hidden="1">{#N/A,#N/A,FALSE,"PMTABB";#N/A,#N/A,FALSE,"PMTABB"}</definedName>
    <definedName name="gr" localSheetId="4" hidden="1">{#N/A,#N/A,FALSE,"SUMMARY";#N/A,#N/A,FALSE,"SUMMARY"}</definedName>
    <definedName name="gr_1" localSheetId="4" hidden="1">{#N/A,#N/A,FALSE,"SUMMARY";#N/A,#N/A,FALSE,"SUMMARY"}</definedName>
    <definedName name="gr_2" localSheetId="4" hidden="1">{#N/A,#N/A,FALSE,"SUMMARY";#N/A,#N/A,FALSE,"SUMMARY"}</definedName>
    <definedName name="gr_3" localSheetId="4" hidden="1">{#N/A,#N/A,FALSE,"SUMMARY";#N/A,#N/A,FALSE,"SUMMARY"}</definedName>
    <definedName name="gr_4" localSheetId="4" hidden="1">{#N/A,#N/A,FALSE,"SUMMARY";#N/A,#N/A,FALSE,"SUMMARY"}</definedName>
    <definedName name="graham" localSheetId="4" hidden="1">{"ICD Details",#N/A,FALSE,"Current Yr";"ICD Details",#N/A,FALSE,"Budget";"ICD Details",#N/A,FALSE,"Prior Year"}</definedName>
    <definedName name="graph" localSheetId="4" hidden="1">{#N/A,#N/A,FALSE,"REPORT"}</definedName>
    <definedName name="gregergege"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grghfgfg" localSheetId="4" hidden="1">{#N/A,#N/A,FALSE,"Umsatz CH";#N/A,#N/A,FALSE,"ER CH";#N/A,#N/A,FALSE,"EA CH (2) ";#N/A,#N/A,FALSE,"EA CH";#N/A,#N/A,FALSE,"EA CH (3) ";#N/A,#N/A,FALSE,"EA CH (4)";#N/A,#N/A,FALSE,"KA CH";#N/A,#N/A,FALSE,"KA CH  (2)";#N/A,#N/A,FALSE,"KA CH  (3)";#N/A,#N/A,FALSE,"KA CH (4)"}</definedName>
    <definedName name="grtr" localSheetId="4" hidden="1">{#N/A,#N/A,TRUE,"Front";#N/A,#N/A,TRUE,"Simple Letter";#N/A,#N/A,TRUE,"Inside";#N/A,#N/A,TRUE,"Contents";#N/A,#N/A,TRUE,"Basis";#N/A,#N/A,TRUE,"Inclusions";#N/A,#N/A,TRUE,"Exclusions";#N/A,#N/A,TRUE,"Areas";#N/A,#N/A,TRUE,"Summary";#N/A,#N/A,TRUE,"Detail"}</definedName>
    <definedName name="GSGFGFG" localSheetId="4" hidden="1">{#N/A,#N/A,FALSE,"CDA Plan"}</definedName>
    <definedName name="gty" localSheetId="4" hidden="1">{"QTD_PACKAGE",#N/A,FALSE,"QTD"}</definedName>
    <definedName name="Guangzhou" localSheetId="4">{"Client Name or Project Name"}</definedName>
    <definedName name="GUILLAU" localSheetId="4" hidden="1">{#N/A,#N/A,FALSE,"Tabl. D1";#N/A,#N/A,FALSE,"Tabl. D1 b";#N/A,#N/A,FALSE,"Tabl. D2";#N/A,#N/A,FALSE,"Tabl. D2 b";#N/A,#N/A,FALSE,"Tabl. D3";#N/A,#N/A,FALSE,"Tabl. D4";#N/A,#N/A,FALSE,"Tabl. D5"}</definedName>
    <definedName name="gv"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wergwr" localSheetId="4" hidden="1">{#N/A,#N/A,FALSE,"ISBL"}</definedName>
    <definedName name="gwergwr_1" localSheetId="4" hidden="1">{#N/A,#N/A,FALSE,"ISBL"}</definedName>
    <definedName name="gwergwr_2" localSheetId="4" hidden="1">{#N/A,#N/A,FALSE,"ISBL"}</definedName>
    <definedName name="gwergwr_3" localSheetId="4" hidden="1">{#N/A,#N/A,FALSE,"ISBL"}</definedName>
    <definedName name="gwergwr_4" localSheetId="4" hidden="1">{#N/A,#N/A,FALSE,"ISBL"}</definedName>
    <definedName name="h" localSheetId="4" hidden="1">{#N/A,#N/A,FALSE,"REPORT"}</definedName>
    <definedName name="h.ll" localSheetId="4" hidden="1">{#N/A,#N/A,FALSE,"PMW Gruppe 99_98";#N/A,#N/A,FALSE,"PMW KG 98_99";#N/A,#N/A,FALSE,"PMW Inc. 99_98";#N/A,#N/A,FALSE,"PMW VTECH 99_98";#N/A,#N/A,FALSE,"PMW Thail. 99_98";#N/A,#N/A,FALSE,"PMW Canada 99_98";#N/A,#N/A,FALSE,"Währungsabw. 99_98"}</definedName>
    <definedName name="H2H" localSheetId="4" hidden="1">{#N/A,#N/A,FALSE,"Staffnos &amp; cost"}</definedName>
    <definedName name="hb"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dlks" localSheetId="4" hidden="1">{#N/A,#N/A,FALSE,"COMP"}</definedName>
    <definedName name="HEKIE?." localSheetId="4" hidden="1">{#N/A,#N/A,FALSE,"Tabl. FB300";#N/A,#N/A,FALSE,"Tabl. FB350";#N/A,#N/A,FALSE,"Tabl. FB400";#N/A,#N/A,FALSE,"Tabl. FB500";#N/A,#N/A,FALSE,"Tabl. FS090"}</definedName>
    <definedName name="herher"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 localSheetId="4" hidden="1">{"detail",#N/A,FALSE,"mfg";"summary",#N/A,FALSE,"mfg"}</definedName>
    <definedName name="HFGJM" localSheetId="4" hidden="1">{#N/A,#N/A,FALSE,"PGW"}</definedName>
    <definedName name="HFGJM_1" localSheetId="4" hidden="1">{#N/A,#N/A,FALSE,"PGW"}</definedName>
    <definedName name="HFGJM_2" localSheetId="4" hidden="1">{#N/A,#N/A,FALSE,"PGW"}</definedName>
    <definedName name="HFGJM_3" localSheetId="4" hidden="1">{#N/A,#N/A,FALSE,"PGW"}</definedName>
    <definedName name="HFGJM_4" localSheetId="4" hidden="1">{#N/A,#N/A,FALSE,"PGW"}</definedName>
    <definedName name="hfh" localSheetId="4" hidden="1">{#N/A,#N/A,FALSE,"Staffnos &amp; cost"}</definedName>
    <definedName name="HFinGraph" localSheetId="4" hidden="1">{#N/A,#N/A,FALSE,"Pharm";#N/A,#N/A,FALSE,"WWCM"}</definedName>
    <definedName name="HFUJYT" localSheetId="4" hidden="1">{#N/A,#N/A,FALSE,"PMTABB";#N/A,#N/A,FALSE,"PMTABB"}</definedName>
    <definedName name="HFUJYT_1" localSheetId="4" hidden="1">{#N/A,#N/A,FALSE,"PMTABB";#N/A,#N/A,FALSE,"PMTABB"}</definedName>
    <definedName name="HFUJYT_2" localSheetId="4" hidden="1">{#N/A,#N/A,FALSE,"PMTABB";#N/A,#N/A,FALSE,"PMTABB"}</definedName>
    <definedName name="HFUJYT_3" localSheetId="4" hidden="1">{#N/A,#N/A,FALSE,"PMTABB";#N/A,#N/A,FALSE,"PMTABB"}</definedName>
    <definedName name="HFUJYT_4" localSheetId="4" hidden="1">{#N/A,#N/A,FALSE,"PMTABB";#N/A,#N/A,FALSE,"PMTABB"}</definedName>
    <definedName name="hg" localSheetId="4" hidden="1">{"detail",#N/A,FALSE,"mfg";"summary",#N/A,FALSE,"mfg"}</definedName>
    <definedName name="hgfd" localSheetId="4" hidden="1">{"BA detail",#N/A,FALSE,"Q3YTD "}</definedName>
    <definedName name="hgjghjhhg" localSheetId="4" hidden="1">{#N/A,#N/A,FALSE,"Produkte Erw.";#N/A,#N/A,FALSE,"Produkte Plan";#N/A,#N/A,FALSE,"Leistungen Erw.";#N/A,#N/A,FALSE,"Leistungen Plan";#N/A,#N/A,FALSE,"KA Allg.Kosten (2)";#N/A,#N/A,FALSE,"KA All.Kosten"}</definedName>
    <definedName name="hgkh" localSheetId="4" hidden="1">{#N/A,#N/A,FALSE,"Aging Summary";#N/A,#N/A,FALSE,"Ratio Analysis";#N/A,#N/A,FALSE,"Test 120 Day Accts";#N/A,#N/A,FALSE,"Tickmarks"}</definedName>
    <definedName name="HGMYGJ" localSheetId="4" hidden="1">{#N/A,#N/A,FALSE,"OSBL"}</definedName>
    <definedName name="HGMYGJ_1" localSheetId="4" hidden="1">{#N/A,#N/A,FALSE,"OSBL"}</definedName>
    <definedName name="HGMYGJ_2" localSheetId="4" hidden="1">{#N/A,#N/A,FALSE,"OSBL"}</definedName>
    <definedName name="HGMYGJ_3" localSheetId="4" hidden="1">{#N/A,#N/A,FALSE,"OSBL"}</definedName>
    <definedName name="HGMYGJ_4" localSheetId="4" hidden="1">{#N/A,#N/A,FALSE,"OSBL"}</definedName>
    <definedName name="hgwr" localSheetId="4" hidden="1">{#N/A,#N/A,FALSE,"PGW"}</definedName>
    <definedName name="hgwr_1" localSheetId="4" hidden="1">{#N/A,#N/A,FALSE,"PGW"}</definedName>
    <definedName name="hgwr_2" localSheetId="4" hidden="1">{#N/A,#N/A,FALSE,"PGW"}</definedName>
    <definedName name="hgwr_3" localSheetId="4" hidden="1">{#N/A,#N/A,FALSE,"PGW"}</definedName>
    <definedName name="hgwr_4" localSheetId="4" hidden="1">{#N/A,#N/A,FALSE,"PGW"}</definedName>
    <definedName name="hh" localSheetId="4">{0.1;0;0.45;0;0;0;0;0;0.45}</definedName>
    <definedName name="hh.k" localSheetId="4" hidden="1">{#N/A,#N/A,FALSE,"KA CH  (2)"}</definedName>
    <definedName name="hhj.ls" localSheetId="4" hidden="1">{#N/A,#N/A,FALSE,"Produkte Erw.";#N/A,#N/A,FALSE,"Produkte Plan";#N/A,#N/A,FALSE,"Leistungen Erw.";#N/A,#N/A,FALSE,"Leistungen Plan";#N/A,#N/A,FALSE,"KA Allg.Kosten (2)";#N/A,#N/A,FALSE,"KA All.Kosten"}</definedName>
    <definedName name="hi" localSheetId="4" hidden="1">{#N/A,#N/A,TRUE,"Front";#N/A,#N/A,TRUE,"Simple Letter";#N/A,#N/A,TRUE,"Inside";#N/A,#N/A,TRUE,"Contents";#N/A,#N/A,TRUE,"Basis";#N/A,#N/A,TRUE,"Inclusions";#N/A,#N/A,TRUE,"Exclusions";#N/A,#N/A,TRUE,"Areas";#N/A,#N/A,TRUE,"Summary";#N/A,#N/A,TRUE,"Detail"}</definedName>
    <definedName name="Hibh" localSheetId="4" hidden="1">{#N/A,#N/A,FALSE,"Pharm";#N/A,#N/A,FALSE,"WWCM"}</definedName>
    <definedName name="High" localSheetId="4" hidden="1">{#N/A,#N/A,FALSE,"Pharm";#N/A,#N/A,FALSE,"WWCM"}</definedName>
    <definedName name="hj" localSheetId="4" hidden="1">{#N/A,#N/A,FALSE,"PMW Gruppe 99_98";#N/A,#N/A,FALSE,"PMW KG 98_99";#N/A,#N/A,FALSE,"PMW Inc. 99_98";#N/A,#N/A,FALSE,"PMW VTECH 99_98";#N/A,#N/A,FALSE,"PMW Thail. 99_98";#N/A,#N/A,FALSE,"PMW Canada 99_98";#N/A,#N/A,FALSE,"Währungsabw. 99_98"}</definedName>
    <definedName name="hj.k" localSheetId="4" hidden="1">{#N/A,#N/A,FALSE,"Produkte Erw.";#N/A,#N/A,FALSE,"Produkte Plan";#N/A,#N/A,FALSE,"Leistungen Erw.";#N/A,#N/A,FALSE,"Leistungen Plan";#N/A,#N/A,FALSE,"KA Allg.Kosten (2)";#N/A,#N/A,FALSE,"KA All.Kosten"}</definedName>
    <definedName name="hjghhgyg" localSheetId="4" hidden="1">{"Polymers Details",#N/A,FALSE,"Current Yr";"Polymer Details",#N/A,FALSE,"Budget";"Polymer Details",#N/A,FALSE,"Prior Year"}</definedName>
    <definedName name="hjghjhgj" localSheetId="4" hidden="1">{#N/A,#N/A,FALSE,"Produkte Erw.";#N/A,#N/A,FALSE,"Produkte Plan";#N/A,#N/A,FALSE,"Leistungen Erw.";#N/A,#N/A,FALSE,"Leistungen Plan";#N/A,#N/A,FALSE,"KA Allg.Kosten (2)";#N/A,#N/A,FALSE,"KA All.Kosten"}</definedName>
    <definedName name="hjh" localSheetId="4" hidden="1">{#N/A,#N/A,FALSE,"Produkte Erw.";#N/A,#N/A,FALSE,"Produkte Plan";#N/A,#N/A,FALSE,"Leistungen Erw.";#N/A,#N/A,FALSE,"Leistungen Plan";#N/A,#N/A,FALSE,"KA Allg.Kosten (2)";#N/A,#N/A,FALSE,"KA All.Kosten"}</definedName>
    <definedName name="hjhjffukfuk" localSheetId="4" hidden="1">{#N/A,#N/A,FALSE,"Pharm";#N/A,#N/A,FALSE,"WWCM"}</definedName>
    <definedName name="hjhjfkfukywrte" localSheetId="4" hidden="1">{#N/A,#N/A,FALSE,"Pharm";#N/A,#N/A,FALSE,"WWCM"}</definedName>
    <definedName name="hjhkjkl" localSheetId="4" hidden="1">{#N/A,#N/A,FALSE,"Pharm";#N/A,#N/A,FALSE,"WWCM"}</definedName>
    <definedName name="hjjjkk" localSheetId="4" hidden="1">{#N/A,#N/A,FALSE,"REPORT"}</definedName>
    <definedName name="hjjkk" localSheetId="4" hidden="1">{#N/A,#N/A,FALSE,"Pharm";#N/A,#N/A,FALSE,"WWCM"}</definedName>
    <definedName name="hjk" localSheetId="4" hidden="1">{#N/A,#N/A,FALSE,"Umsatz 99";#N/A,#N/A,FALSE,"ER 99 "}</definedName>
    <definedName name="hjk.l" localSheetId="4" hidden="1">{#N/A,#N/A,FALSE,"Produkte Erw.";#N/A,#N/A,FALSE,"Produkte Plan";#N/A,#N/A,FALSE,"Leistungen Erw.";#N/A,#N/A,FALSE,"Leistungen Plan";#N/A,#N/A,FALSE,"KA Allg.Kosten (2)";#N/A,#N/A,FALSE,"KA All.Kosten"}</definedName>
    <definedName name="hjkhjk" localSheetId="4" hidden="1">{#N/A,#N/A,FALSE,"KA CH  (2)"}</definedName>
    <definedName name="hjkjhk" localSheetId="4" hidden="1">{#N/A,#N/A,FALSE,"Umsatz HM";#N/A,#N/A,FALSE,"ER HM";#N/A,#N/A,FALSE,"EA HM  (2)";#N/A,#N/A,FALSE,"EA HM ";#N/A,#N/A,FALSE,"EA HM  (4)";#N/A,#N/A,FALSE,"EA HM  (3)";#N/A,#N/A,FALSE,"KA HM  (2)";#N/A,#N/A,FALSE,"KA HM";#N/A,#N/A,FALSE,"KA HM  (3)";#N/A,#N/A,FALSE,"KA HM (4)"}</definedName>
    <definedName name="hjkk" localSheetId="4" hidden="1">{#N/A,#N/A,FALSE,"Pharm";#N/A,#N/A,FALSE,"WWCM"}</definedName>
    <definedName name="hjkl"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kjkh"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SH" localSheetId="4" hidden="1">{#N/A,#N/A,FALSE,"REPORT"}</definedName>
    <definedName name="HMG" localSheetId="4" hidden="1">{#N/A,#N/A,FALSE,"REPORT"}</definedName>
    <definedName name="HOPIP" localSheetId="4" hidden="1">{#N/A,#N/A,FALSE,"PMTABB";#N/A,#N/A,FALSE,"PMTABB"}</definedName>
    <definedName name="HOPIP_1" localSheetId="4" hidden="1">{#N/A,#N/A,FALSE,"PMTABB";#N/A,#N/A,FALSE,"PMTABB"}</definedName>
    <definedName name="HOPIP_2" localSheetId="4" hidden="1">{#N/A,#N/A,FALSE,"PMTABB";#N/A,#N/A,FALSE,"PMTABB"}</definedName>
    <definedName name="HOPIP_3" localSheetId="4" hidden="1">{#N/A,#N/A,FALSE,"PMTABB";#N/A,#N/A,FALSE,"PMTABB"}</definedName>
    <definedName name="HOPIP_4" localSheetId="4" hidden="1">{#N/A,#N/A,FALSE,"PMTABB";#N/A,#N/A,FALSE,"PMTABB"}</definedName>
    <definedName name="hre" localSheetId="4" hidden="1">{#N/A,#N/A,FALSE,"TOWNSHIP"}</definedName>
    <definedName name="hre_1" localSheetId="4" hidden="1">{#N/A,#N/A,FALSE,"TOWNSHIP"}</definedName>
    <definedName name="hre_2" localSheetId="4" hidden="1">{#N/A,#N/A,FALSE,"TOWNSHIP"}</definedName>
    <definedName name="hre_3" localSheetId="4" hidden="1">{#N/A,#N/A,FALSE,"TOWNSHIP"}</definedName>
    <definedName name="hre_4" localSheetId="4" hidden="1">{#N/A,#N/A,FALSE,"TOWNSHIP"}</definedName>
    <definedName name="hs" localSheetId="4" hidden="1">{"'7'!$B$15:$D$32"}</definedName>
    <definedName name="hshhr" localSheetId="4" hidden="1">{#N/A,#N/A,TRUE,"Staffnos &amp; cost"}</definedName>
    <definedName name="html" localSheetId="4" hidden="1">{"'Demand Units'!$Z$2:$AF$53"}</definedName>
    <definedName name="HTML_Control" localSheetId="4" hidden="1">{"'Sheet1'!$A$4386:$N$4591"}</definedName>
    <definedName name="HTML_Control_1" localSheetId="4">{"'Income Statement'!$D$96:$E$101"}</definedName>
    <definedName name="HTML_Control_2" localSheetId="4">{"'Income Statement'!$D$96:$E$101"}</definedName>
    <definedName name="HTML_Control_3" localSheetId="4">{"'Income Statement'!$D$96:$E$101"}</definedName>
    <definedName name="HTML_Control_4" localSheetId="4">{"'Income Statement'!$D$96:$E$101"}</definedName>
    <definedName name="HTML_Control_5" localSheetId="4">{"'Income Statement'!$D$96:$E$101"}</definedName>
    <definedName name="HTML_control1" localSheetId="4" hidden="1">{"'August 2000'!$A$1:$J$101"}</definedName>
    <definedName name="html_control1_1" localSheetId="4">{"'Income Statement'!$D$96:$E$101"}</definedName>
    <definedName name="htyuityuiotio" localSheetId="4" hidden="1">{#N/A,#N/A,FALSE,"REPORT"}</definedName>
    <definedName name="hu"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y" localSheetId="4" hidden="1">{"'Sheet1'!$L$16"}</definedName>
    <definedName name="huy_1" localSheetId="4" hidden="1">{"'Sheet1'!$L$16"}</definedName>
    <definedName name="hw" localSheetId="4" hidden="1">{#N/A,#N/A,FALSE,"SUMMARY";#N/A,#N/A,FALSE,"SUMMARY"}</definedName>
    <definedName name="hw_1" localSheetId="4" hidden="1">{#N/A,#N/A,FALSE,"SUMMARY";#N/A,#N/A,FALSE,"SUMMARY"}</definedName>
    <definedName name="hw_2" localSheetId="4" hidden="1">{#N/A,#N/A,FALSE,"SUMMARY";#N/A,#N/A,FALSE,"SUMMARY"}</definedName>
    <definedName name="hw_3" localSheetId="4" hidden="1">{#N/A,#N/A,FALSE,"SUMMARY";#N/A,#N/A,FALSE,"SUMMARY"}</definedName>
    <definedName name="hw_4" localSheetId="4" hidden="1">{#N/A,#N/A,FALSE,"SUMMARY";#N/A,#N/A,FALSE,"SUMMARY"}</definedName>
    <definedName name="hy"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d" localSheetId="4" hidden="1">{#N/A,#N/A,FALSE,"COMP"}</definedName>
    <definedName name="Hypertention" localSheetId="4" hidden="1">{#N/A,#N/A,FALSE,"Pharm";#N/A,#N/A,FALSE,"WWCM"}</definedName>
    <definedName name="hypo" localSheetId="4" hidden="1">{#N/A,#N/A,FALSE,"Pharm";#N/A,#N/A,FALSE,"WWCM"}</definedName>
    <definedName name="hyy" localSheetId="4">City&amp;" "&amp;State</definedName>
    <definedName name="i" localSheetId="4" hidden="1">{"BS",#N/A,FALSE,"BS";"BS trend",#N/A,FALSE,"BS";"KPI",#N/A,FALSE,"KPI";"KPI trend",#N/A,FALSE,"KPI";"CF trend",#N/A,FALSE,"CF";"CF",#N/A,FALSE,"CF";"P&amp;LC",#N/A,FALSE,"P&amp;L";"P&amp;LC trend",#N/A,FALSE,"P&amp;L";"traffic",#N/A,FALSE,"Traffic";"P&amp;LR",#N/A,FALSE,"P&amp;L";"P&amp;LR trend",#N/A,FALSE,"P&amp;L";#N/A,#N/A,FALSE,"Variance";"Debtors",#N/A,FALSE,"Deb"}</definedName>
    <definedName name="ibnjks" localSheetId="4" hidden="1">{"detail",#N/A,FALSE,"mfg";"summary",#N/A,FALSE,"mfg"}</definedName>
    <definedName name="IC" localSheetId="4">{"Client Name or Project Name"}</definedName>
    <definedName name="ICA" localSheetId="4">{"Client Name or Project Name"}</definedName>
    <definedName name="ICPKM2"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DC2_16" localSheetId="4">City&amp;" "&amp;#NAME?</definedName>
    <definedName name="IDC2_17" localSheetId="4">City&amp;" "&amp;#NAME?</definedName>
    <definedName name="IDC2_18" localSheetId="4">City&amp;" "&amp;#NAME?</definedName>
    <definedName name="IDC2_19" localSheetId="4">City&amp;" "&amp;#NAME?</definedName>
    <definedName name="IDC2_21" localSheetId="4">City&amp;" "&amp;#NAME?</definedName>
    <definedName name="IDCGK" localSheetId="4">City&amp;" "&amp;State</definedName>
    <definedName name="IDCGK_16" localSheetId="4">City&amp;" "&amp;#NAME?</definedName>
    <definedName name="IDCGK_17" localSheetId="4">City&amp;" "&amp;#NAME?</definedName>
    <definedName name="IDCGK_18" localSheetId="4">City&amp;" "&amp;#NAME?</definedName>
    <definedName name="IDCGK_19" localSheetId="4">City&amp;" "&amp;#NAME?</definedName>
    <definedName name="IDCGK_21" localSheetId="4">City&amp;" "&amp;#NAME?</definedName>
    <definedName name="idiot" localSheetId="4" hidden="1">{"dep. full detail",#N/A,FALSE,"annex";"3cd annex",#N/A,FALSE,"annex";"co. dep.",#N/A,FALSE,"annex"}</definedName>
    <definedName name="IGAER"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GCON"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ihb" localSheetId="4" hidden="1">{#N/A,#N/A,FALSE,"Tabl. D1";#N/A,#N/A,FALSE,"Tabl. D1 b";#N/A,#N/A,FALSE,"Tabl. D2";#N/A,#N/A,FALSE,"Tabl. D2 b";#N/A,#N/A,FALSE,"Tabl. D3";#N/A,#N/A,FALSE,"Tabl. D4";#N/A,#N/A,FALSE,"Tabl. D5"}</definedName>
    <definedName name="ii.oo" localSheetId="4" hidden="1">{#N/A,#N/A,FALSE,"Umsatz EO BP";#N/A,#N/A,FALSE,"Umsatz EO OP";#N/A,#N/A,FALSE,"ER EO BP";#N/A,#N/A,FALSE,"ER EO OP";#N/A,#N/A,FALSE,"EA EO (2)";#N/A,#N/A,FALSE,"EA EO";#N/A,#N/A,FALSE,"EA EO (3)";#N/A,#N/A,FALSE,"EA EO (4)";#N/A,#N/A,FALSE,"KA EO  (2)";#N/A,#N/A,FALSE,"KA EO";#N/A,#N/A,FALSE,"KA EO  (3)";#N/A,#N/A,FALSE,"KA EO (4)"}</definedName>
    <definedName name="iii" localSheetId="4" hidden="1">{"detail",#N/A,FALSE,"mfg";"summary",#N/A,FALSE,"mfg"}</definedName>
    <definedName name="iiiii" localSheetId="4" hidden="1">{#N/A,#N/A,FALSE,"Calc";#N/A,#N/A,FALSE,"Sensitivity";#N/A,#N/A,FALSE,"LT Earn.Dil.";#N/A,#N/A,FALSE,"Dil. AVP"}</definedName>
    <definedName name="iiij" localSheetId="4" hidden="1">{#N/A,#N/A,FALSE,"BANNERS";#N/A,#N/A,FALSE,"Market";#N/A,#N/A,FALSE,"Tel Rev";#N/A,#N/A,FALSE,"Revenues IOL";#N/A,#N/A,FALSE,"Invest";#N/A,#N/A,FALSE,"Op Cost1";#N/A,#N/A,FALSE,"Op Cost2";#N/A,#N/A,FALSE,"Oth_&amp;_Tot_Revenues";#N/A,#N/A,FALSE,"Fin Mod";#N/A,#N/A,FALSE,"FinMod_RoW";#N/A,#N/A,FALSE,"P&amp;E Burocrat";#N/A,#N/A,FALSE,"cash flow"}</definedName>
    <definedName name="ijoi" localSheetId="4" hidden="1">{#N/A,#N/A,FALSE,"Produkte Erw.";#N/A,#N/A,FALSE,"Produkte Plan";#N/A,#N/A,FALSE,"Leistungen Erw.";#N/A,#N/A,FALSE,"Leistungen Plan";#N/A,#N/A,FALSE,"KA Allg.Kosten (2)";#N/A,#N/A,FALSE,"KA All.Kosten"}</definedName>
    <definedName name="ik" localSheetId="4" hidden="1">{#N/A,#N/A,FALSE,"Calc";#N/A,#N/A,FALSE,"Sensitivity";#N/A,#N/A,FALSE,"LT Earn.Dil.";#N/A,#N/A,FALSE,"Dil. AVP"}</definedName>
    <definedName name="In" localSheetId="4" hidden="1">{#N/A,#N/A,FALSE,"gc (2)"}</definedName>
    <definedName name="IncomeStatement" localSheetId="4">{0.35875,0.39124,0.421299}</definedName>
    <definedName name="Incurr" localSheetId="4" hidden="1">{#N/A,#N/A,FALSE,"gc (2)"}</definedName>
    <definedName name="ingjks" localSheetId="4" hidden="1">{"detail",#N/A,FALSE,"mfg";"summary",#N/A,FALSE,"mfg"}</definedName>
    <definedName name="iniske" localSheetId="4" hidden="1">{"detail",#N/A,FALSE,"mfg";"summary",#N/A,FALSE,"mfg"}</definedName>
    <definedName name="inksl" localSheetId="4" hidden="1">{"detail",#N/A,FALSE,"mfg";"summary",#N/A,FALSE,"mfg"}</definedName>
    <definedName name="instructions1" localSheetId="4" hidden="1">{#N/A,#N/A,TRUE,"Summary - 1";#N/A,#N/A,TRUE,"Summary - 2";#N/A,#N/A,TRUE,"Group Analysis";#N/A,#N/A,TRUE,"FM Analysis";#N/A,#N/A,TRUE,"T&amp;M-Onsite";#N/A,#N/A,TRUE,"FP-Onsite";#N/A,#N/A,TRUE,"NB-Onsite";#N/A,#N/A,TRUE,"T&amp;M-Offshore";#N/A,#N/A,TRUE,"FP-Offshore";#N/A,#N/A,TRUE,"Appendix-A";#N/A,#N/A,TRUE,"Appendix-B"}</definedName>
    <definedName name="Insurance"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terest" localSheetId="4">-IPMT(Interest_Rate/12,'Management commentary '!Payment_Number,'Management commentary '!Number_of_Payments,Loan_Amount)</definedName>
    <definedName name="Inventory"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o" localSheetId="4" hidden="1">{"Performance Details",#N/A,FALSE,"Current Yr";"Performance Details",#N/A,FALSE,"Budget";"Performance Details",#N/A,FALSE,"Prior Year"}</definedName>
    <definedName name="ioioo" localSheetId="4" hidden="1">{#N/A,#N/A,FALSE,"Rohstoffnotierungen";#N/A,#N/A,FALSE,"ER HCST Erw. 99";#N/A,#N/A,FALSE,"ER HCST Plan 00";#N/A,#N/A,FALSE,"Umsatz KG";#N/A,#N/A,FALSE,"ER HCST";#N/A,#N/A,FALSE,"EA ST (2)";#N/A,#N/A,FALSE,"EA ST";#N/A,#N/A,FALSE,"EA ST (3)";#N/A,#N/A,FALSE,"EA ST (4)";#N/A,#N/A,FALSE,"KA ST  (2)";#N/A,#N/A,FALSE,"KA ST";#N/A,#N/A,FALSE,"KA ST  (3)";#N/A,#N/A,FALSE,"KA ST (4)"}</definedName>
    <definedName name="iop" localSheetId="4" hidden="1">{#N/A,"PURCHM",FALSE,"Business Analysis";#N/A,"SPADD",FALSE,"Business Analysis"}</definedName>
    <definedName name="IP" localSheetId="4" hidden="1">{#N/A,#N/A,FALSE,"Pharm";#N/A,#N/A,FALSE,"WWCM"}</definedName>
    <definedName name="Irbe" localSheetId="4" hidden="1">{#N/A,#N/A,FALSE,"Pharm";#N/A,#N/A,FALSE,"WWCM"}</definedName>
    <definedName name="Issue2" localSheetId="4" hidden="1">{#N/A,#N/A,FALSE,"CDA Plan"}</definedName>
    <definedName name="iu" localSheetId="4" hidden="1">{#N/A,#N/A,TRUE,"Staffnos &amp; cost"}</definedName>
    <definedName name="iungds" localSheetId="4" hidden="1">{"detail",#N/A,FALSE,"mfg";"summary",#N/A,FALSE,"mfg"}</definedName>
    <definedName name="iuoi" localSheetId="4" hidden="1">{#N/A,#N/A,FALSE,"Balance Sheet";#N/A,#N/A,FALSE,"Income Statement";#N/A,#N/A,FALSE,"Changes in Financial Position"}</definedName>
    <definedName name="iuyt" localSheetId="4" hidden="1">{"AS REP",#N/A,FALSE,"EEFSNAP2";"PROP",#N/A,FALSE,"EEFSNAP2";"RISKS",#N/A,FALSE,"EEFSNAP2";"VIEW ALL",#N/A,FALSE,"EEFSNAP2"}</definedName>
    <definedName name="iy" localSheetId="4" hidden="1">{"AS REP",#N/A,FALSE,"EEFSNAP2";"PROP",#N/A,FALSE,"EEFSNAP2";"RISKS",#N/A,FALSE,"EEFSNAP2";"VIEW ALL",#N/A,FALSE,"EEFSNAP2"}</definedName>
    <definedName name="j" localSheetId="4" hidden="1">{#N/A,#N/A,FALSE,"REPORT"}</definedName>
    <definedName name="JANV" localSheetId="4" hidden="1">{#N/A,#N/A,FALSE,"Tabl. H1";#N/A,#N/A,FALSE,"Tabl. H2"}</definedName>
    <definedName name="Jay" localSheetId="4" hidden="1">{#N/A,#N/A,FALSE,"gc (2)"}</definedName>
    <definedName name="jdk" localSheetId="4" hidden="1">{"Geo - Detail Detail",#N/A,FALSE,"Geo View";"Geo - Detail",#N/A,FALSE,"Geo View";"Dept - Detail Detail",#N/A,FALSE,"Dept View";"Dept - Detail",#N/A,FALSE,"Dept View"}</definedName>
    <definedName name="jen"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jeudi" localSheetId="4" hidden="1">{#N/A,#N/A,FALSE,"Tabl. A1";#N/A,#N/A,FALSE,"Tabl. A1 b";#N/A,#N/A,FALSE,"Tabl. A2";#N/A,#N/A,FALSE,"Tabl. A2-1";#N/A,#N/A,FALSE,"Tabl. A2-2"}</definedName>
    <definedName name="jf" localSheetId="4" hidden="1">{"Geo - Detail Detail",#N/A,FALSE,"Geo View";"Geo - Detail",#N/A,FALSE,"Geo View";"Dept - Detail Detail",#N/A,FALSE,"Dept View";"Dept - Detail",#N/A,FALSE,"Dept View"}</definedName>
    <definedName name="jfdsir" localSheetId="4" hidden="1">{"YTD",#N/A,FALSE,"SUM"}</definedName>
    <definedName name="jffhd" localSheetId="4" hidden="1">{#N/A,#N/A,TRUE,"Staffnos &amp; cost"}</definedName>
    <definedName name="jg"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hjg" localSheetId="4" hidden="1">{#N/A,#N/A,FALSE,"Produkte Erw.";#N/A,#N/A,FALSE,"Produkte Plan";#N/A,#N/A,FALSE,"Leistungen Erw.";#N/A,#N/A,FALSE,"Leistungen Plan";#N/A,#N/A,FALSE,"KA Allg.Kosten (2)";#N/A,#N/A,FALSE,"KA All.Kosten"}</definedName>
    <definedName name="jghjhlldc" localSheetId="4" hidden="1">{#N/A,#N/A,FALSE,"Umsatz CH";#N/A,#N/A,FALSE,"ER CH";#N/A,#N/A,FALSE,"EA CH (2) ";#N/A,#N/A,FALSE,"EA CH";#N/A,#N/A,FALSE,"EA CH (3) ";#N/A,#N/A,FALSE,"EA CH (4)";#N/A,#N/A,FALSE,"KA CH";#N/A,#N/A,FALSE,"KA CH  (2)";#N/A,#N/A,FALSE,"KA CH  (3)";#N/A,#N/A,FALSE,"KA CH (4)"}</definedName>
    <definedName name="JHDFJDHFDHFDHF" localSheetId="4" hidden="1">{#N/A,#N/A,FALSE,"Aging Summary";#N/A,#N/A,FALSE,"Ratio Analysis";#N/A,#N/A,FALSE,"Test 120 Day Accts";#N/A,#N/A,FALSE,"Tickmarks"}</definedName>
    <definedName name="jhfjhfhjf" localSheetId="4" hidden="1">{#N/A,#N/A,FALSE,"PMTABB";#N/A,#N/A,FALSE,"PMTABB"}</definedName>
    <definedName name="jhgbggvjb" localSheetId="4">{#N/A,#N/A,TRUE,"Staffnos &amp; cost"}</definedName>
    <definedName name="JHGF" localSheetId="4" hidden="1">{#N/A,#N/A,FALSE,"Tabl. A1";#N/A,#N/A,FALSE,"Tabl. A1 b";#N/A,#N/A,FALSE,"Tabl. A2";#N/A,#N/A,FALSE,"Tabl. A2-1";#N/A,#N/A,FALSE,"Tabl. A2-2"}</definedName>
    <definedName name="JHGFDS" localSheetId="4" hidden="1">{#N/A,#N/A,FALSE,"Tabl. G1";#N/A,#N/A,FALSE,"Tabl. G2"}</definedName>
    <definedName name="jhgfes" localSheetId="4" hidden="1">{"'7'!$B$15:$D$32"}</definedName>
    <definedName name="jhhgjh" localSheetId="4" hidden="1">{#N/A,#N/A,FALSE,"KA CH  (2)"}</definedName>
    <definedName name="jhj"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dhfgfdhfg" localSheetId="4" hidden="1">{#N/A,#N/A,FALSE,"Aging Summary";#N/A,#N/A,FALSE,"Ratio Analysis";#N/A,#N/A,FALSE,"Test 120 Day Accts";#N/A,#N/A,FALSE,"Tickmarks"}</definedName>
    <definedName name="jhjhgj"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k" localSheetId="4" hidden="1">{#N/A,#N/A,FALSE,"Tabl. D1";#N/A,#N/A,FALSE,"Tabl. D1 b";#N/A,#N/A,FALSE,"Tabl. D2";#N/A,#N/A,FALSE,"Tabl. D2 b";#N/A,#N/A,FALSE,"Tabl. D3";#N/A,#N/A,FALSE,"Tabl. D4";#N/A,#N/A,FALSE,"Tabl. D5"}</definedName>
    <definedName name="jhll" localSheetId="4" hidden="1">{#N/A,#N/A,FALSE,"PMW Gruppe 99_98";#N/A,#N/A,FALSE,"PMW KG 98_99";#N/A,#N/A,FALSE,"PMW Inc. 99_98";#N/A,#N/A,FALSE,"PMW VTECH 99_98";#N/A,#N/A,FALSE,"PMW Thail. 99_98";#N/A,#N/A,FALSE,"PMW Canada 99_98";#N/A,#N/A,FALSE,"Währungsabw. 99_98"}</definedName>
    <definedName name="jhsk" localSheetId="4" hidden="1">{#N/A,#N/A,FALSE,"COMP"}</definedName>
    <definedName name="jhu" localSheetId="4" hidden="1">{#N/A,"PURADD",FALSE,"Business Analysis";#N/A,"PURSPP",FALSE,"Business Analysis";#N/A,"CTGIND",FALSE,"Business Analysis";#N/A,"PURCHM",FALSE,"Business Analysis";#N/A,"SPADD",FALSE,"Business Analysis";#N/A,"EPOXY",FALSE,"Business Analysis";#N/A,"PURPER",FALSE,"Business Analysis"}</definedName>
    <definedName name="jih" localSheetId="4"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j" localSheetId="4" hidden="1">{#N/A,#N/A,FALSE,"Rohstoffnotierungen";#N/A,#N/A,FALSE,"ER HCST Erw. 99";#N/A,#N/A,FALSE,"ER HCST Plan 00";#N/A,#N/A,FALSE,"Umsatz KG";#N/A,#N/A,FALSE,"ER HCST";#N/A,#N/A,FALSE,"EA ST (2)";#N/A,#N/A,FALSE,"EA ST";#N/A,#N/A,FALSE,"EA ST (3)";#N/A,#N/A,FALSE,"EA ST (4)";#N/A,#N/A,FALSE,"KA ST  (2)";#N/A,#N/A,FALSE,"KA ST";#N/A,#N/A,FALSE,"KA ST  (3)";#N/A,#N/A,FALSE,"KA ST (4)"}</definedName>
    <definedName name="jj.l" localSheetId="4" hidden="1">{#N/A,#N/A,FALSE,"Umsatz EO BP";#N/A,#N/A,FALSE,"Umsatz EO OP";#N/A,#N/A,FALSE,"ER EO BP";#N/A,#N/A,FALSE,"ER EO OP";#N/A,#N/A,FALSE,"EA EO (2)";#N/A,#N/A,FALSE,"EA EO";#N/A,#N/A,FALSE,"EA EO (3)";#N/A,#N/A,FALSE,"EA EO (4)";#N/A,#N/A,FALSE,"KA EO  (2)";#N/A,#N/A,FALSE,"KA EO";#N/A,#N/A,FALSE,"KA EO  (3)";#N/A,#N/A,FALSE,"KA EO (4)"}</definedName>
    <definedName name="jj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jhg.lllll" localSheetId="4" hidden="1">{#N/A,#N/A,FALSE,"Umsatz HM";#N/A,#N/A,FALSE,"ER HM";#N/A,#N/A,FALSE,"EA HM  (2)";#N/A,#N/A,FALSE,"EA HM ";#N/A,#N/A,FALSE,"EA HM  (4)";#N/A,#N/A,FALSE,"EA HM  (3)";#N/A,#N/A,FALSE,"KA HM  (2)";#N/A,#N/A,FALSE,"KA HM";#N/A,#N/A,FALSE,"KA HM  (3)";#N/A,#N/A,FALSE,"KA HM (4)"}</definedName>
    <definedName name="jjj" localSheetId="4" hidden="1">{#N/A,#N/A,FALSE,"REPORT"}</definedName>
    <definedName name="jjjj" localSheetId="4" hidden="1">{#N/A,#N/A,FALSE,"Staffnos &amp; cost"}</definedName>
    <definedName name="jjjj_1" localSheetId="4" hidden="1">{#N/A,#N/A,FALSE,"Staffnos &amp; cost"}</definedName>
    <definedName name="jjkk" localSheetId="4" hidden="1">{#N/A,#N/A,TRUE,"Summary - 1";#N/A,#N/A,TRUE,"Summary - 2";#N/A,#N/A,TRUE,"Group Analysis";#N/A,#N/A,TRUE,"FM Analysis";#N/A,#N/A,TRUE,"T&amp;M-Onsite";#N/A,#N/A,TRUE,"FP-Onsite";#N/A,#N/A,TRUE,"NB-Onsite";#N/A,#N/A,TRUE,"T&amp;M-Offshore";#N/A,#N/A,TRUE,"FP-Offshore";#N/A,#N/A,TRUE,"Appendix-A";#N/A,#N/A,TRUE,"Appendix-B"}</definedName>
    <definedName name="jk" localSheetId="4" hidden="1">{#N/A,#N/A,FALSE,"FY97";#N/A,#N/A,FALSE,"FY98";#N/A,#N/A,FALSE,"FY99";#N/A,#N/A,FALSE,"FY00";#N/A,#N/A,FALSE,"FY01"}</definedName>
    <definedName name="jkdflgidjlkp" localSheetId="4">City&amp;" "&amp;State</definedName>
    <definedName name="jkdsfkasf" localSheetId="4" hidden="1">{#N/A,#N/A,FALSE,"Aging Summary";#N/A,#N/A,FALSE,"Ratio Analysis";#N/A,#N/A,FALSE,"Test 120 Day Accts";#N/A,#N/A,FALSE,"Tickmarks"}</definedName>
    <definedName name="jkfgdfa"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jkiu" localSheetId="4" hidden="1">{#N/A,"PURCHM",FALSE,"Business Analysis";#N/A,"SPADD",FALSE,"Business Analysis"}</definedName>
    <definedName name="jkjhk" localSheetId="4" hidden="1">{#N/A,#N/A,FALSE,"Produkte Erw.";#N/A,#N/A,FALSE,"Produkte Plan";#N/A,#N/A,FALSE,"Leistungen Erw.";#N/A,#N/A,FALSE,"Leistungen Plan";#N/A,#N/A,FALSE,"KA Allg.Kosten (2)";#N/A,#N/A,FALSE,"KA All.Kosten"}</definedName>
    <definedName name="jkjk"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l" localSheetId="4" hidden="1">{#N/A,#N/A,FALSE,"REPORT"}</definedName>
    <definedName name="jklj" localSheetId="4" hidden="1">{"TOTAL",#N/A,FALSE,"A";"FISCAL94",#N/A,FALSE,"A";"FISCAL95",#N/A,FALSE,"A";"FISCAL96",#N/A,FALSE,"A";"misc page",#N/A,FALSE,"A"}</definedName>
    <definedName name="jklk" localSheetId="4" hidden="1">{#N/A,#N/A,FALSE,"Umsatz OK";#N/A,#N/A,FALSE,"ER OK ";#N/A,#N/A,FALSE,"EA OK (2)";#N/A,#N/A,FALSE,"EA OK";#N/A,#N/A,FALSE,"EA OK (3)";#N/A,#N/A,FALSE,"EA OK (4)";#N/A,#N/A,FALSE,"KA OK  (2)";#N/A,#N/A,FALSE,"KA OK";#N/A,#N/A,FALSE,"KA OK  (3)";#N/A,#N/A,FALSE,"KA OK (4)"}</definedName>
    <definedName name="jklñ"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m" localSheetId="4" hidden="1">{"'7'!$B$15:$D$32"}</definedName>
    <definedName name="jkwsd" localSheetId="4" hidden="1">{"detail",#N/A,FALSE,"mfg";"summary",#N/A,FALSE,"mfg"}</definedName>
    <definedName name="jnbid" localSheetId="4" hidden="1">{"detail",#N/A,FALSE,"mfg";"summary",#N/A,FALSE,"mfg"}</definedName>
    <definedName name="Job.NoAKD1" localSheetId="4" hidden="1">{#N/A,#N/A,FALSE,"CMN_FE"}</definedName>
    <definedName name="jomn" localSheetId="4" hidden="1">{"pro_view",#N/A,FALSE,"EEFSNAP2";"rep_view",#N/A,FALSE,"EEFSNAP2"}</definedName>
    <definedName name="jöuiuiuzi" localSheetId="4" hidden="1">{#N/A,#N/A,FALSE,"Umsatz 99";#N/A,#N/A,FALSE,"ER 99 "}</definedName>
    <definedName name="JRN" localSheetId="4" hidden="1">{#N/A,#N/A,FALSE,"Tabl. FB300";#N/A,#N/A,FALSE,"Tabl. FB350";#N/A,#N/A,FALSE,"Tabl. FB400";#N/A,#N/A,FALSE,"Tabl. FB500";#N/A,#N/A,FALSE,"Tabl. FS090"}</definedName>
    <definedName name="ju" localSheetId="4" hidden="1">{#N/A,#N/A,TRUE,"Front";#N/A,#N/A,TRUE,"Simple Letter";#N/A,#N/A,TRUE,"Inside";#N/A,#N/A,TRUE,"Contents";#N/A,#N/A,TRUE,"Basis";#N/A,#N/A,TRUE,"Inclusions";#N/A,#N/A,TRUE,"Exclusions";#N/A,#N/A,TRUE,"Areas";#N/A,#N/A,TRUE,"Summary";#N/A,#N/A,TRUE,"Detail"}</definedName>
    <definedName name="juddf" localSheetId="4" hidden="1">{#N/A,#N/A,FALSE,"Staffnos &amp; cost"}</definedName>
    <definedName name="judy" localSheetId="4" hidden="1">{#N/A,#N/A,FALSE,"Pharm";#N/A,#N/A,FALSE,"WWCM"}</definedName>
    <definedName name="judy1" localSheetId="4" hidden="1">{#N/A,#N/A,FALSE,"Pharm";#N/A,#N/A,FALSE,"WWCM"}</definedName>
    <definedName name="jui" localSheetId="4" hidden="1">{"YD OTHER",#N/A,FALSE,"YTD"}</definedName>
    <definedName name="juio" localSheetId="4" hidden="1">{"Page 1",#N/A,FALSE,"OpExJanVsPY";"Page 2",#N/A,FALSE,"OpExJanVsPY"}</definedName>
    <definedName name="JY" localSheetId="4" hidden="1">{#N/A,#N/A,FALSE,"Part ABC"}</definedName>
    <definedName name="k"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amal" localSheetId="4" hidden="1">{#N/A,#N/A,FALSE,"Staffnos &amp; cost"}</definedName>
    <definedName name="kamlesh.xls"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kcuf" localSheetId="4" hidden="1">{"SUMMARY",#N/A,TRUE,"SUMMARY";"compare",#N/A,TRUE,"Vs. Bus Plan";"ratios",#N/A,TRUE,"Ratios";"REVENUE",#N/A,TRUE,"Revenue";"expenses",#N/A,TRUE,"1996 budget";"payroll",#N/A,TRUE,"Payroll"}</definedName>
    <definedName name="kdl" localSheetId="4" hidden="1">{#N/A,#N/A,FALSE,"COMP"}</definedName>
    <definedName name="kh"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J" localSheetId="4">City&amp;" "&amp;State</definedName>
    <definedName name="kil" localSheetId="4" hidden="1">{#N/A,#N/A,TRUE,"Front";#N/A,#N/A,TRUE,"Simple Letter";#N/A,#N/A,TRUE,"Inside";#N/A,#N/A,TRUE,"Contents";#N/A,#N/A,TRUE,"Basis";#N/A,#N/A,TRUE,"Inclusions";#N/A,#N/A,TRUE,"Exclusions";#N/A,#N/A,TRUE,"Areas";#N/A,#N/A,TRUE,"Summary";#N/A,#N/A,TRUE,"Detail"}</definedName>
    <definedName name="kinjs" localSheetId="4" hidden="1">{"detail",#N/A,FALSE,"mfg";"summary",#N/A,FALSE,"mfg"}</definedName>
    <definedName name="kip" localSheetId="4" hidden="1">{"detail",#N/A,FALSE,"mfg";"summary",#N/A,FALSE,"mfg"}</definedName>
    <definedName name="kjf" localSheetId="4" hidden="1">{#N/A,#N/A,TRUE,"Staffnos &amp; cost"}</definedName>
    <definedName name="kjg" localSheetId="4"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g" localSheetId="4" hidden="1">{"ICD Details",#N/A,FALSE,"Current Yr";"ICD Details",#N/A,FALSE,"Budget";"ICD Details",#N/A,FALSE,"Prior Year"}</definedName>
    <definedName name="kjip" localSheetId="4" hidden="1">{"detail",#N/A,FALSE,"mfg";"summary",#N/A,FALSE,"mfg"}</definedName>
    <definedName name="kjk.l" localSheetId="4" hidden="1">{#N/A,#N/A,FALSE,"Produkte Erw.";#N/A,#N/A,FALSE,"Produkte Plan";#N/A,#N/A,FALSE,"Leistungen Erw.";#N/A,#N/A,FALSE,"Leistungen Plan";#N/A,#N/A,FALSE,"KA Allg.Kosten (2)";#N/A,#N/A,FALSE,"KA All.Kosten"}</definedName>
    <definedName name="kjljkölhklh" localSheetId="4" hidden="1">{#N/A,#N/A,FALSE,"Produkte Erw.";#N/A,#N/A,FALSE,"Produkte Plan";#N/A,#N/A,FALSE,"Leistungen Erw.";#N/A,#N/A,FALSE,"Leistungen Plan";#N/A,#N/A,FALSE,"KA Allg.Kosten (2)";#N/A,#N/A,FALSE,"KA All.Kosten"}</definedName>
    <definedName name="kju" localSheetId="4" hidden="1">{#N/A,#N/A,TRUE,"Front";#N/A,#N/A,TRUE,"Simple Letter";#N/A,#N/A,TRUE,"Inside";#N/A,#N/A,TRUE,"Contents";#N/A,#N/A,TRUE,"Basis";#N/A,#N/A,TRUE,"Inclusions";#N/A,#N/A,TRUE,"Exclusions";#N/A,#N/A,TRUE,"Areas";#N/A,#N/A,TRUE,"Summary";#N/A,#N/A,TRUE,"Detail"}</definedName>
    <definedName name="KK" localSheetId="4" hidden="1">{#N/A,"PURCHM",FALSE,"Business Analysis";#N/A,"SPADD",FALSE,"Business Analysis"}</definedName>
    <definedName name="kk.l" localSheetId="4" hidden="1">{#N/A,#N/A,FALSE,"Produkte Erw.";#N/A,#N/A,FALSE,"Produkte Plan";#N/A,#N/A,FALSE,"Leistungen Erw.";#N/A,#N/A,FALSE,"Leistungen Plan";#N/A,#N/A,FALSE,"KA Allg.Kosten (2)";#N/A,#N/A,FALSE,"KA All.Kosten"}</definedName>
    <definedName name="kkk" localSheetId="4" hidden="1">{#N/A,#N/A,FALSE,"Pharm";#N/A,#N/A,FALSE,"WWCM"}</definedName>
    <definedName name="kkk.llll" localSheetId="4" hidden="1">{#N/A,#N/A,FALSE,"Umsatz CH";#N/A,#N/A,FALSE,"ER CH";#N/A,#N/A,FALSE,"EA CH (2) ";#N/A,#N/A,FALSE,"EA CH";#N/A,#N/A,FALSE,"EA CH (3) ";#N/A,#N/A,FALSE,"EA CH (4)";#N/A,#N/A,FALSE,"KA CH";#N/A,#N/A,FALSE,"KA CH  (2)";#N/A,#N/A,FALSE,"KA CH  (3)";#N/A,#N/A,FALSE,"KA CH (4)"}</definedName>
    <definedName name="kkkk.llll" localSheetId="4" hidden="1">{#N/A,#N/A,FALSE,"Umsatz 99";#N/A,#N/A,FALSE,"ER 99 "}</definedName>
    <definedName name="kkkkkkk"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kl" localSheetId="4" hidden="1">{#N/A,#N/A,FALSE,"FY97";#N/A,#N/A,FALSE,"FY98";#N/A,#N/A,FALSE,"FY99";#N/A,#N/A,FALSE,"FY00";#N/A,#N/A,FALSE,"FY01"}</definedName>
    <definedName name="KLD" localSheetId="4" hidden="1">{#N/A,#N/A,FALSE,"Tabl. A1";#N/A,#N/A,FALSE,"Tabl. A1 b";#N/A,#N/A,FALSE,"Tabl. A2";#N/A,#N/A,FALSE,"Tabl. A2-1";#N/A,#N/A,FALSE,"Tabl. A2-2"}</definedName>
    <definedName name="KLE" localSheetId="4" hidden="1">{#N/A,#N/A,FALSE,"Tabl. H1";#N/A,#N/A,FALSE,"Tabl. H2"}</definedName>
    <definedName name="kljk" localSheetId="4" hidden="1">{#N/A,#N/A,FALSE,"Umsatz CH";#N/A,#N/A,FALSE,"ER CH";#N/A,#N/A,FALSE,"EA CH (2) ";#N/A,#N/A,FALSE,"EA CH";#N/A,#N/A,FALSE,"EA CH (3) ";#N/A,#N/A,FALSE,"EA CH (4)";#N/A,#N/A,FALSE,"KA CH";#N/A,#N/A,FALSE,"KA CH  (2)";#N/A,#N/A,FALSE,"KA CH  (3)";#N/A,#N/A,FALSE,"KA CH (4)"}</definedName>
    <definedName name="kljklkj" localSheetId="4" hidden="1">{#N/A,#N/A,FALSE,"KA CH  (2)"}</definedName>
    <definedName name="klk" localSheetId="4" hidden="1">{#N/A,#N/A,FALSE,"Umsatz CH";#N/A,#N/A,FALSE,"ER CH";#N/A,#N/A,FALSE,"EA CH (2) ";#N/A,#N/A,FALSE,"EA CH";#N/A,#N/A,FALSE,"EA CH (3) ";#N/A,#N/A,FALSE,"EA CH (4)";#N/A,#N/A,FALSE,"KA CH";#N/A,#N/A,FALSE,"KA CH  (2)";#N/A,#N/A,FALSE,"KA CH  (3)";#N/A,#N/A,FALSE,"KA CH (4)"}</definedName>
    <definedName name="klkj"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K" localSheetId="4" hidden="1">{#N/A,#N/A,FALSE,"OSBL"}</definedName>
    <definedName name="KLKK_1" localSheetId="4" hidden="1">{#N/A,#N/A,FALSE,"OSBL"}</definedName>
    <definedName name="KLKK_2" localSheetId="4" hidden="1">{#N/A,#N/A,FALSE,"OSBL"}</definedName>
    <definedName name="KLKK_3" localSheetId="4" hidden="1">{#N/A,#N/A,FALSE,"OSBL"}</definedName>
    <definedName name="KLKK_4" localSheetId="4" hidden="1">{#N/A,#N/A,FALSE,"OSBL"}</definedName>
    <definedName name="klklkl" localSheetId="4" hidden="1">{#N/A,#N/A,FALSE,"Umsatz 99";#N/A,#N/A,FALSE,"ER 99 "}</definedName>
    <definedName name="klñ" localSheetId="4" hidden="1">{"AS REP",#N/A,FALSE,"EEFSNAP2";"PROP",#N/A,FALSE,"EEFSNAP2";"RISKS",#N/A,FALSE,"EEFSNAP2";"VIEW ALL",#N/A,FALSE,"EEFSNAP2"}</definedName>
    <definedName name="km" localSheetId="4" hidden="1">{"pro_view",#N/A,FALSE,"EEFSNAP2";"rep_view",#N/A,FALSE,"EEFSNAP2"}</definedName>
    <definedName name="kmjnh" localSheetId="4" hidden="1">{#N/A,#N/A,FALSE,"COMP"}</definedName>
    <definedName name="köäklöl"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l" localSheetId="4" hidden="1">{#N/A,#N/A,FALSE,"Staffnos &amp; cost"}</definedName>
    <definedName name="kou" localSheetId="4" hidden="1">{"detail",#N/A,FALSE,"mfg";"summary",#N/A,FALSE,"mfg"}</definedName>
    <definedName name="kslkjkjlkjd" localSheetId="4" hidden="1">{#N/A,#N/A,FALSE,"REPORT"}</definedName>
    <definedName name="KUULSD" localSheetId="4" hidden="1">{#N/A,#N/A,FALSE,"COMP"}</definedName>
    <definedName name="Kuyan" localSheetId="4">{"Client Name or Project Name"}</definedName>
    <definedName name="L" localSheetId="4" hidden="1">{"PAGE 1",#N/A,FALSE,"COS Excluding Geismar";"PAGE 2",#N/A,FALSE,"COS Excluding Geismar";"PAGE 3",#N/A,FALSE,"COS Excluding Geismar"}</definedName>
    <definedName name="Last_Row" localSheetId="4">IF('Management commentary '!Values_Entered,Header_Row+'Management commentary '!Number_of_Payments,Header_Row)</definedName>
    <definedName name="LC" localSheetId="4" hidden="1">{#N/A,#N/A,FALSE,"PMTABB";#N/A,#N/A,FALSE,"PMTABB"}</definedName>
    <definedName name="ldkeir" localSheetId="4" hidden="1">{#N/A,"PURCHM",FALSE,"Business Analysis";#N/A,"SPADD",FALSE,"Business Analysis"}</definedName>
    <definedName name="ldskfjsl" localSheetId="4" hidden="1">{#N/A,#N/A,FALSE,"Model";#N/A,#N/A,FALSE,"Division"}</definedName>
    <definedName name="lee" localSheetId="4" hidden="1">{#N/A,#N/A,FALSE,"Pharm";#N/A,#N/A,FALSE,"WWCM"}</definedName>
    <definedName name="LEMON" localSheetId="4" hidden="1">{#N/A,#N/A,FALSE,"CDA Plan"}</definedName>
    <definedName name="lhjlkjlhklhljl" localSheetId="4" hidden="1">{#N/A,#N/A,FALSE,"PMW Gruppe 99_98";#N/A,#N/A,FALSE,"PMW KG 98_99";#N/A,#N/A,FALSE,"PMW Inc. 99_98";#N/A,#N/A,FALSE,"PMW VTECH 99_98";#N/A,#N/A,FALSE,"PMW Thail. 99_98";#N/A,#N/A,FALSE,"PMW Canada 99_98";#N/A,#N/A,FALSE,"Währungsabw. 99_98"}</definedName>
    <definedName name="limey" localSheetId="4" hidden="1">{#N/A,#N/A,FALSE,"Calc";#N/A,#N/A,FALSE,"Sensitivity";#N/A,#N/A,FALSE,"LT Earn.Dil.";#N/A,#N/A,FALSE,"Dil. AVP"}</definedName>
    <definedName name="lj"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kl" localSheetId="4" hidden="1">{#N/A,#N/A,FALSE,"Umsatz HM";#N/A,#N/A,FALSE,"ER HM";#N/A,#N/A,FALSE,"EA HM  (2)";#N/A,#N/A,FALSE,"EA HM ";#N/A,#N/A,FALSE,"EA HM  (4)";#N/A,#N/A,FALSE,"EA HM  (3)";#N/A,#N/A,FALSE,"KA HM  (2)";#N/A,#N/A,FALSE,"KA HM";#N/A,#N/A,FALSE,"KA HM  (3)";#N/A,#N/A,FALSE,"KA HM (4)"}</definedName>
    <definedName name="ljklk"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LJJ" localSheetId="4" hidden="1">{#N/A,#N/A,FALSE,"FREE"}</definedName>
    <definedName name="LJLJJ_1" localSheetId="4" hidden="1">{#N/A,#N/A,FALSE,"FREE"}</definedName>
    <definedName name="LJLJJ_2" localSheetId="4" hidden="1">{#N/A,#N/A,FALSE,"FREE"}</definedName>
    <definedName name="LJLJJ_3" localSheetId="4" hidden="1">{#N/A,#N/A,FALSE,"FREE"}</definedName>
    <definedName name="LJLJJ_4" localSheetId="4" hidden="1">{#N/A,#N/A,FALSE,"FREE"}</definedName>
    <definedName name="LK" localSheetId="4" hidden="1">{#N/A,#N/A,FALSE,"CDA Plan"}</definedName>
    <definedName name="LKG" localSheetId="4" hidden="1">{#N/A,#N/A,FALSE,"Tabl. G1";#N/A,#N/A,FALSE,"Tabl. G2"}</definedName>
    <definedName name="LKI"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lkj" localSheetId="4" hidden="1">{"detail",#N/A,FALSE,"mfg";"summary",#N/A,FALSE,"mfg"}</definedName>
    <definedName name="lkjjh"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lkjlkj" localSheetId="4" hidden="1">{"Final",#N/A,FALSE,"Feb-96"}</definedName>
    <definedName name="lkl" localSheetId="4" hidden="1">{#N/A,#N/A,TRUE,"Front";#N/A,#N/A,TRUE,"Simple Letter";#N/A,#N/A,TRUE,"Inside";#N/A,#N/A,TRUE,"Contents";#N/A,#N/A,TRUE,"Basis";#N/A,#N/A,TRUE,"Inclusions";#N/A,#N/A,TRUE,"Exclusions";#N/A,#N/A,TRUE,"Areas";#N/A,#N/A,TRUE,"Summary";#N/A,#N/A,TRUE,"Detail"}</definedName>
    <definedName name="lklk" localSheetId="4" hidden="1">{#N/A,"PURADD",FALSE,"Business Analysis";#N/A,"PURSPP",FALSE,"Business Analysis";#N/A,"CTGIND",FALSE,"Business Analysis";#N/A,"PURCHM",FALSE,"Business Analysis";#N/A,"SPADD",FALSE,"Business Analysis";#N/A,"EPOXY",FALSE,"Business Analysis";#N/A,"PURPER",FALSE,"Business Analysis"}</definedName>
    <definedName name="lklkl" localSheetId="4" hidden="1">{"consolidated",#N/A,FALSE,"Sheet1";"cms",#N/A,FALSE,"Sheet1";"fse",#N/A,FALSE,"Sheet1"}</definedName>
    <definedName name="lkmn" localSheetId="4" hidden="1">{"summary",#N/A,FALSE,"summary";"sales growth",#N/A,FALSE,"summary";"oper income",#N/A,FALSE,"summary";"oros rank",#N/A,FALSE,"summary";"net assets",#N/A,FALSE,"summary";"asset turnover",#N/A,FALSE,"summary";"orona",#N/A,FALSE,"summary";"total return",#N/A,FALSE,"summary";"overview",#N/A,FALSE,"summary"}</definedName>
    <definedName name="lko0" localSheetId="4" hidden="1">{#N/A,#N/A,FALSE,"PMW Gruppe 99_98";#N/A,#N/A,FALSE,"PMW KG 98_99";#N/A,#N/A,FALSE,"PMW Inc. 99_98";#N/A,#N/A,FALSE,"PMW VTECH 99_98";#N/A,#N/A,FALSE,"PMW Thail. 99_98";#N/A,#N/A,FALSE,"PMW Canada 99_98";#N/A,#N/A,FALSE,"Währungsabw. 99_98"}</definedName>
    <definedName name="LL" localSheetId="4">City&amp;" "&amp;State</definedName>
    <definedName name="ll.l" localSheetId="4" hidden="1">{#N/A,#N/A,FALSE,"Produkte Erw.";#N/A,#N/A,FALSE,"Produkte Plan";#N/A,#N/A,FALSE,"Leistungen Erw.";#N/A,#N/A,FALSE,"Leistungen Plan";#N/A,#N/A,FALSE,"KA Allg.Kosten (2)";#N/A,#N/A,FALSE,"KA All.Kosten"}</definedName>
    <definedName name="llk" localSheetId="4" hidden="1">{"pro_view",#N/A,FALSE,"EEFSNAP2";"rep_view",#N/A,FALSE,"EEFSNAP2"}</definedName>
    <definedName name="lll" localSheetId="4">City&amp;" "&amp;State</definedName>
    <definedName name="LLLA" localSheetId="4" hidden="1">{#N/A,#N/A,FALSE,"U_SUBS-97";#N/A,#N/A,FALSE,"S_BARIMP-97";#N/A,#N/A,FALSE,"S_SUBS20-97";#N/A,#N/A,FALSE,"S_VUAIMP-97";#N/A,#N/A,FALSE,"S_WTKDEV-97"}</definedName>
    <definedName name="llllll" localSheetId="4" hidden="1">{"detail",#N/A,FALSE,"mfg";"summary",#N/A,FALSE,"mfg"}</definedName>
    <definedName name="LLO229UK" localSheetId="4" hidden="1">{"Geo - Detail Detail",#N/A,FALSE,"Geo View";"Geo - Detail",#N/A,FALSE,"Geo View";"Dept - Detail Detail",#N/A,FALSE,"Dept View";"Dept - Detail",#N/A,FALSE,"Dept View"}</definedName>
    <definedName name="LLo229UK_2" localSheetId="4" hidden="1">{"Geo - Detail Detail",#N/A,FALSE,"Geo View";"Geo - Detail",#N/A,FALSE,"Geo View";"Dept - Detail Detail",#N/A,FALSE,"Dept View";"Dept - Detail",#N/A,FALSE,"Dept View"}</definedName>
    <definedName name="LLo229UK_a" localSheetId="4" hidden="1">{"Geo - Detail Detail",#N/A,FALSE,"Geo View";"Geo - Detail",#N/A,FALSE,"Geo View";"Dept - Detail Detail",#N/A,FALSE,"Dept View";"Dept - Detail",#N/A,FALSE,"Dept View"}</definedName>
    <definedName name="LLO258UK" localSheetId="4" hidden="1">{"Geo - Detail Detail",#N/A,FALSE,"Geo View";"Geo - Detail",#N/A,FALSE,"Geo View";"Dept - Detail Detail",#N/A,FALSE,"Dept View";"Dept - Detail",#N/A,FALSE,"Dept View"}</definedName>
    <definedName name="LLO258UK_2" localSheetId="4" hidden="1">{"Geo - Detail Detail",#N/A,FALSE,"Geo View";"Geo - Detail",#N/A,FALSE,"Geo View";"Dept - Detail Detail",#N/A,FALSE,"Dept View";"Dept - Detail",#N/A,FALSE,"Dept View"}</definedName>
    <definedName name="llp" localSheetId="4" hidden="1">{"YD LPH2",#N/A,FALSE,"YTD"}</definedName>
    <definedName name="lmp" localSheetId="4" hidden="1">{#N/A,#N/A,FALSE,"CDA Plan"}</definedName>
    <definedName name="lñ" localSheetId="4" hidden="1">{"sales growth",#N/A,FALSE,"summary";"oper income",#N/A,FALSE,"summary";"oros rank",#N/A,FALSE,"summary";"net assets",#N/A,FALSE,"summary";"asset turnover",#N/A,FALSE,"summary";"orona",#N/A,FALSE,"summary"}</definedName>
    <definedName name="Loan" localSheetId="4">IF('Management commentary '!Payment_Number&lt;='Management commentary '!Number_of_Payments,1,0)</definedName>
    <definedName name="Loan_Not_Paid" localSheetId="4">IF('Management commentary '!Payment_Number&lt;='Management commentary '!Number_of_Payments,1,0)</definedName>
    <definedName name="loc1_16" localSheetId="4">City&amp;" "&amp;#NAME?</definedName>
    <definedName name="loc1_17" localSheetId="4">City&amp;" "&amp;#NAME?</definedName>
    <definedName name="loc1_18" localSheetId="4">City&amp;" "&amp;#NAME?</definedName>
    <definedName name="loc1_19" localSheetId="4">City&amp;" "&amp;#NAME?</definedName>
    <definedName name="loc1_21" localSheetId="4">City&amp;" "&amp;#NAME?</definedName>
    <definedName name="Location" localSheetId="4">City&amp;" "&amp;State</definedName>
    <definedName name="Location_16" localSheetId="4">City&amp;" "&amp;#NAME?</definedName>
    <definedName name="Location_17" localSheetId="4">City&amp;" "&amp;#NAME?</definedName>
    <definedName name="Location_18" localSheetId="4">City&amp;" "&amp;#NAME?</definedName>
    <definedName name="Location_19" localSheetId="4">City&amp;" "&amp;#NAME?</definedName>
    <definedName name="Location_21" localSheetId="4">City&amp;" "&amp;#NAME?</definedName>
    <definedName name="locations" localSheetId="4">City&amp;" "&amp;State</definedName>
    <definedName name="lop" localSheetId="4" hidden="1">{"detail",#N/A,FALSE,"mfg";"summary",#N/A,FALSE,"mfg"}</definedName>
    <definedName name="love" localSheetId="4" hidden="1">{"PAGE 1",#N/A,FALSE,"ES-01-XX";"PAGE 2",#N/A,FALSE,"ES-01-XX"}</definedName>
    <definedName name="lpok" localSheetId="4" hidden="1">{#N/A,"PURADD",FALSE,"Business Analysis";#N/A,"PURSPP",FALSE,"Business Analysis";#N/A,"CTGIND",FALSE,"Business Analysis";#N/A,"PURCHM",FALSE,"Business Analysis";#N/A,"SPADD",FALSE,"Business Analysis";#N/A,"EPOXY",FALSE,"Business Analysis";#N/A,"PURPER",FALSE,"Business Analysis"}</definedName>
    <definedName name="lundi" localSheetId="4" hidden="1">{#N/A,#N/A,FALSE,"Tabl. G1";#N/A,#N/A,FALSE,"Tabl. G2"}</definedName>
    <definedName name="luyit" localSheetId="4" hidden="1">{#N/A,#N/A,FALSE,"Staffnos &amp; cost"}</definedName>
    <definedName name="lvuvfvyuv" localSheetId="4" hidden="1">{#N/A,#N/A,FALSE,"COMP"}</definedName>
    <definedName name="m" localSheetId="4" hidden="1">{#N/A,#N/A,FALSE,"CNS";#N/A,#N/A,FALSE,"Serz";#N/A,#N/A,FALSE,"Ace"}</definedName>
    <definedName name="MA" localSheetId="4" hidden="1">{#N/A,#N/A,FALSE,"COMP"}</definedName>
    <definedName name="maji" localSheetId="4" hidden="1">{"detail",#N/A,FALSE,"mfg";"summary",#N/A,FALSE,"mfg"}</definedName>
    <definedName name="MAJOR" localSheetId="4">City&amp;" "&amp;State</definedName>
    <definedName name="maneeshw12s12" localSheetId="4" hidden="1">{#N/A,#N/A,FALSE,"CMN_FE"}</definedName>
    <definedName name="MARCH" localSheetId="4" hidden="1">{#N/A,#N/A,TRUE,"Sheet1"}</definedName>
    <definedName name="march06" localSheetId="4" hidden="1">{#N/A,#N/A,FALSE,"Aging Summary";#N/A,#N/A,FALSE,"Ratio Analysis";#N/A,#N/A,FALSE,"Test 120 Day Accts";#N/A,#N/A,FALSE,"Tickmarks"}</definedName>
    <definedName name="march06topsheet" localSheetId="4" hidden="1">{#N/A,#N/A,FALSE,"Aging Summary";#N/A,#N/A,FALSE,"Ratio Analysis";#N/A,#N/A,FALSE,"Test 120 Day Accts";#N/A,#N/A,FALSE,"Tickmarks"}</definedName>
    <definedName name="mardi" localSheetId="4" hidden="1">{#N/A,#N/A,FALSE,"Tabl. H1";#N/A,#N/A,FALSE,"Tabl. H2"}</definedName>
    <definedName name="margin" localSheetId="4" hidden="1">{#N/A,#N/A,FALSE,"Aging Summary";#N/A,#N/A,FALSE,"Ratio Analysis";#N/A,#N/A,FALSE,"Test 120 Day Accts";#N/A,#N/A,FALSE,"Tickmarks"}</definedName>
    <definedName name="mas" localSheetId="4">City&amp;" "&amp;State</definedName>
    <definedName name="mass" localSheetId="4">{#N/A,#N/A,FALSE,"PMTABB";#N/A,#N/A,FALSE,"PMTABB"}</definedName>
    <definedName name="mat" localSheetId="4" hidden="1">{#N/A,#N/A,FALSE,"Aging Summary";#N/A,#N/A,FALSE,"Ratio Analysis";#N/A,#N/A,FALSE,"Test 120 Day Accts";#N/A,#N/A,FALSE,"Tickmarks"}</definedName>
    <definedName name="md" localSheetId="4" hidden="1">{#N/A,#N/A,FALSE,"CDA Plan"}</definedName>
    <definedName name="Metrics" localSheetId="4" hidden="1">{"provision",#N/A,FALSE;"reserve analysis",#N/A,FALSE}</definedName>
    <definedName name="metro" localSheetId="4" hidden="1">{#N/A,#N/A,FALSE,"CDA Plan"}</definedName>
    <definedName name="mfoew" localSheetId="4" hidden="1">{#N/A,"PURCHM",FALSE,"Business Analysis";#N/A,"SPADD",FALSE,"Business Analysis"}</definedName>
    <definedName name="MHGMGH" localSheetId="4" hidden="1">{#N/A,#N/A,FALSE,"ISBL"}</definedName>
    <definedName name="MHGMGH_1" localSheetId="4" hidden="1">{#N/A,#N/A,FALSE,"ISBL"}</definedName>
    <definedName name="MHGMGH_2" localSheetId="4" hidden="1">{#N/A,#N/A,FALSE,"ISBL"}</definedName>
    <definedName name="MHGMGH_3" localSheetId="4" hidden="1">{#N/A,#N/A,FALSE,"ISBL"}</definedName>
    <definedName name="MHGMGH_4" localSheetId="4" hidden="1">{#N/A,#N/A,FALSE,"ISBL"}</definedName>
    <definedName name="MICHELE" localSheetId="4" hidden="1">{#N/A,#N/A,FALSE,"Tabl. FB300";#N/A,#N/A,FALSE,"Tabl. FB350";#N/A,#N/A,FALSE,"Tabl. FB400";#N/A,#N/A,FALSE,"Tabl. FB500";#N/A,#N/A,FALSE,"Tabl. FS090"}</definedName>
    <definedName name="Milano" localSheetId="4" hidden="1">{#N/A,#N/A,FALSE,"Cipta-All";#N/A,#N/A,FALSE,"Individual"}</definedName>
    <definedName name="min" localSheetId="4" hidden="1">{#N/A,#N/A,FALSE,"REPORT"}</definedName>
    <definedName name="mina" localSheetId="4" hidden="1">{#N/A,#N/A,FALSE,"REPORT"}</definedName>
    <definedName name="miu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wukls" localSheetId="4" hidden="1">{"detail",#N/A,FALSE,"mfg";"summary",#N/A,FALSE,"mfg"}</definedName>
    <definedName name="mj" localSheetId="4" hidden="1">{#N/A,#N/A,FALSE,"FY97";#N/A,#N/A,FALSE,"FY98";#N/A,#N/A,FALSE,"FY99";#N/A,#N/A,FALSE,"FY00";#N/A,#N/A,FALSE,"FY01"}</definedName>
    <definedName name="mjkkk"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mk" localSheetId="4" hidden="1">{"detail",#N/A,FALSE,"mfg";"summary",#N/A,FALSE,"mfg"}</definedName>
    <definedName name="MKJ"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mkl" localSheetId="4" hidden="1">{"pro_view",#N/A,FALSE,"EEFSNAP2";"rep_view",#N/A,FALSE,"EEFSNAP2"}</definedName>
    <definedName name="mlkdksdlasld" localSheetId="4" hidden="1">{#N/A,#N/A,FALSE,"COMP"}</definedName>
    <definedName name="MLKJH" localSheetId="4" hidden="1">{#N/A,#N/A,FALSE,"Tabl. G1";#N/A,#N/A,FALSE,"Tabl. G2"}</definedName>
    <definedName name="mlw" localSheetId="4" hidden="1">{#N/A,#N/A,FALSE,"Pharm";#N/A,#N/A,FALSE,"WWCM"}</definedName>
    <definedName name="mm" localSheetId="4">City&amp;" "&amp;State</definedName>
    <definedName name="mm_16" localSheetId="4">City&amp;" "&amp;#NAME?</definedName>
    <definedName name="mm_17" localSheetId="4">City&amp;" "&amp;#NAME?</definedName>
    <definedName name="mm_18" localSheetId="4">City&amp;" "&amp;#NAME?</definedName>
    <definedName name="mm_19" localSheetId="4">City&amp;" "&amp;#NAME?</definedName>
    <definedName name="mm_21" localSheetId="4">City&amp;" "&amp;#NAME?</definedName>
    <definedName name="mmk" localSheetId="4" hidden="1">{"Pg1",#N/A,FALSE,"OpExYTDvsBud";"Pg2",#N/A,FALSE,"OpExYTDvsBud"}</definedName>
    <definedName name="mmkkll" localSheetId="4" hidden="1">{#N/A,#N/A,FALSE,"CDA Plan"}</definedName>
    <definedName name="mmm" localSheetId="4" hidden="1">{#N/A,"PURCHM",FALSE,"Business Analysis";#N/A,"SPADD",FALSE,"Business Analysis"}</definedName>
    <definedName name="mmmm" localSheetId="4"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mmmmm" localSheetId="4" hidden="1">{#N/A,#N/A,FALSE,"Calc";#N/A,#N/A,FALSE,"Sensitivity";#N/A,#N/A,FALSE,"LT Earn.Dil.";#N/A,#N/A,FALSE,"Dil. AVP"}</definedName>
    <definedName name="mmmmmmmmmmmmmmmmmmmmmmmmmmmmmmm" localSheetId="4" hidden="1">{#N/A,#N/A,FALSE,"Staffnos &amp; cost"}</definedName>
    <definedName name="mmp" localSheetId="4" hidden="1">{"detail",#N/A,FALSE,"mfg";"summary",#N/A,FALSE,"mfg"}</definedName>
    <definedName name="mn" localSheetId="4" hidden="1">{"detail",#N/A,FALSE,"mfg";"summary",#N/A,FALSE,"mfg"}</definedName>
    <definedName name="mnbv" localSheetId="4" hidden="1">{"Month Summary",#N/A,FALSE,"Summary";"Total Details",#N/A,FALSE,"Current Yr";"Polymers Details",#N/A,FALSE,"Current Yr";"Performance Details",#N/A,FALSE,"Current Yr";"ICD Details",#N/A,FALSE,"Current Yr"}</definedName>
    <definedName name="mnmn" localSheetId="4" hidden="1">{"detail",#N/A,FALSE,"mfg";"summary",#N/A,FALSE,"mfg"}</definedName>
    <definedName name="mnnb" localSheetId="4" hidden="1">{#N/A,#N/A,FALSE,"PMW Gruppe 99_98";#N/A,#N/A,FALSE,"PMW KG 98_99";#N/A,#N/A,FALSE,"PMW Inc. 99_98";#N/A,#N/A,FALSE,"PMW VTECH 99_98";#N/A,#N/A,FALSE,"PMW Thail. 99_98";#N/A,#N/A,FALSE,"PMW Canada 99_98";#N/A,#N/A,FALSE,"Währungsabw. 99_98"}</definedName>
    <definedName name="mno" localSheetId="4" hidden="1">{#N/A,#N/A,FALSE,"Tabl. H1";#N/A,#N/A,FALSE,"Tabl. H2"}</definedName>
    <definedName name="mokp" localSheetId="4" hidden="1">{"QTD_LPO2N2",#N/A,FALSE,"QTD"}</definedName>
    <definedName name="mqg" localSheetId="4" hidden="1">{#N/A,#N/A,FALSE,"Tabl. H1";#N/A,#N/A,FALSE,"Tabl. H2"}</definedName>
    <definedName name="mth" localSheetId="4">{0.1;0;0.382758620689655;0;0;0;0.258620689655172;0;0.258620689655172}</definedName>
    <definedName name="mtk" localSheetId="4" hidden="1">{#N/A,#N/A,FALSE,"Tabl. FB300";#N/A,#N/A,FALSE,"Tabl. FB350";#N/A,#N/A,FALSE,"Tabl. FB400";#N/A,#N/A,FALSE,"Tabl. FB500";#N/A,#N/A,FALSE,"Tabl. FS090"}</definedName>
    <definedName name="mtrk" localSheetId="4" hidden="1">{#N/A,#N/A,FALSE,"Tabl. FB300";#N/A,#N/A,FALSE,"Tabl. FB350";#N/A,#N/A,FALSE,"Tabl. FB400";#N/A,#N/A,FALSE,"Tabl. FB500";#N/A,#N/A,FALSE,"Tabl. FS090"}</definedName>
    <definedName name="mucwip" localSheetId="4" hidden="1">{#N/A,#N/A,TRUE,"RM-June"}</definedName>
    <definedName name="Mullions" localSheetId="4" hidden="1">{#N/A,#N/A,TRUE,"Front";#N/A,#N/A,TRUE,"Simple Letter";#N/A,#N/A,TRUE,"Inside";#N/A,#N/A,TRUE,"Contents";#N/A,#N/A,TRUE,"Basis";#N/A,#N/A,TRUE,"Inclusions";#N/A,#N/A,TRUE,"Exclusions";#N/A,#N/A,TRUE,"Areas";#N/A,#N/A,TRUE,"Summary";#N/A,#N/A,TRUE,"Detail"}</definedName>
    <definedName name="mus.xls" localSheetId="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mustafa"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mustafa.saifuddin" localSheetId="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ustafa.xls" localSheetId="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mw" localSheetId="4" hidden="1">{#N/A,#N/A,FALSE,"Pharm";#N/A,#N/A,FALSE,"WWCM"}</definedName>
    <definedName name="MyBookIncome" localSheetId="4">IF(BookIncome = "","",BookIncome)</definedName>
    <definedName name="MyFEIN" localSheetId="4">IF(FEIN="","",FEIN)</definedName>
    <definedName name="MYUJTG" localSheetId="4" hidden="1">{#N/A,#N/A,FALSE,"EW"}</definedName>
    <definedName name="MYUJTG_1" localSheetId="4" hidden="1">{#N/A,#N/A,FALSE,"EW"}</definedName>
    <definedName name="MYUJTG_2" localSheetId="4" hidden="1">{#N/A,#N/A,FALSE,"EW"}</definedName>
    <definedName name="MYUJTG_3" localSheetId="4" hidden="1">{#N/A,#N/A,FALSE,"EW"}</definedName>
    <definedName name="MYUJTG_4" localSheetId="4" hidden="1">{#N/A,#N/A,FALSE,"EW"}</definedName>
    <definedName name="mzb" localSheetId="4" hidden="1">{#N/A,#N/A,FALSE,"Tabl. D1";#N/A,#N/A,FALSE,"Tabl. D1 b";#N/A,#N/A,FALSE,"Tabl. D2";#N/A,#N/A,FALSE,"Tabl. D2 b";#N/A,#N/A,FALSE,"Tabl. D3";#N/A,#N/A,FALSE,"Tabl. D4";#N/A,#N/A,FALSE,"Tabl. D5"}</definedName>
    <definedName name="N" localSheetId="4" hidden="1">{"by departments",#N/A,TRUE,"FORECAST";"cap_headcount",#N/A,TRUE,"FORECAST";"summary",#N/A,TRUE,"FORECAST"}</definedName>
    <definedName name="nam90ng" localSheetId="4" hidden="1">{"detail",#N/A,FALSE,"mfg";"summary",#N/A,FALSE,"mfg"}</definedName>
    <definedName name="nam9njk" localSheetId="4" hidden="1">{"detail",#N/A,FALSE,"mfg";"summary",#N/A,FALSE,"mfg"}</definedName>
    <definedName name="name1" localSheetId="4" hidden="1">{"detail",#N/A,FALSE,"mfg";"summary",#N/A,FALSE,"mfg"}</definedName>
    <definedName name="name10" localSheetId="4" hidden="1">{"detail",#N/A,FALSE,"mfg";"summary",#N/A,FALSE,"mfg"}</definedName>
    <definedName name="name101" localSheetId="4" hidden="1">{"detail",#N/A,FALSE,"mfg";"summary",#N/A,FALSE,"mfg"}</definedName>
    <definedName name="name102" localSheetId="4" hidden="1">{"detail",#N/A,FALSE,"mfg";"summary",#N/A,FALSE,"mfg"}</definedName>
    <definedName name="name11" localSheetId="4" hidden="1">{"detail",#N/A,FALSE,"mfg";"summary",#N/A,FALSE,"mfg"}</definedName>
    <definedName name="name12" localSheetId="4" hidden="1">{"detail",#N/A,FALSE,"mfg";"summary",#N/A,FALSE,"mfg"}</definedName>
    <definedName name="name2" localSheetId="4" hidden="1">{"detail",#N/A,FALSE,"mfg";"summary",#N/A,FALSE,"mfg"}</definedName>
    <definedName name="name202" localSheetId="4" hidden="1">{"detail",#N/A,FALSE,"mfg";"summary",#N/A,FALSE,"mfg"}</definedName>
    <definedName name="name203" localSheetId="4" hidden="1">{"detail",#N/A,FALSE,"mfg";"summary",#N/A,FALSE,"mfg"}</definedName>
    <definedName name="name212" localSheetId="4" hidden="1">{"detail",#N/A,FALSE,"mfg";"summary",#N/A,FALSE,"mfg"}</definedName>
    <definedName name="name213" localSheetId="4" hidden="1">{"detail",#N/A,FALSE,"mfg";"summary",#N/A,FALSE,"mfg"}</definedName>
    <definedName name="name31" localSheetId="4" hidden="1">{"detail",#N/A,FALSE,"mfg";"summary",#N/A,FALSE,"mfg"}</definedName>
    <definedName name="name32" localSheetId="4" hidden="1">{"detail",#N/A,FALSE,"mfg";"summary",#N/A,FALSE,"mfg"}</definedName>
    <definedName name="name34" localSheetId="4" hidden="1">{"detail",#N/A,FALSE,"mfg";"summary",#N/A,FALSE,"mfg"}</definedName>
    <definedName name="name35" localSheetId="4" hidden="1">{"detail",#N/A,FALSE,"mfg";"summary",#N/A,FALSE,"mfg"}</definedName>
    <definedName name="NAME41" localSheetId="4" hidden="1">{"detail",#N/A,FALSE,"mfg";"summary",#N/A,FALSE,"mfg"}</definedName>
    <definedName name="name412" localSheetId="4" hidden="1">{"detail",#N/A,FALSE,"mfg";"summary",#N/A,FALSE,"mfg"}</definedName>
    <definedName name="name413" localSheetId="4" hidden="1">{"detail",#N/A,FALSE,"mfg";"summary",#N/A,FALSE,"mfg"}</definedName>
    <definedName name="name42" localSheetId="4" hidden="1">{"detail",#N/A,FALSE,"mfg";"summary",#N/A,FALSE,"mfg"}</definedName>
    <definedName name="name45" localSheetId="4" hidden="1">{"detail",#N/A,FALSE,"mfg";"summary",#N/A,FALSE,"mfg"}</definedName>
    <definedName name="name51" localSheetId="4" hidden="1">{"detail",#N/A,FALSE,"mfg";"summary",#N/A,FALSE,"mfg"}</definedName>
    <definedName name="name54ghs" localSheetId="4" hidden="1">{"detail",#N/A,FALSE,"mfg";"summary",#N/A,FALSE,"mfg"}</definedName>
    <definedName name="name56a" localSheetId="4" hidden="1">{"detail",#N/A,FALSE,"mfg";"summary",#N/A,FALSE,"mfg"}</definedName>
    <definedName name="name56a56" localSheetId="4" hidden="1">{"detail",#N/A,FALSE,"mfg";"summary",#N/A,FALSE,"mfg"}</definedName>
    <definedName name="name61" localSheetId="4" hidden="1">{"detail",#N/A,FALSE,"mfg";"summary",#N/A,FALSE,"mfg"}</definedName>
    <definedName name="name71" localSheetId="4" hidden="1">{"detail",#N/A,FALSE,"mfg";"summary",#N/A,FALSE,"mfg"}</definedName>
    <definedName name="name89shj" localSheetId="4" hidden="1">{"detail",#N/A,FALSE,"mfg";"summary",#N/A,FALSE,"mfg"}</definedName>
    <definedName name="namea101" localSheetId="4" hidden="1">{"detail",#N/A,FALSE,"mfg";"summary",#N/A,FALSE,"mfg"}</definedName>
    <definedName name="nameb45" localSheetId="4" hidden="1">{"detail",#N/A,FALSE,"mfg";"summary",#N/A,FALSE,"mfg"}</definedName>
    <definedName name="nameiges" localSheetId="4" hidden="1">{"detail",#N/A,FALSE,"mfg";"summary",#N/A,FALSE,"mfg"}</definedName>
    <definedName name="nanda" localSheetId="4" hidden="1">{#N/A,#N/A,FALSE,"Staffnos &amp; cost"}</definedName>
    <definedName name="narayan" localSheetId="4" hidden="1">{"SUMMARY",#N/A,FALSE,"Summary"}</definedName>
    <definedName name="navneet" localSheetId="4" hidden="1">{"'Sheet3'!$A$1:$B$30"}</definedName>
    <definedName name="nbh" localSheetId="4" hidden="1">{#N/A,#N/A,FALSE,"Staffnos &amp; cost"}</definedName>
    <definedName name="nbhj" localSheetId="4" hidden="1">{"QTD_LPO2N2",#N/A,FALSE,"QTD";"QTD_HYCO",#N/A,FALSE,"QTD";"QTD_LOUISIANA",#N/A,FALSE,"QTD";"QTD_GENERALH2",#N/A,FALSE,"QTD";"QTD_PACKAGE",#N/A,FALSE,"QTD";"QTD_PRS",#N/A,FALSE,"QTD";"QTD_OTHER",#N/A,FALSE,"QTD"}</definedName>
    <definedName name="NBPL" localSheetId="4" hidden="1">{TRUE,TRUE,-1.25,-15.5,480.75,272.25,FALSE,TRUE,TRUE,TRUE,0,1,#N/A,1,#N/A,13.1904761904762,23.5384615384615,1,FALSE,FALSE,3,TRUE,1,FALSE,75,"Swvu.FAX.","ACwvu.FAX.",#N/A,FALSE,FALSE,0.25,0.25,1,1,1,"","",TRUE,FALSE,FALSE,TRUE,1,#N/A,1,1,"=R1C1:R16C13",FALSE,#N/A,#N/A,FALSE,FALSE,FALSE,9,300,300,FALSE,FALSE,TRUE,TRUE,TRUE}</definedName>
    <definedName name="NBPL." localSheetId="4" hidden="1">{TRUE,TRUE,-1.25,-15.5,480.75,272.25,FALSE,TRUE,TRUE,TRUE,0,1,#N/A,1,#N/A,13.1904761904762,23.5384615384615,1,FALSE,FALSE,3,TRUE,1,FALSE,75,"Swvu.FAX.","ACwvu.FAX.",#N/A,FALSE,FALSE,0.25,0.25,1,1,1,"","",TRUE,FALSE,FALSE,TRUE,1,#N/A,1,1,"=R1C1:R16C13",FALSE,#N/A,#N/A,FALSE,FALSE,FALSE,9,300,300,FALSE,FALSE,TRUE,TRUE,TRUE}</definedName>
    <definedName name="nbv" localSheetId="4" hidden="1">{"Polymers Details",#N/A,FALSE,"Current Yr";"Polymer Details",#N/A,FALSE,"Budget";"Polymer Details",#N/A,FALSE,"Prior Year"}</definedName>
    <definedName name="nbvc"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gh" localSheetId="4" hidden="1">{#N/A,#N/A,FALSE,"PMTABB";#N/A,#N/A,FALSE,"PMTABB"}</definedName>
    <definedName name="nbvgh_2" localSheetId="4" hidden="1">{#N/A,#N/A,FALSE,"PMTABB";#N/A,#N/A,FALSE,"PMTABB"}</definedName>
    <definedName name="nbvgh_3" localSheetId="4" hidden="1">{#N/A,#N/A,FALSE,"PMTABB";#N/A,#N/A,FALSE,"PMTABB"}</definedName>
    <definedName name="nbvgh_4" localSheetId="4" hidden="1">{#N/A,#N/A,FALSE,"PMTABB";#N/A,#N/A,FALSE,"PMTABB"}</definedName>
    <definedName name="ncdjanc" localSheetId="4" hidden="1">{"'Sheet1'!$L$16"}</definedName>
    <definedName name="NetDebt" localSheetId="4">CASH-'Management commentary '!TotalDebt</definedName>
    <definedName name="NetInterest" localSheetId="4">InterestIncome-InterestExpense</definedName>
    <definedName name="new" localSheetId="4" hidden="1">{#N/A,#N/A,FALSE,"Pharm";#N/A,#N/A,FALSE,"WWCM"}</definedName>
    <definedName name="NEWColton" localSheetId="4" hidden="1">{#N/A,#N/A,FALSE,"U_SUBS-97";#N/A,#N/A,FALSE,"S_BARIMP-97";#N/A,#N/A,FALSE,"S_SUBS20-97";#N/A,#N/A,FALSE,"S_VUAIMP-97";#N/A,#N/A,FALSE,"S_WTKDEV-97"}</definedName>
    <definedName name="NewComparison" localSheetId="4" hidden="1">{#N/A,#N/A,FALSE,"Aging Summary";#N/A,#N/A,FALSE,"Ratio Analysis";#N/A,#N/A,FALSE,"Test 120 Day Accts";#N/A,#N/A,FALSE,"Tickmarks"}</definedName>
    <definedName name="newname" localSheetId="4" hidden="1">{"CTCp1",#N/A,FALSE,"CTC Report";"CTCp2",#N/A,FALSE,"CTC Report";"CTCp3",#N/A,FALSE,"CTC Report";"CTCp4",#N/A,FALSE,"CTC Report"}</definedName>
    <definedName name="newnewnew" localSheetId="4" hidden="1">{#N/A,#N/A,FALSE,"Pharm";#N/A,#N/A,FALSE,"WWCM"}</definedName>
    <definedName name="newwrn.full" localSheetId="4" hidden="1">{"balance",#N/A,FALSE,"Remedy-model";"calendar quarterly",#N/A,FALSE,"Remedy-model";"cash flow",#N/A,FALSE,"Remedy-model";"fiscal quarter",#N/A,FALSE,"Remedy-model";"income",#N/A,FALSE,"Remedy-model";"percentage",#N/A,FALSE,"Remedy-model"}</definedName>
    <definedName name="newwrn.quarterly" localSheetId="4" hidden="1">{"Calenquart",#N/A,FALSE,"Remedy-model";"fiscquarter",#N/A,FALSE,"Remedy-model"}</definedName>
    <definedName name="nf" localSheetId="4" hidden="1">{#N/A,#N/A,FALSE,"Staffnos &amp; cost"}</definedName>
    <definedName name="nfj" localSheetId="4" hidden="1">{#N/A,#N/A,FALSE,"Staffnos &amp; cost"}</definedName>
    <definedName name="NGFHFG" localSheetId="4" hidden="1">{#N/A,#N/A,FALSE,"PGW"}</definedName>
    <definedName name="NGFHFG_1" localSheetId="4" hidden="1">{#N/A,#N/A,FALSE,"PGW"}</definedName>
    <definedName name="NGFHFG_2" localSheetId="4" hidden="1">{#N/A,#N/A,FALSE,"PGW"}</definedName>
    <definedName name="NGFHFG_3" localSheetId="4" hidden="1">{#N/A,#N/A,FALSE,"PGW"}</definedName>
    <definedName name="NGFHFG_4" localSheetId="4" hidden="1">{#N/A,#N/A,FALSE,"PGW"}</definedName>
    <definedName name="nh" localSheetId="4" hidden="1">{"AS REP",#N/A,FALSE,"EEFSNAP2";"PROP",#N/A,FALSE,"EEFSNAP2";"RISKS",#N/A,FALSE,"EEFSNAP2";"VIEW ALL",#N/A,FALSE,"EEFSNAP2"}</definedName>
    <definedName name="nhu" localSheetId="4" hidden="1">{#N/A,"PURADD",FALSE,"Business Analysis";#N/A,"PURSPP",FALSE,"Business Analysis";#N/A,"CTGIND",FALSE,"Business Analysis";#N/A,"PURCHM",FALSE,"Business Analysis";#N/A,"SPADD",FALSE,"Business Analysis";#N/A,"EPOXY",FALSE,"Business Analysis";#N/A,"PURPER",FALSE,"Business Analysis"}</definedName>
    <definedName name="nihar" localSheetId="4">Scheduled_Payment+Extra_Payment</definedName>
    <definedName name="nijnsh" localSheetId="4" hidden="1">{"detail",#N/A,FALSE,"mfg";"summary",#N/A,FALSE,"mfg"}</definedName>
    <definedName name="nit" localSheetId="4" hidden="1">{#N/A,#N/A,FALSE,"Tabl. D1";#N/A,#N/A,FALSE,"Tabl. D1 b";#N/A,#N/A,FALSE,"Tabl. D2";#N/A,#N/A,FALSE,"Tabl. D2 b";#N/A,#N/A,FALSE,"Tabl. D3";#N/A,#N/A,FALSE,"Tabl. D4";#N/A,#N/A,FALSE,"Tabl. D5"}</definedName>
    <definedName name="nitru" localSheetId="4" hidden="1">{#N/A,#N/A,FALSE,"Tabl. G1";#N/A,#N/A,FALSE,"Tabl. G2"}</definedName>
    <definedName name="nj9km" localSheetId="4" hidden="1">{"detail",#N/A,FALSE,"mfg";"summary",#N/A,FALSE,"mfg"}</definedName>
    <definedName name="njhfds" localSheetId="4" hidden="1">{#N/A,"PURCHM",FALSE,"Business Analysis";#N/A,"SPADD",FALSE,"Business Analysis"}</definedName>
    <definedName name="njis76" localSheetId="4" hidden="1">{"detail",#N/A,FALSE,"mfg";"summary",#N/A,FALSE,"mfg"}</definedName>
    <definedName name="njkjsh" localSheetId="4" hidden="1">{"detail",#N/A,FALSE,"mfg";"summary",#N/A,FALSE,"mfg"}</definedName>
    <definedName name="nkmi9c" localSheetId="4" hidden="1">{#N/A,"PURCHM",FALSE,"Business Analysis";#N/A,"SPADD",FALSE,"Business Analysis"}</definedName>
    <definedName name="ñlkj"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localSheetId="4" hidden="1">{"pro_view",#N/A,FALSE,"EEFSNAP2";"rep_view",#N/A,FALSE,"EEFSNAP2"}</definedName>
    <definedName name="nmkjhu" localSheetId="4" hidden="1">{#N/A,#N/A,FALSE,"COMP"}</definedName>
    <definedName name="nmkjioujhyhhs" localSheetId="4" hidden="1">{#N/A,#N/A,FALSE,"COMP"}</definedName>
    <definedName name="nmkjunh" localSheetId="4" hidden="1">{#N/A,#N/A,FALSE,"COMP"}</definedName>
    <definedName name="nmnm" localSheetId="4" hidden="1">{"summary",#N/A,FALSE,"summary";"sales growth",#N/A,FALSE,"summary";"oper income",#N/A,FALSE,"summary";"oros rank",#N/A,FALSE,"summary";"net assets",#N/A,FALSE,"summary";"asset turnover",#N/A,FALSE,"summary";"orona",#N/A,FALSE,"summary";"total return",#N/A,FALSE,"summary";"overview",#N/A,FALSE,"summary"}</definedName>
    <definedName name="nn" localSheetId="4" hidden="1">{#N/A,#N/A,FALSE,"PRJCTED QTRLY $'s"}</definedName>
    <definedName name="nngg" localSheetId="4">City&amp;" "&amp;State</definedName>
    <definedName name="nnh" localSheetId="4" hidden="1">{"Pa1",#N/A,FALSE,"OpExYTDvsPY";"Pa2",#N/A,FALSE,"OpExYTDvsPY"}</definedName>
    <definedName name="nnnb" localSheetId="4" hidden="1">{"consolidated",#N/A,FALSE,"Sheet1";"cms",#N/A,FALSE,"Sheet1";"fse",#N/A,FALSE,"Sheet1"}</definedName>
    <definedName name="nnnnn" localSheetId="4" hidden="1">{"eingeklappt",#N/A,FALSE,"TOTAL SHARED";"ausgeklappt",#N/A,FALSE,"TOTAL SHARED"}</definedName>
    <definedName name="nnnnnnnnnn" localSheetId="4" hidden="1">{#N/A,#N/A,FALSE,"Status of Projects";#N/A,#N/A,FALSE,"CEA-TEC";#N/A,#N/A,FALSE,"U-Constr.";#N/A,#N/A,FALSE,"summary";#N/A,#N/A,FALSE,"PPP-3 yrs"}</definedName>
    <definedName name="nnnnnnnnnnnnnnnnnnnnnnnnnnnnnnnnnnnnnnnnnnnnnnnnnnnnnnnnnnnnnnnnnnnnnnnnnnnnnnnn" localSheetId="4" hidden="1">{#N/A,#N/A,FALSE,"Staffnos &amp; cost"}</definedName>
    <definedName name="NOAH" localSheetId="4" hidden="1">{#N/A,#N/A,FALSE,"Quarterly";#N/A,#N/A,FALSE,"Quarterly Other";#N/A,#N/A,FALSE,"Prod Rev";#N/A,#N/A,FALSE,"Balance Sheet Tracking";#N/A,#N/A,FALSE,"Annual";#N/A,#N/A,FALSE,"Balance Sheet"}</definedName>
    <definedName name="noidea" localSheetId="4" hidden="1">{#N/A,#N/A,FALSE,"Calc";#N/A,#N/A,FALSE,"Sensitivity";#N/A,#N/A,FALSE,"LT Earn.Dil.";#N/A,#N/A,FALSE,"Dil. AVP"}</definedName>
    <definedName name="nol" localSheetId="4" hidden="1">{#N/A,#N/A,FALSE,"91NOLCB";#N/A,#N/A,FALSE,"92NOLCB";#N/A,#N/A,FALSE,"93NOLCB"}</definedName>
    <definedName name="notes"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tes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nouv" localSheetId="4" hidden="1">{#N/A,#N/A,FALSE,"Pharm";#N/A,#N/A,FALSE,"WWCM"}</definedName>
    <definedName name="ñp" localSheetId="4" hidden="1">{#N/A,"PURCHM",FALSE,"Business Analysis";#N/A,"SPADD",FALSE,"Business Analysis"}</definedName>
    <definedName name="nska" localSheetId="4" hidden="1">{#N/A,#N/A,FALSE,"COMP"}</definedName>
    <definedName name="nslka" localSheetId="4" hidden="1">{#N/A,#N/A,FALSE,"COMP"}</definedName>
    <definedName name="NSS_Capex_Details" localSheetId="4" hidden="1">{#N/A,#N/A,FALSE,"Staffnos &amp; cost"}</definedName>
    <definedName name="nte" localSheetId="4" hidden="1">{"'7'!$B$15:$D$32"}</definedName>
    <definedName name="nuijh467" localSheetId="4" hidden="1">{"detail",#N/A,FALSE,"mfg";"summary",#N/A,FALSE,"mfg"}</definedName>
    <definedName name="Number_of_Payments" localSheetId="4">MATCH(0.01,End_Bal,-1)+1</definedName>
    <definedName name="nuovo"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WSM_new" localSheetId="4" hidden="1">{#N/A,#N/A,TRUE,"Staffnos &amp; cost"}</definedName>
    <definedName name="o" localSheetId="4" hidden="1">{"detail",#N/A,FALSE,"mfg";"summary",#N/A,FALSE,"mfg"}</definedName>
    <definedName name="o_2" localSheetId="4" hidden="1">{"Geo - Detail Detail",#N/A,FALSE,"Geo View";"Geo - Detail",#N/A,FALSE,"Geo View";"Dept - Detail Detail",#N/A,FALSE,"Dept View";"Dept - Detail",#N/A,FALSE,"Dept View"}</definedName>
    <definedName name="OCT" localSheetId="4" hidden="1">{#N/A,#N/A,FALSE,"Tabl. G1";#N/A,#N/A,FALSE,"Tabl. G2"}</definedName>
    <definedName name="ogkvsfj" localSheetId="4" hidden="1">{#N/A,#N/A,FALSE,"Model";#N/A,#N/A,FALSE,"Division"}</definedName>
    <definedName name="OIC" localSheetId="4">{#N/A,#N/A,FALSE,"PMTABB";#N/A,#N/A,FALSE,"PMTABB"}</definedName>
    <definedName name="OIC_1" localSheetId="4">{#N/A,#N/A,FALSE,"PMTABB";#N/A,#N/A,FALSE,"PMTABB"}</definedName>
    <definedName name="OIC_2" localSheetId="4">{#N/A,#N/A,FALSE,"PMTABB";#N/A,#N/A,FALSE,"PMTABB"}</definedName>
    <definedName name="OIC_3" localSheetId="4">{#N/A,#N/A,FALSE,"PMTABB";#N/A,#N/A,FALSE,"PMTABB"}</definedName>
    <definedName name="OIC_4" localSheetId="4">{#N/A,#N/A,FALSE,"PMTABB";#N/A,#N/A,FALSE,"PMTABB"}</definedName>
    <definedName name="oidd"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OIEIEWEURER" localSheetId="4" hidden="1">{#N/A,#N/A,FALSE,"Aging Summary";#N/A,#N/A,FALSE,"Ratio Analysis";#N/A,#N/A,FALSE,"Test 120 Day Accts";#N/A,#N/A,FALSE,"Tickmarks"}</definedName>
    <definedName name="oifd" localSheetId="4" hidden="1">{"detail",#N/A,FALSE,"mfg";"summary",#N/A,FALSE,"mfg"}</definedName>
    <definedName name="oiirx" localSheetId="4" hidden="1">{"net assets",#N/A,FALSE,"summary";"asset turnover",#N/A,FALSE,"summary";"orona",#N/A,FALSE,"summary"}</definedName>
    <definedName name="OILKULY" localSheetId="4" hidden="1">{#N/A,#N/A,FALSE,"PMTABB";#N/A,#N/A,FALSE,"PMTABB"}</definedName>
    <definedName name="oimn" localSheetId="4" hidden="1">{"QTD_PRS",#N/A,FALSE,"QTD"}</definedName>
    <definedName name="oink" localSheetId="4" hidden="1">{"TOTAL",#N/A,FALSE,"A";"FISCAL94",#N/A,FALSE,"A";"FISCAL95",#N/A,FALSE,"A";"FISCAL96",#N/A,FALSE,"A";"misc page",#N/A,FALSE,"A"}</definedName>
    <definedName name="oins" localSheetId="4" hidden="1">{"detail",#N/A,FALSE,"mfg";"summary",#N/A,FALSE,"mfg"}</definedName>
    <definedName name="oity" localSheetId="4" hidden="1">{#N/A,"PURADD",FALSE,"Business Analysis";#N/A,"PURSPP",FALSE,"Business Analysis";#N/A,"CTGIND",FALSE,"Business Analysis";#N/A,"PURCHM",FALSE,"Business Analysis";#N/A,"SPADD",FALSE,"Business Analysis";#N/A,"EPOXY",FALSE,"Business Analysis";#N/A,"PURPER",FALSE,"Business Analysis"}</definedName>
    <definedName name="oiu" localSheetId="4" hidden="1">{"AS REP",#N/A,FALSE,"EEFSNAP2";"PROP",#N/A,FALSE,"EEFSNAP2";"RISKS",#N/A,FALSE,"EEFSNAP2";"VIEW ALL",#N/A,FALSE,"EEFSNAP2"}</definedName>
    <definedName name="oiup" localSheetId="4" hidden="1">{#N/A,"PURCHM",FALSE,"Business Analysis";#N/A,"SPADD",FALSE,"Business Analysis"}</definedName>
    <definedName name="oiuy" localSheetId="4" hidden="1">{"Polymers Details",#N/A,FALSE,"Current Yr";"Polymer Details",#N/A,FALSE,"Budget";"Polymer Details",#N/A,FALSE,"Prior Year"}</definedName>
    <definedName name="ok" localSheetId="4">{0;0;0;0;1;1;0;0;0.6;0.3;2;FALSE;FALSE;FALSE;FALSE;FALSE;#N/A;1;100;#N/A;#N/A;"";""}</definedName>
    <definedName name="ol" localSheetId="4" hidden="1">{"vol data",#N/A,FALSE,"Datasheet";"vol graph",#N/A,FALSE,"Volume";"price data",#N/A,FALSE,"Datasheet";"price graph",#N/A,FALSE,"Price";"dp data",#N/A,FALSE,"Datasheet";"dp graph",#N/A,FALSE,"DirectProfit"}</definedName>
    <definedName name="om" localSheetId="4" hidden="1">{"BS",#N/A,FALSE,"BS";"BS trend",#N/A,FALSE,"BS";"KPI",#N/A,FALSE,"KPI";"KPI trend",#N/A,FALSE,"KPI";"CF trend",#N/A,FALSE,"CF";"CF",#N/A,FALSE,"CF";"P&amp;LC",#N/A,FALSE,"P&amp;L";"P&amp;LC trend",#N/A,FALSE,"P&amp;L";"traffic",#N/A,FALSE,"Traffic";"P&amp;LR",#N/A,FALSE,"P&amp;L";"P&amp;LR trend",#N/A,FALSE,"P&amp;L";#N/A,#N/A,FALSE,"Variance";"Debtors",#N/A,FALSE,"Deb"}</definedName>
    <definedName name="on" localSheetId="4" hidden="1">{"overview",#N/A,FALSE,"summary";"net assets",#N/A,FALSE,"summary";"asset turnover",#N/A,FALSE,"summary";"orona",#N/A,FALSE,"summary"}</definedName>
    <definedName name="onj" localSheetId="4" hidden="1">{"Pa1",#N/A,FALSE,"OpExYTDvsPY";"Pa2",#N/A,FALSE,"OpExYTDvsPY"}</definedName>
    <definedName name="oo.ll" localSheetId="4" hidden="1">{#N/A,#N/A,FALSE,"Umsatz HM";#N/A,#N/A,FALSE,"ER HM";#N/A,#N/A,FALSE,"EA HM  (2)";#N/A,#N/A,FALSE,"EA HM ";#N/A,#N/A,FALSE,"EA HM  (4)";#N/A,#N/A,FALSE,"EA HM  (3)";#N/A,#N/A,FALSE,"KA HM  (2)";#N/A,#N/A,FALSE,"KA HM";#N/A,#N/A,FALSE,"KA HM  (3)";#N/A,#N/A,FALSE,"KA HM (4)"}</definedName>
    <definedName name="oojj" localSheetId="4" hidden="1">{#N/A,#N/A,FALSE,"CDA Plan"}</definedName>
    <definedName name="ööl" localSheetId="4" hidden="1">{#N/A,#N/A,FALSE,"KA CH  (2)"}</definedName>
    <definedName name="öölälkk" localSheetId="4" hidden="1">{#N/A,#N/A,FALSE,"Umsatz 99";#N/A,#N/A,FALSE,"ER 99 "}</definedName>
    <definedName name="öölkk" localSheetId="4" hidden="1">{#N/A,#N/A,FALSE,"Umsatz CH";#N/A,#N/A,FALSE,"ER CH";#N/A,#N/A,FALSE,"EA CH (2) ";#N/A,#N/A,FALSE,"EA CH";#N/A,#N/A,FALSE,"EA CH (3) ";#N/A,#N/A,FALSE,"EA CH (4)";#N/A,#N/A,FALSE,"KA CH";#N/A,#N/A,FALSE,"KA CH  (2)";#N/A,#N/A,FALSE,"KA CH  (3)";#N/A,#N/A,FALSE,"KA CH (4)"}</definedName>
    <definedName name="oolo.lll" localSheetId="4" hidden="1">{#N/A,#N/A,FALSE,"Umsatz 99";#N/A,#N/A,FALSE,"ER 99 "}</definedName>
    <definedName name="ooo" localSheetId="4" hidden="1">{#N/A,#N/A,FALSE,"REPORT"}</definedName>
    <definedName name="ööö" localSheetId="4" hidden="1">{#N/A,#N/A,FALSE,"Produkte Erw.";#N/A,#N/A,FALSE,"Produkte Plan";#N/A,#N/A,FALSE,"Leistungen Erw.";#N/A,#N/A,FALSE,"Leistungen Plan";#N/A,#N/A,FALSE,"KA Allg.Kosten (2)";#N/A,#N/A,FALSE,"KA All.Kosten"}</definedName>
    <definedName name="oooo" localSheetId="4" hidden="1">{#N/A,#N/A,FALSE,"Rohstoffnotierungen";#N/A,#N/A,FALSE,"ER HCST Erw. 99";#N/A,#N/A,FALSE,"ER HCST Plan 00";#N/A,#N/A,FALSE,"Umsatz KG";#N/A,#N/A,FALSE,"ER HCST";#N/A,#N/A,FALSE,"EA ST (2)";#N/A,#N/A,FALSE,"EA ST";#N/A,#N/A,FALSE,"EA ST (3)";#N/A,#N/A,FALSE,"EA ST (4)";#N/A,#N/A,FALSE,"KA ST  (2)";#N/A,#N/A,FALSE,"KA ST";#N/A,#N/A,FALSE,"KA ST  (3)";#N/A,#N/A,FALSE,"KA ST (4)"}</definedName>
    <definedName name="ooooo" localSheetId="4" hidden="1">{#N/A,#N/A,FALSE,"Calc";#N/A,#N/A,FALSE,"Sensitivity";#N/A,#N/A,FALSE,"LT Earn.Dil.";#N/A,#N/A,FALSE,"Dil. AVP"}</definedName>
    <definedName name="oooooooo" localSheetId="4" hidden="1">{#N/A,#N/A,FALSE,"Umsatz 99";#N/A,#N/A,FALSE,"ER 99 "}</definedName>
    <definedName name="op" localSheetId="4" hidden="1">{#N/A,#N/A,FALSE,"Staffnos &amp; cost"}</definedName>
    <definedName name="opiu" localSheetId="4" hidden="1">{"Comp_of_Price_Effect",#N/A,FALSE,"QTRDPVAR"}</definedName>
    <definedName name="oplk" localSheetId="4" hidden="1">{"Page1",#N/A,FALSE,"OpExJanvsBud";"Page2",#N/A,FALSE,"OpExJanvsBud"}</definedName>
    <definedName name="opndixm" localSheetId="4" hidden="1">{"detail",#N/A,FALSE,"mfg";"summary",#N/A,FALSE,"mfg"}</definedName>
    <definedName name="Org" localSheetId="4" hidden="1">{#N/A,#N/A,TRUE,"Front";#N/A,#N/A,TRUE,"Simple Letter";#N/A,#N/A,TRUE,"Inside";#N/A,#N/A,TRUE,"Contents";#N/A,#N/A,TRUE,"Basis";#N/A,#N/A,TRUE,"Inclusions";#N/A,#N/A,TRUE,"Exclusions";#N/A,#N/A,TRUE,"Areas";#N/A,#N/A,TRUE,"Summary";#N/A,#N/A,TRUE,"Detail"}</definedName>
    <definedName name="orrr" localSheetId="4" hidden="1">{#N/A,#N/A,TRUE,"Front";#N/A,#N/A,TRUE,"Simple Letter";#N/A,#N/A,TRUE,"Inside";#N/A,#N/A,TRUE,"Contents";#N/A,#N/A,TRUE,"Basis";#N/A,#N/A,TRUE,"Inclusions";#N/A,#N/A,TRUE,"Exclusions";#N/A,#N/A,TRUE,"Areas";#N/A,#N/A,TRUE,"Summary";#N/A,#N/A,TRUE,"Detail"}</definedName>
    <definedName name="other33" localSheetId="4" hidden="1">{#N/A,#N/A,FALSE,"Pharm";#N/A,#N/A,FALSE,"WWCM"}</definedName>
    <definedName name="othermar" localSheetId="4" hidden="1">{#N/A,#N/A,FALSE,"Pharm";#N/A,#N/A,FALSE,"WWCM"}</definedName>
    <definedName name="ou" localSheetId="4" hidden="1">{"QTR_ACT",#N/A,FALSE,"PROP_PBIT_DEV_Q3";"QTR_BUD",#N/A,FALSE,"PROP_PBIT_DEV_Q3";"YTD_BUD",#N/A,FALSE,"PROP_PBIT_DEV_Q3";"YTD_ACT",#N/A,FALSE,"PROP_PBIT_DEV_Q3";"FY95 SNAP3",#N/A,FALSE,"PROP_PBIT_DEV_Q3";"FY95_BUD",#N/A,FALSE,"PROP_PBIT_DEV_Q3";"FY96_BUD",#N/A,FALSE,"PROP_PBIT_DEV_Q3"}</definedName>
    <definedName name="owmkib" localSheetId="4" hidden="1">{"detail",#N/A,FALSE,"mfg";"summary",#N/A,FALSE,"mfg"}</definedName>
    <definedName name="oyuo" localSheetId="4" hidden="1">{#N/A,#N/A,TRUE,"Staffnos &amp; cost"}</definedName>
    <definedName name="P?HG" localSheetId="4" hidden="1">{#N/A,#N/A,FALSE,"Tabl. D1";#N/A,#N/A,FALSE,"Tabl. D1 b";#N/A,#N/A,FALSE,"Tabl. D2";#N/A,#N/A,FALSE,"Tabl. D2 b";#N/A,#N/A,FALSE,"Tabl. D3";#N/A,#N/A,FALSE,"Tabl. D4";#N/A,#N/A,FALSE,"Tabl. D5"}</definedName>
    <definedName name="p09i" localSheetId="4" hidden="1">{#N/A,"PURADD",FALSE,"Business Analysis";#N/A,"PURSPP",FALSE,"Business Analysis";#N/A,"CTGIND",FALSE,"Business Analysis";#N/A,"PURCHM",FALSE,"Business Analysis";#N/A,"SPADD",FALSE,"Business Analysis";#N/A,"EPOXY",FALSE,"Business Analysis";#N/A,"PURPER",FALSE,"Business Analysis"}</definedName>
    <definedName name="p0io" localSheetId="4" hidden="1">{#N/A,"PURCHM",FALSE,"Business Analysis";#N/A,"SPADD",FALSE,"Business Analysis"}</definedName>
    <definedName name="pac" localSheetId="4" hidden="1">{TRUE,TRUE,-1.25,-15.5,456.75,279.75,FALSE,FALSE,TRUE,TRUE,0,1,18,1,199,6,3,4,TRUE,TRUE,3,TRUE,1,TRUE,100,"Swvu.cash.","ACwvu.cash.",1,FALSE,FALSE,0.511811023622047,0.511811023622047,0.511811023622047,0.511811023622047,1,"","",FALSE,FALSE,FALSE,FALSE,1,#N/A,1,1,#DIV/0!,FALSE,"Rwvu.cash.",#N/A,FALSE,FALSE}</definedName>
    <definedName name="pakhak" localSheetId="4" hidden="1">{#N/A,#N/A,FALSE,"PMTABB";#N/A,#N/A,FALSE,"PMTABB"}</definedName>
    <definedName name="pallav" localSheetId="4" hidden="1">{#N/A,#N/A,FALSE,"PMTABB";#N/A,#N/A,FALSE,"PMTABB"}</definedName>
    <definedName name="Panyu" localSheetId="4">{"Client Name or Project Name"}</definedName>
    <definedName name="PARVEEN" localSheetId="4" hidden="1">{#N/A,#N/A,TRUE,"Staffnos &amp; cost"}</definedName>
    <definedName name="Passages" localSheetId="4" hidden="1">{#N/A,#N/A,FALSE,"Tabl. A1";#N/A,#N/A,FALSE,"Tabl. A1 b";#N/A,#N/A,FALSE,"Tabl. A2";#N/A,#N/A,FALSE,"Tabl. A2-1";#N/A,#N/A,FALSE,"Tabl. A2-2"}</definedName>
    <definedName name="Payment_Number" localSheetId="4">ROW()-Header_Row</definedName>
    <definedName name="pb" localSheetId="4" hidden="1">{"net assets",#N/A,FALSE,"summary";"asset turnover",#N/A,FALSE,"summary";"orona",#N/A,FALSE,"summary"}</definedName>
    <definedName name="pd" localSheetId="4" hidden="1">{"detail",#N/A,FALSE,"mfg";"summary",#N/A,FALSE,"mfg"}</definedName>
    <definedName name="Pension" localSheetId="4" hidden="1">{#N/A,#N/A,FALSE,"Aging Summary";#N/A,#N/A,FALSE,"Ratio Analysis";#N/A,#N/A,FALSE,"Test 120 Day Accts";#N/A,#N/A,FALSE,"Tickmarks"}</definedName>
    <definedName name="pepe" localSheetId="4" hidden="1">{#N/A,#N/A,FALSE,"Pharm";#N/A,#N/A,FALSE,"WWCM"}</definedName>
    <definedName name="PEPE4" localSheetId="4" hidden="1">{#N/A,#N/A,FALSE,"Pharm";#N/A,#N/A,FALSE,"WWCM"}</definedName>
    <definedName name="PEPE5" localSheetId="4" hidden="1">{#N/A,#N/A,FALSE,"Pharm";#N/A,#N/A,FALSE,"WWCM"}</definedName>
    <definedName name="per" localSheetId="4">City&amp;" "&amp;State</definedName>
    <definedName name="per_16" localSheetId="4">City&amp;" "&amp;#NAME?</definedName>
    <definedName name="per_18" localSheetId="4">City&amp;" "&amp;#NAME?</definedName>
    <definedName name="per_19" localSheetId="4">City&amp;" "&amp;#NAME?</definedName>
    <definedName name="pg" localSheetId="4" hidden="1">{"summary",#N/A,FALSE,"summary";"sales growth",#N/A,FALSE,"summary";"oper income",#N/A,FALSE,"summary";"oros rank",#N/A,FALSE,"summary";"net assets",#N/A,FALSE,"summary";"asset turnover",#N/A,FALSE,"summary";"orona",#N/A,FALSE,"summary";"total return",#N/A,FALSE,"summary";"overview",#N/A,FALSE,"summary"}</definedName>
    <definedName name="pharma" localSheetId="4" hidden="1">{#N/A,#N/A,FALSE,"Sales Graph";#N/A,#N/A,FALSE,"PSBM";#N/A,#N/A,FALSE,"BUC Graph";#N/A,#N/A,FALSE,"P&amp;L - YTD"}</definedName>
    <definedName name="PI" localSheetId="4">{#N/A,#N/A,FALSE,"PMTABB";#N/A,#N/A,FALSE,"PMTABB"}</definedName>
    <definedName name="PILAR" localSheetId="4" hidden="1">{"detail",#N/A,FALSE,"mfg";"summary",#N/A,FALSE,"mfg"}</definedName>
    <definedName name="pilk" localSheetId="4" hidden="1">{"YD LPH2",#N/A,FALSE,"YTD"}</definedName>
    <definedName name="piuytrr" localSheetId="4" hidden="1">{"'PRODUCTIONCOST SHEET'!$B$3:$G$48"}</definedName>
    <definedName name="pk" localSheetId="4" hidden="1">{"vol data",#N/A,FALSE,"Datasheet";"vol graph",#N/A,FALSE,"Volume";"price data",#N/A,FALSE,"Datasheet";"price graph",#N/A,FALSE,"Price";"dp data",#N/A,FALSE,"Datasheet";"dp graph",#N/A,FALSE,"DirectProfit"}</definedName>
    <definedName name="PKKKK" localSheetId="4">{"Client Name or Project Name"}</definedName>
    <definedName name="pl" localSheetId="4" hidden="1">{#N/A,#N/A,FALSE,"REPORT"}</definedName>
    <definedName name="plan1" localSheetId="4">City&amp;" "&amp;State</definedName>
    <definedName name="PLCepi" localSheetId="4" hidden="1">{#N/A,#N/A,FALSE,"REPORT"}</definedName>
    <definedName name="please" localSheetId="4" hidden="1">{"SCM_Detail",#N/A,FALSE,"SCM";"SCM_Top",#N/A,FALSE,"SCM"}</definedName>
    <definedName name="PLProcef" localSheetId="4" hidden="1">{#N/A,#N/A,FALSE,"REPORT"}</definedName>
    <definedName name="PLTaxol" localSheetId="4" hidden="1">{#N/A,#N/A,FALSE,"REPORT"}</definedName>
    <definedName name="pmc" localSheetId="4" hidden="1">{#N/A,#N/A,FALSE,"PMTABB";#N/A,#N/A,FALSE,"PMTABB"}</definedName>
    <definedName name="pmc_2" localSheetId="4" hidden="1">{#N/A,#N/A,FALSE,"PMTABB";#N/A,#N/A,FALSE,"PMTABB"}</definedName>
    <definedName name="pmc_3" localSheetId="4" hidden="1">{#N/A,#N/A,FALSE,"PMTABB";#N/A,#N/A,FALSE,"PMTABB"}</definedName>
    <definedName name="pmc_4" localSheetId="4" hidden="1">{#N/A,#N/A,FALSE,"PMTABB";#N/A,#N/A,FALSE,"PMTABB"}</definedName>
    <definedName name="pmcf" localSheetId="4" hidden="1">{#N/A,#N/A,FALSE,"PMTABB";#N/A,#N/A,FALSE,"PMTABB"}</definedName>
    <definedName name="pmcf_2" localSheetId="4" hidden="1">{#N/A,#N/A,FALSE,"PMTABB";#N/A,#N/A,FALSE,"PMTABB"}</definedName>
    <definedName name="pmcf_3" localSheetId="4" hidden="1">{#N/A,#N/A,FALSE,"PMTABB";#N/A,#N/A,FALSE,"PMTABB"}</definedName>
    <definedName name="pmcf_4" localSheetId="4" hidden="1">{#N/A,#N/A,FALSE,"PMTABB";#N/A,#N/A,FALSE,"PMTABB"}</definedName>
    <definedName name="PN" localSheetId="4">{"Client Name or Project Name"}</definedName>
    <definedName name="Pnl" localSheetId="4" hidden="1">{#N/A,#N/A,FALSE,"Pharm";#N/A,#N/A,FALSE,"WWCM"}</definedName>
    <definedName name="pnsji5" localSheetId="4" hidden="1">{#N/A,"PURCHM",FALSE,"Business Analysis";#N/A,"SPADD",FALSE,"Business Analysis"}</definedName>
    <definedName name="po" localSheetId="4" hidden="1">{"detail",#N/A,FALSE,"mfg";"summary",#N/A,FALSE,"mfg"}</definedName>
    <definedName name="poc" localSheetId="4" hidden="1">{#N/A,"PURADD",FALSE,"Business Analysis";#N/A,"PURSPP",FALSE,"Business Analysis";#N/A,"CTGIND",FALSE,"Business Analysis";#N/A,"PURCHM",FALSE,"Business Analysis";#N/A,"SPADD",FALSE,"Business Analysis";#N/A,"EPOXY",FALSE,"Business Analysis";#N/A,"PURPER",FALSE,"Business Analysis"}</definedName>
    <definedName name="poi"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iu" localSheetId="4" hidden="1">{"Performance Details",#N/A,FALSE,"Current Yr";"Performance Details",#N/A,FALSE,"Budget";"Performance Details",#N/A,FALSE,"Prior Year"}</definedName>
    <definedName name="POK?ZEFIFVXVW" localSheetId="4" hidden="1">{#N/A,#N/A,FALSE,"Tabl. H1";#N/A,#N/A,FALSE,"Tabl. H2"}</definedName>
    <definedName name="pokj" localSheetId="4" hidden="1">{"QTD_LOUISIANA",#N/A,FALSE,"QTD"}</definedName>
    <definedName name="poo"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rt29" localSheetId="4" hidden="1">{#N/A,#N/A,FALSE,"Pharm";#N/A,#N/A,FALSE,"WWCM"}</definedName>
    <definedName name="Postage" localSheetId="4" hidden="1">{#N/A,#N/A,FALSE,"Aging Summary";#N/A,#N/A,FALSE,"Ratio Analysis";#N/A,#N/A,FALSE,"Test 120 Day Accts";#N/A,#N/A,FALSE,"Tickmarks"}</definedName>
    <definedName name="PostageCourierTelephoneExpenses" localSheetId="4" hidden="1">{#N/A,#N/A,FALSE,"Aging Summary";#N/A,#N/A,FALSE,"Ratio Analysis";#N/A,#N/A,FALSE,"Test 120 Day Accts";#N/A,#N/A,FALSE,"Tickmarks"}</definedName>
    <definedName name="powq" localSheetId="4" hidden="1">{#N/A,"PURCHM",FALSE,"Business Analysis";#N/A,"SPADD",FALSE,"Business Analysis"}</definedName>
    <definedName name="pp" localSheetId="4">City&amp;" "&amp;State</definedName>
    <definedName name="ppl" localSheetId="4" hidden="1">{#N/A,#N/A,FALSE,"gc (2)"}</definedName>
    <definedName name="ppo" localSheetId="4" hidden="1">{"YD LOUISIANA",#N/A,FALSE,"YTD"}</definedName>
    <definedName name="ppp" localSheetId="4" hidden="1">{#N/A,#N/A,FALSE,"Umsatz CH";#N/A,#N/A,FALSE,"ER CH";#N/A,#N/A,FALSE,"EA CH (2) ";#N/A,#N/A,FALSE,"EA CH";#N/A,#N/A,FALSE,"EA CH (3) ";#N/A,#N/A,FALSE,"EA CH (4)";#N/A,#N/A,FALSE,"KA CH";#N/A,#N/A,FALSE,"KA CH  (2)";#N/A,#N/A,FALSE,"KA CH  (3)";#N/A,#N/A,FALSE,"KA CH (4)"}</definedName>
    <definedName name="PPPP" localSheetId="4" hidden="1">{#N/A,#N/A,FALSE,"ISBL"}</definedName>
    <definedName name="PPPP_1" localSheetId="4" hidden="1">{#N/A,#N/A,FALSE,"ISBL"}</definedName>
    <definedName name="PPPP_2" localSheetId="4" hidden="1">{#N/A,#N/A,FALSE,"ISBL"}</definedName>
    <definedName name="PPPP_3" localSheetId="4" hidden="1">{#N/A,#N/A,FALSE,"ISBL"}</definedName>
    <definedName name="PPPP_4" localSheetId="4" hidden="1">{#N/A,#N/A,FALSE,"ISBL"}</definedName>
    <definedName name="pqmjuz" localSheetId="4" hidden="1">{"detail",#N/A,FALSE,"mfg";"summary",#N/A,FALSE,"mfg"}</definedName>
    <definedName name="pqr" localSheetId="4" hidden="1">{#N/A,#N/A,FALSE,"Tabl. A1";#N/A,#N/A,FALSE,"Tabl. A1 b";#N/A,#N/A,FALSE,"Tabl. A2";#N/A,#N/A,FALSE,"Tabl. A2-1";#N/A,#N/A,FALSE,"Tabl. A2-2"}</definedName>
    <definedName name="PR00BG01" localSheetId="4" hidden="1">{#N/A,#N/A,FALSE,"Tabl. D1";#N/A,#N/A,FALSE,"Tabl. D1 b";#N/A,#N/A,FALSE,"Tabl. D2";#N/A,#N/A,FALSE,"Tabl. D2 b";#N/A,#N/A,FALSE,"Tabl. D3";#N/A,#N/A,FALSE,"Tabl. D4";#N/A,#N/A,FALSE,"Tabl. D5"}</definedName>
    <definedName name="pradeep" localSheetId="4" hidden="1">{#N/A,#N/A,FALSE,"CDA Plan"}</definedName>
    <definedName name="pradip"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prakash" localSheetId="4" hidden="1">{#N/A,#N/A,FALSE,"COMICRO";#N/A,#N/A,FALSE,"BALSCH";#N/A,#N/A,FALSE,"GLASS";#N/A,#N/A,FALSE,"DEPRE";#N/A,#N/A,FALSE,"A&amp;MCUR";#N/A,#N/A,FALSE,"AGEANAlysis";#N/A,#N/A,FALSE,"CHECKS";#N/A,#N/A,FALSE,"CHECKS"}</definedName>
    <definedName name="pRAVEEN" localSheetId="4" hidden="1">{#N/A,#N/A,FALSE,"Staffnos &amp; cost"}</definedName>
    <definedName name="pre" localSheetId="4" hidden="1">{#N/A,#N/A,FALSE,"CMN_FE"}</definedName>
    <definedName name="prepay" localSheetId="4" hidden="1">{#N/A,#N/A,FALSE,"PMTABB";#N/A,#N/A,FALSE,"PMTABB"}</definedName>
    <definedName name="Presentation"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4" hidden="1">{#N/A,#N/A,FALSE,"Staffnos &amp; cost"}</definedName>
    <definedName name="Print_Area_Reset" localSheetId="4">OFFSET(Full_Print,0,0,'Management commentary '!Last_Row)</definedName>
    <definedName name="Procef" localSheetId="4" hidden="1">{#N/A,#N/A,FALSE,"Pharm";#N/A,#N/A,FALSE,"WWCM"}</definedName>
    <definedName name="process" localSheetId="4" hidden="1">{#N/A,#N/A,FALSE,"PMTABB";#N/A,#N/A,FALSE,"PMTABB"}</definedName>
    <definedName name="prod" localSheetId="4" hidden="1">{#N/A,#N/A,FALSE,"Pharm";#N/A,#N/A,FALSE,"WWCM"}</definedName>
    <definedName name="profit" localSheetId="4" hidden="1">{#N/A,"Good",TRUE,"Sheet1";#N/A,"Normal",TRUE,"Sheet1";#N/A,"Bad",TRUE,"Sheet1"}</definedName>
    <definedName name="prohr" localSheetId="4" hidden="1">{#N/A,#N/A,FALSE,"Staffnos &amp; cost"}</definedName>
    <definedName name="ProjecName" localSheetId="4">{"Client Name or Project Name"}</definedName>
    <definedName name="ProjectName" localSheetId="4">{"Client Name or Project Name"}</definedName>
    <definedName name="ProjectName1" localSheetId="4">{"Client Name or Project Name"}</definedName>
    <definedName name="ProjectName10" localSheetId="4">{"Client Name or Project Name"}</definedName>
    <definedName name="ProjectName11" localSheetId="4">{"Client Name or Project Name"}</definedName>
    <definedName name="ProjectName2" localSheetId="4">{"Client Name or Project Name"}</definedName>
    <definedName name="ProjectName3" localSheetId="4">{"Client Name or Project Name"}</definedName>
    <definedName name="ProjectName4" localSheetId="4">{"Client Name or Project Name"}</definedName>
    <definedName name="ProjectName5" localSheetId="4">{"Client Name or Project Name"}</definedName>
    <definedName name="ProjectName6" localSheetId="4">{"Client Name or Project Name"}</definedName>
    <definedName name="ProjectName7" localSheetId="4">{"Client Name or Project Name"}</definedName>
    <definedName name="ProjectName8" localSheetId="4">{"Client Name or Project Name"}</definedName>
    <definedName name="ProjectNameA" localSheetId="4">{"Client Name or Project Name"}</definedName>
    <definedName name="ProjectNameB" localSheetId="4">{"Client Name or Project Name"}</definedName>
    <definedName name="ProjectNameC" localSheetId="4">{"Client Name or Project Name"}</definedName>
    <definedName name="ProjectNameSource" localSheetId="4">{"Client Name or Project Name"}</definedName>
    <definedName name="prova"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sion2" localSheetId="4" hidden="1">{"plansummary",#N/A,FALSE,"PlanSummary";"sales",#N/A,FALSE,"Sales Rec";"productivity",#N/A,FALSE,"Productivity Rec";"capitalspending",#N/A,FALSE,"Capital Spending"}</definedName>
    <definedName name="pss" localSheetId="4" hidden="1">{#N/A,#N/A,FALSE,"COMICRO";#N/A,#N/A,FALSE,"BALSCH";#N/A,#N/A,FALSE,"GLASS";#N/A,#N/A,FALSE,"DEPRE";#N/A,#N/A,FALSE,"A&amp;MCUR";#N/A,#N/A,FALSE,"AGEANAlysis";#N/A,#N/A,FALSE,"CHECKS";#N/A,#N/A,FALSE,"CHECKS"}</definedName>
    <definedName name="pssq" localSheetId="4" hidden="1">{#N/A,#N/A,FALSE,"COMICRO";#N/A,#N/A,FALSE,"BALSCH";#N/A,#N/A,FALSE,"GLASS";#N/A,#N/A,FALSE,"DEPRE";#N/A,#N/A,FALSE,"A&amp;MCUR";#N/A,#N/A,FALSE,"AGEANAlysis";#N/A,#N/A,FALSE,"CHECKS";#N/A,#N/A,FALSE,"CHECKS"}</definedName>
    <definedName name="ptk" localSheetId="4">{#N/A,#N/A,FALSE,"PMTABB";#N/A,#N/A,FALSE,"PMTABB"}</definedName>
    <definedName name="ptk_1" localSheetId="4">{#N/A,#N/A,FALSE,"PMTABB";#N/A,#N/A,FALSE,"PMTABB"}</definedName>
    <definedName name="ptk_2" localSheetId="4">{#N/A,#N/A,FALSE,"PMTABB";#N/A,#N/A,FALSE,"PMTABB"}</definedName>
    <definedName name="ptk_3" localSheetId="4">{#N/A,#N/A,FALSE,"PMTABB";#N/A,#N/A,FALSE,"PMTABB"}</definedName>
    <definedName name="ptk_4" localSheetId="4">{#N/A,#N/A,FALSE,"PMTABB";#N/A,#N/A,FALSE,"PMTABB"}</definedName>
    <definedName name="ptptgkvjf" localSheetId="4" hidden="1">{#N/A,#N/A,FALSE,"CDA Plan"}</definedName>
    <definedName name="pucspadd42" localSheetId="4" hidden="1">{#N/A,"PURCHM",FALSE,"Business Analysis";#N/A,"SPADD",FALSE,"Business Analysis"}</definedName>
    <definedName name="pupi" localSheetId="4" hidden="1">{"YD OTHER",#N/A,FALSE,"YTD"}</definedName>
    <definedName name="püpoüpoüpo" localSheetId="4" hidden="1">{#N/A,#N/A,FALSE,"PMW Gruppe 99_98";#N/A,#N/A,FALSE,"PMW KG 98_99";#N/A,#N/A,FALSE,"PMW Inc. 99_98";#N/A,#N/A,FALSE,"PMW VTECH 99_98";#N/A,#N/A,FALSE,"PMW Thail. 99_98";#N/A,#N/A,FALSE,"PMW Canada 99_98";#N/A,#N/A,FALSE,"Währungsabw. 99_98"}</definedName>
    <definedName name="püpü" localSheetId="4" hidden="1">{#N/A,#N/A,FALSE,"Umsatz 99";#N/A,#N/A,FALSE,"ER 99 "}</definedName>
    <definedName name="pvm" localSheetId="4" hidden="1">{#N/A,#N/A,FALSE,"COMP"}</definedName>
    <definedName name="pz" localSheetId="4" hidden="1">{"Month Summary",#N/A,FALSE,"Summary";"Total Details",#N/A,FALSE,"Current Yr";"Polymers Details",#N/A,FALSE,"Current Yr";"Performance Details",#N/A,FALSE,"Current Yr";"ICD Details",#N/A,FALSE,"Current Yr"}</definedName>
    <definedName name="PZO" localSheetId="4" hidden="1">{#N/A,#N/A,FALSE,"Tabl. D1";#N/A,#N/A,FALSE,"Tabl. D1 b";#N/A,#N/A,FALSE,"Tabl. D2";#N/A,#N/A,FALSE,"Tabl. D2 b";#N/A,#N/A,FALSE,"Tabl. D3";#N/A,#N/A,FALSE,"Tabl. D4";#N/A,#N/A,FALSE,"Tabl. D5"}</definedName>
    <definedName name="q" localSheetId="4">{#N/A,#N/A,FALSE,"Title Page (3)";#N/A,#N/A,FALSE,"YTD - OTC";#N/A,#N/A,FALSE,"MTH - OTC"}</definedName>
    <definedName name="Q3versusSeg" localSheetId="4" hidden="1">{"Monthly6Q",#N/A,FALSE,"0614ESL"}</definedName>
    <definedName name="Q3vsSeg" localSheetId="4" hidden="1">{"Monthly6Q",#N/A,FALSE,"0614ESL"}</definedName>
    <definedName name="qa" localSheetId="4" hidden="1">{#N/A,#N/A,FALSE,"Staffnos &amp; cost"}</definedName>
    <definedName name="qaaaa" localSheetId="4" hidden="1">{"detail",#N/A,FALSE,"mfg";"summary",#N/A,FALSE,"mfg"}</definedName>
    <definedName name="qafsgjk" localSheetId="4" hidden="1">{"'7'!$B$15:$D$32"}</definedName>
    <definedName name="qaz" localSheetId="4" hidden="1">{#N/A,#N/A,FALSE,"Pharm";#N/A,#N/A,FALSE,"WWCM"}</definedName>
    <definedName name="QC" localSheetId="4" hidden="1">{"'Sheet1'!$A$4386:$N$4591"}</definedName>
    <definedName name="qeqee" localSheetId="4" hidden="1">{#N/A,#N/A,FALSE,"Produkte Erw.";#N/A,#N/A,FALSE,"Produkte Plan";#N/A,#N/A,FALSE,"Leistungen Erw.";#N/A,#N/A,FALSE,"Leistungen Plan";#N/A,#N/A,FALSE,"KA Allg.Kosten (2)";#N/A,#N/A,FALSE,"KA All.Kosten"}</definedName>
    <definedName name="qertweyu" localSheetId="4" hidden="1">{#N/A,#N/A,FALSE,"REPORT"}</definedName>
    <definedName name="qesd" localSheetId="4" hidden="1">{"Page 1",#N/A,FALSE,"OpExJanVsPY";"Page 2",#N/A,FALSE,"OpExJanVsPY"}</definedName>
    <definedName name="qetryywt" localSheetId="4" hidden="1">{#N/A,#N/A,FALSE,"REPORT"}</definedName>
    <definedName name="qewqeqw" localSheetId="4" hidden="1">{#N/A,#N/A,FALSE,"Aging Summary";#N/A,#N/A,FALSE,"Ratio Analysis";#N/A,#N/A,FALSE,"Test 120 Day Accts";#N/A,#N/A,FALSE,"Tickmarks"}</definedName>
    <definedName name="qgfqerg" localSheetId="4" hidden="1">{#N/A,#N/A,FALSE,"PMTABB";#N/A,#N/A,FALSE,"PMTABB"}</definedName>
    <definedName name="qgfqerg_1" localSheetId="4" hidden="1">{#N/A,#N/A,FALSE,"PMTABB";#N/A,#N/A,FALSE,"PMTABB"}</definedName>
    <definedName name="qgfqerg_2" localSheetId="4" hidden="1">{#N/A,#N/A,FALSE,"PMTABB";#N/A,#N/A,FALSE,"PMTABB"}</definedName>
    <definedName name="qgfqerg_3" localSheetId="4" hidden="1">{#N/A,#N/A,FALSE,"PMTABB";#N/A,#N/A,FALSE,"PMTABB"}</definedName>
    <definedName name="qgfqerg_4" localSheetId="4" hidden="1">{#N/A,#N/A,FALSE,"PMTABB";#N/A,#N/A,FALSE,"PMTABB"}</definedName>
    <definedName name="qi" localSheetId="4" hidden="1">{#N/A,"PURADD",FALSE,"Business Analysis";#N/A,"PURSPP",FALSE,"Business Analysis";#N/A,"CTGIND",FALSE,"Business Analysis";#N/A,"PURCHM",FALSE,"Business Analysis";#N/A,"SPADD",FALSE,"Business Analysis";#N/A,"EPOXY",FALSE,"Business Analysis";#N/A,"PURPER",FALSE,"Business Analysis"}</definedName>
    <definedName name="qink" localSheetId="4" hidden="1">{#N/A,"PURCHM",FALSE,"Business Analysis";#N/A,"SPADD",FALSE,"Business Analysis"}</definedName>
    <definedName name="qp" localSheetId="4" hidden="1">{"overview",#N/A,FALSE,"summary";"net assets",#N/A,FALSE,"summary";"asset turnover",#N/A,FALSE,"summary";"orona",#N/A,FALSE,"summary"}</definedName>
    <definedName name="QQ" localSheetId="4" hidden="1">{#N/A,#N/A,FALSE,"PMTABB";#N/A,#N/A,FALSE,"PMTABB"}</definedName>
    <definedName name="QQ_1" localSheetId="4" hidden="1">{#N/A,#N/A,FALSE,"PMTABB";#N/A,#N/A,FALSE,"PMTABB"}</definedName>
    <definedName name="QQ_2" localSheetId="4" hidden="1">{#N/A,#N/A,FALSE,"PMTABB";#N/A,#N/A,FALSE,"PMTABB"}</definedName>
    <definedName name="QQ_3" localSheetId="4" hidden="1">{#N/A,#N/A,FALSE,"PMTABB";#N/A,#N/A,FALSE,"PMTABB"}</definedName>
    <definedName name="QQ_4" localSheetId="4" hidden="1">{#N/A,#N/A,FALSE,"PMTABB";#N/A,#N/A,FALSE,"PMTABB"}</definedName>
    <definedName name="qqj" localSheetId="4" hidden="1">{"'7'!$B$15:$D$32"}</definedName>
    <definedName name="qqkkkkk" localSheetId="4" hidden="1">{#N/A,"PURCHM",FALSE,"Business Analysis";#N/A,"SPADD",FALSE,"Business Analysis"}</definedName>
    <definedName name="QQQ"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qqaa" localSheetId="4" hidden="1">{"detail",#N/A,FALSE,"mfg";"summary",#N/A,FALSE,"mfg"}</definedName>
    <definedName name="QQQQ" localSheetId="4" hidden="1">{#N/A,#N/A,FALSE,"EW"}</definedName>
    <definedName name="QQQQ_1" localSheetId="4" hidden="1">{#N/A,#N/A,FALSE,"EW"}</definedName>
    <definedName name="QQQQ_2" localSheetId="4" hidden="1">{#N/A,#N/A,FALSE,"EW"}</definedName>
    <definedName name="QQQQ_3" localSheetId="4" hidden="1">{#N/A,#N/A,FALSE,"EW"}</definedName>
    <definedName name="QQQQ_4" localSheetId="4" hidden="1">{#N/A,#N/A,FALSE,"EW"}</definedName>
    <definedName name="qqqqq" localSheetId="4" hidden="1">{#N/A,"PURCHM",FALSE,"Business Analysis";#N/A,"SPADD",FALSE,"Business Analysis"}</definedName>
    <definedName name="qqqqqq" localSheetId="4" hidden="1">{"QTD_PRS",#N/A,FALSE,"QTD"}</definedName>
    <definedName name="QQQQQQQ" localSheetId="4" hidden="1">{"assumptions",#N/A,FALSE,"HC-TOTAL";"misc. - standards",#N/A,FALSE,"HC-TOTAL";"misc - total",#N/A,FALSE,"HC-TOTAL";"R&amp;M - STANDARDS",#N/A,FALSE,"HC-TOTAL";"R&amp;M - TOTAL",#N/A,FALSE,"I.T. COSTS";"IT COSTS - STD.",#N/A,FALSE,"HC-TOTAL";"IT COSTS - TOTAL",#N/A,FALSE,"HC-TOTAL";"SPACE COSTS - STD.",#N/A,FALSE,"HC-TOTAL";"SPACE COSTS - TOTAL",#N/A,FALSE,"HC-TOTAL";"RENT",#N/A,FALSE,"HC-TOTAL";"COST SHEET",#N/A,FALSE,"HC-TOTAL";"COMM. LINKS",#N/A,FALSE,"HC-TOTAL";"ADVERTISEMENT",#N/A,FALSE,"HC-TOTAL";"business support head count",#N/A,FALSE,"HC-TOTAL";"capacity",#N/A,FALSE,"HC-TOTAL";"capacity",#N/A,FALSE,"HC-TOTAL"}</definedName>
    <definedName name="QQQQQQQQQ" localSheetId="4" hidden="1">{#N/A,#N/A,FALSE,"CMN_FE"}</definedName>
    <definedName name="qqqqqqqqqq" localSheetId="4" hidden="1">{"pro_view",#N/A,FALSE,"EEFSNAP2";"rep_view",#N/A,FALSE,"EEFSNAP2"}</definedName>
    <definedName name="qqqqqqqqqqqqqq" localSheetId="4" hidden="1">{#N/A,#N/A,FALSE,"IS INPUT";#N/A,#N/A,FALSE,"BS INPUT";#N/A,#N/A,FALSE,"IS MTH";#N/A,#N/A,FALSE,"IS LOCAL";#N/A,#N/A,FALSE,"WON ADJ";#N/A,#N/A,FALSE,"USD ADJ";#N/A,#N/A,FALSE,"EQUITY";#N/A,#N/A,FALSE,"IS US ";#N/A,#N/A,FALSE,"BS US"}</definedName>
    <definedName name="qqqqqqqqqqqqqqqq" localSheetId="4" hidden="1">{#N/A,"PURADD",FALSE,"Business Analysis";#N/A,"PURSPP",FALSE,"Business Analysis";#N/A,"CTGIND",FALSE,"Business Analysis";#N/A,"PURCHM",FALSE,"Business Analysis";#N/A,"SPADD",FALSE,"Business Analysis";#N/A,"EPOXY",FALSE,"Business Analysis";#N/A,"PURPER",FALSE,"Business Analysis"}</definedName>
    <definedName name="qqqqqqqqqqqqqqqqqqq" localSheetId="4" hidden="1">{"detail",#N/A,FALSE,"mfg";"summary",#N/A,FALSE,"mfg"}</definedName>
    <definedName name="qqqqqqqqqqqqqqqqqqqqqqqqqqqqqqqqqqqqqqqqqqqqqqqqqqqqqq" localSheetId="4" hidden="1">{"TXO2N2_SLS",#N/A,FALSE,"MTHLYSLES";"TXH2_SLS",#N/A,FALSE,"MTHLYSLES";"LOUIS_SLS",#N/A,FALSE,"MTHLYSLES";"H2_SLS",#N/A,FALSE,"MTHLYSLES";"O2N2_SLS",#N/A,FALSE,"MTHLYSLES";"PACKAGE_SLS",#N/A,FALSE,"MTHLYSLES"}</definedName>
    <definedName name="QQRRR" localSheetId="4" hidden="1">{#N/A,#N/A,FALSE,"CDA Plan"}</definedName>
    <definedName name="qqweq" localSheetId="4" hidden="1">{0,0,FALSE,0,FALSE,TRUE,0,0,0,0,0,0,0,#VALUE!,0,0,0,0,0,0,0,0,0,0,#VALUE!,0,FALSE,0,0,0,0,0,0,0,0,0,0,0,0,0,0,0,0,0,0,0,0,0,0,0,0}</definedName>
    <definedName name="qqwtweryey" localSheetId="4" hidden="1">{#N/A,#N/A,FALSE,"REPORT"}</definedName>
    <definedName name="qr" localSheetId="4" hidden="1">{"detail",#N/A,FALSE,"mfg";"summary",#N/A,FALSE,"mfg"}</definedName>
    <definedName name="QS" localSheetId="4" hidden="1">{#N/A,#N/A,TRUE,"Front";#N/A,#N/A,TRUE,"Simple Letter";#N/A,#N/A,TRUE,"Inside";#N/A,#N/A,TRUE,"Contents";#N/A,#N/A,TRUE,"Basis";#N/A,#N/A,TRUE,"Inclusions";#N/A,#N/A,TRUE,"Exclusions";#N/A,#N/A,TRUE,"Areas";#N/A,#N/A,TRUE,"Summary";#N/A,#N/A,TRUE,"Detail"}</definedName>
    <definedName name="qssss" localSheetId="4" hidden="1">{#N/A,"PURCHM",FALSE,"Business Analysis";#N/A,"SPADD",FALSE,"Business Analysis"}</definedName>
    <definedName name="qt" localSheetId="4" hidden="1">{"oct_res_comm",#N/A,FALSE,"VarToBud"}</definedName>
    <definedName name="qttty" localSheetId="4" hidden="1">{#N/A,#N/A,TRUE,"Front";#N/A,#N/A,TRUE,"Simple Letter";#N/A,#N/A,TRUE,"Inside";#N/A,#N/A,TRUE,"Contents";#N/A,#N/A,TRUE,"Basis";#N/A,#N/A,TRUE,"Inclusions";#N/A,#N/A,TRUE,"Exclusions";#N/A,#N/A,TRUE,"Areas";#N/A,#N/A,TRUE,"Summary";#N/A,#N/A,TRUE,"Detail"}</definedName>
    <definedName name="qttty_1" localSheetId="4">{#N/A,#N/A,TRUE,"Front";#N/A,#N/A,TRUE,"Simple Letter";#N/A,#N/A,TRUE,"Inside";#N/A,#N/A,TRUE,"Contents";#N/A,#N/A,TRUE,"Basis";#N/A,#N/A,TRUE,"Inclusions";#N/A,#N/A,TRUE,"Exclusions";#N/A,#N/A,TRUE,"Areas";#N/A,#N/A,TRUE,"Summary";#N/A,#N/A,TRUE,"Detail"}</definedName>
    <definedName name="qw" localSheetId="4" hidden="1">{#N/A,#N/A,FALSE,"REPORT"}</definedName>
    <definedName name="qwe" localSheetId="4" hidden="1">{#N/A,"PURADD",FALSE,"Business Analysis";#N/A,"PURSPP",FALSE,"Business Analysis";#N/A,"CTGIND",FALSE,"Business Analysis";#N/A,"PURCHM",FALSE,"Business Analysis";#N/A,"SPADD",FALSE,"Business Analysis";#N/A,"EPOXY",FALSE,"Business Analysis";#N/A,"PURPER",FALSE,"Business Analysis"}</definedName>
    <definedName name="qwef" localSheetId="4" hidden="1">{#N/A,#N/A,FALSE,"EW"}</definedName>
    <definedName name="qwef_1" localSheetId="4" hidden="1">{#N/A,#N/A,FALSE,"EW"}</definedName>
    <definedName name="qwef_2" localSheetId="4" hidden="1">{#N/A,#N/A,FALSE,"EW"}</definedName>
    <definedName name="qwef_3" localSheetId="4" hidden="1">{#N/A,#N/A,FALSE,"EW"}</definedName>
    <definedName name="qwef_4" localSheetId="4" hidden="1">{#N/A,#N/A,FALSE,"EW"}</definedName>
    <definedName name="qweqwesg" localSheetId="4" hidden="1">{#N/A,#N/A,FALSE,"Umsatz CH";#N/A,#N/A,FALSE,"ER CH";#N/A,#N/A,FALSE,"EA CH (2) ";#N/A,#N/A,FALSE,"EA CH";#N/A,#N/A,FALSE,"EA CH (3) ";#N/A,#N/A,FALSE,"EA CH (4)";#N/A,#N/A,FALSE,"KA CH";#N/A,#N/A,FALSE,"KA CH  (2)";#N/A,#N/A,FALSE,"KA CH  (3)";#N/A,#N/A,FALSE,"KA CH (4)"}</definedName>
    <definedName name="QWER" localSheetId="4" hidden="1">{#N/A,#N/A,FALSE,"SUMMARY";#N/A,#N/A,FALSE,"SUMMARY"}</definedName>
    <definedName name="QWER_1" localSheetId="4" hidden="1">{#N/A,#N/A,FALSE,"SUMMARY";#N/A,#N/A,FALSE,"SUMMARY"}</definedName>
    <definedName name="QWER_2" localSheetId="4" hidden="1">{#N/A,#N/A,FALSE,"SUMMARY";#N/A,#N/A,FALSE,"SUMMARY"}</definedName>
    <definedName name="QWER_3" localSheetId="4" hidden="1">{#N/A,#N/A,FALSE,"SUMMARY";#N/A,#N/A,FALSE,"SUMMARY"}</definedName>
    <definedName name="QWER_4" localSheetId="4" hidden="1">{#N/A,#N/A,FALSE,"SUMMARY";#N/A,#N/A,FALSE,"SUMMARY"}</definedName>
    <definedName name="qwertqry" localSheetId="4" hidden="1">{#N/A,#N/A,FALSE,"REPORT"}</definedName>
    <definedName name="qwetqryetytu" localSheetId="4" hidden="1">{#N/A,#N/A,FALSE,"Pharm";#N/A,#N/A,FALSE,"WWCM"}</definedName>
    <definedName name="qwhqq" localSheetId="4" hidden="1">{"'7'!$B$15:$D$32"}</definedName>
    <definedName name="qwj" localSheetId="4" hidden="1">{"'7'!$B$15:$D$32"}</definedName>
    <definedName name="qwrd" localSheetId="4" hidden="1">{"ACT",#N/A,FALSE,"Q3Elec P&amp;L fy 99  ";"BUD",#N/A,FALSE,"Q3Elec P&amp;L fy 99  ";"PRIOR",#N/A,FALSE,"Q3Elec P&amp;L fy 99  "}</definedName>
    <definedName name="qws" localSheetId="4" hidden="1">{"QTD_OTHER",#N/A,FALSE,"QTD"}</definedName>
    <definedName name="qwsa"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z" localSheetId="4" hidden="1">{"QTD_HYCO",#N/A,FALSE,"QTD"}</definedName>
    <definedName name="QXC" localSheetId="4" hidden="1">{#N/A,#N/A,FALSE,"Tabl. H1";#N/A,#N/A,FALSE,"Tabl. H2"}</definedName>
    <definedName name="ra" localSheetId="4" hidden="1">{#N/A,#N/A,FALSE,"Budegeted vs Actual"}</definedName>
    <definedName name="Raa" localSheetId="4">{1}</definedName>
    <definedName name="rad" localSheetId="4" hidden="1">{"PACKAGE",#N/A,FALSE,"CM"}</definedName>
    <definedName name="ram" localSheetId="4" hidden="1">{"dep. full detail",#N/A,FALSE,"annex";"3cd annex",#N/A,FALSE,"annex";"co. dep.",#N/A,FALSE,"annex"}</definedName>
    <definedName name="Ratios" localSheetId="4">CapitalEmployed+CurrentLiab</definedName>
    <definedName name="ravi" localSheetId="4" hidden="1">{#N/A,#N/A,TRUE,"Front";#N/A,#N/A,TRUE,"Simple Letter";#N/A,#N/A,TRUE,"Inside";#N/A,#N/A,TRUE,"Contents";#N/A,#N/A,TRUE,"Basis";#N/A,#N/A,TRUE,"Inclusions";#N/A,#N/A,TRUE,"Exclusions";#N/A,#N/A,TRUE,"Areas";#N/A,#N/A,TRUE,"Summary";#N/A,#N/A,TRUE,"Detail"}</definedName>
    <definedName name="ravi_1" localSheetId="4">{#N/A,#N/A,TRUE,"Front";#N/A,#N/A,TRUE,"Simple Letter";#N/A,#N/A,TRUE,"Inside";#N/A,#N/A,TRUE,"Contents";#N/A,#N/A,TRUE,"Basis";#N/A,#N/A,TRUE,"Inclusions";#N/A,#N/A,TRUE,"Exclusions";#N/A,#N/A,TRUE,"Areas";#N/A,#N/A,TRUE,"Summary";#N/A,#N/A,TRUE,"Detail"}</definedName>
    <definedName name="RBG" localSheetId="4" hidden="1">{#N/A,#N/A,FALSE,"Tabl. D1";#N/A,#N/A,FALSE,"Tabl. D1 b";#N/A,#N/A,FALSE,"Tabl. D2";#N/A,#N/A,FALSE,"Tabl. D2 b";#N/A,#N/A,FALSE,"Tabl. D3";#N/A,#N/A,FALSE,"Tabl. D4";#N/A,#N/A,FALSE,"Tabl. D5"}</definedName>
    <definedName name="rd" localSheetId="4" hidden="1">{"oct_res_comm",#N/A,FALSE,"VarToBud"}</definedName>
    <definedName name="rdx" localSheetId="4" hidden="1">{"oct_res_comm",#N/A,FALSE,"VarToBud"}</definedName>
    <definedName name="rea"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c" localSheetId="4">{"LAPO2N2",#N/A,FALSE,"CM";"TOTTEXAS",#N/A,FALSE,"CM";"LOUISIANA",#N/A,FALSE,"CM";"GENERALH2",#N/A,FALSE,"CM";"PRS",#N/A,FALSE,"CM";"PACKAGE",#N/A,FALSE,"CM";"OTHER",#N/A,FALSE,"CM"}</definedName>
    <definedName name="recn" localSheetId="4" hidden="1">{"CTCp1",#N/A,FALSE,"CTC Report";"CTCp2",#N/A,FALSE,"CTC Report";"CTCp3",#N/A,FALSE,"CTC Report";"CTCp4",#N/A,FALSE,"CTC Report"}</definedName>
    <definedName name="recnt" localSheetId="4" hidden="1">{"CTCp1",#N/A,FALSE,"CTC Report";"CTCp2",#N/A,FALSE,"CTC Report";"CTCp3",#N/A,FALSE,"CTC Report";"CTCp4",#N/A,FALSE,"CTC Report"}</definedName>
    <definedName name="redo" localSheetId="4" hidden="1">{#N/A,#N/A,FALSE,"ACQ_GRAPHS";#N/A,#N/A,FALSE,"T_1 GRAPHS";#N/A,#N/A,FALSE,"T_2 GRAPHS";#N/A,#N/A,FALSE,"COMB_GRAPHS"}</definedName>
    <definedName name="REF" localSheetId="4" hidden="1">{#N/A,#N/A,FALSE,"COMP"}</definedName>
    <definedName name="reggie" localSheetId="4" hidden="1">{#N/A,#N/A,FALSE,"Pharm";#N/A,#N/A,FALSE,"WWCM"}</definedName>
    <definedName name="reiufhiuehf\" localSheetId="4" hidden="1">{#N/A,#N/A,FALSE,"Calc";#N/A,#N/A,FALSE,"Sensitivity";#N/A,#N/A,FALSE,"LT Earn.Dil.";#N/A,#N/A,FALSE,"Dil. AVP"}</definedName>
    <definedName name="reiuhviurv"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elated" localSheetId="4" hidden="1">{#N/A,#N/A,FALSE,"PMTABB";#N/A,#N/A,FALSE,"PMTABB"}</definedName>
    <definedName name="reoijfoief" localSheetId="4" hidden="1">{#N/A,#N/A,FALSE,"Calc";#N/A,#N/A,FALSE,"Sensitivity";#N/A,#N/A,FALSE,"LT Earn.Dil.";#N/A,#N/A,FALSE,"Dil. AVP"}</definedName>
    <definedName name="Repairs"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porting" localSheetId="4" hidden="1">{#N/A,#N/A,FALSE,"Tabl. FB300";#N/A,#N/A,FALSE,"Tabl. FB350";#N/A,#N/A,FALSE,"Tabl. FB400";#N/A,#N/A,FALSE,"Tabl. FB500";#N/A,#N/A,FALSE,"Tabl. FS090"}</definedName>
    <definedName name="repre" localSheetId="4" hidden="1">{#N/A,#N/A,FALSE,"Aging Summary";#N/A,#N/A,FALSE,"Ratio Analysis";#N/A,#N/A,FALSE,"Test 120 Day Accts";#N/A,#N/A,FALSE,"Tickmarks"}</definedName>
    <definedName name="rerere" localSheetId="4" hidden="1">{"Geo - Detail Detail",#N/A,FALSE,"Geo View";"Geo - Detail",#N/A,FALSE,"Geo View";"Dept - Detail Detail",#N/A,FALSE,"Dept View";"Dept - Detail",#N/A,FALSE,"Dept View"}</definedName>
    <definedName name="rererer" localSheetId="4" hidden="1">{"Geo - Detail Detail",#N/A,FALSE,"Geo View";"Geo - Detail",#N/A,FALSE,"Geo View";"Dept - Detail Detail",#N/A,FALSE,"Dept View";"Dept - Detail",#N/A,FALSE,"Dept View"}</definedName>
    <definedName name="res" localSheetId="4" hidden="1">{#N/A,#N/A,FALSE,"Tabl. FB300";#N/A,#N/A,FALSE,"Tabl. FB350";#N/A,#N/A,FALSE,"Tabl. FB400";#N/A,#N/A,FALSE,"Tabl. FB500";#N/A,#N/A,FALSE,"Tabl. FS090"}</definedName>
    <definedName name="resp." localSheetId="4" hidden="1">{#N/A,#N/A,FALSE,"Pharm";#N/A,#N/A,FALSE,"WWCM"}</definedName>
    <definedName name="result" localSheetId="4" hidden="1">{#N/A,#N/A,FALSE,"Tabl. G1";#N/A,#N/A,FALSE,"Tabl. G2"}</definedName>
    <definedName name="reu" localSheetId="4" hidden="1">{#N/A,#N/A,FALSE,"gc (2)"}</definedName>
    <definedName name="rev.plan" localSheetId="4">City&amp;" "&amp;State</definedName>
    <definedName name="rewq" localSheetId="4" hidden="1">{"sales growth",#N/A,FALSE,"summary";"oper income",#N/A,FALSE,"summary";"oros rank",#N/A,FALSE,"summary";"net assets",#N/A,FALSE,"summary";"asset turnover",#N/A,FALSE,"summary";"orona",#N/A,FALSE,"summary"}</definedName>
    <definedName name="rewtet" localSheetId="4" hidden="1">{#N/A,#N/A,FALSE,"Umsatz 99";#N/A,#N/A,FALSE,"ER 99 "}</definedName>
    <definedName name="rewtwe" localSheetId="4" hidden="1">{#N/A,#N/A,FALSE,"COMP"}</definedName>
    <definedName name="reya" localSheetId="4" hidden="1">{"office ltcg",#N/A,FALSE,"gain01";"IT LTCG",#N/A,FALSE,"gain01"}</definedName>
    <definedName name="rf2e" localSheetId="4" hidden="1">{#N/A,#N/A,FALSE,"Pharm";#N/A,#N/A,FALSE,"WWCM"}</definedName>
    <definedName name="rfktlt" localSheetId="4" hidden="1">{#N/A,#N/A,FALSE,"CDA Plan"}</definedName>
    <definedName name="RG"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rgegerg"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gergeger" localSheetId="4" hidden="1">{#N/A,#N/A,FALSE,"PGW"}</definedName>
    <definedName name="rh" localSheetId="4" hidden="1">{#N/A,#N/A,FALSE,"FREE"}</definedName>
    <definedName name="rhw" localSheetId="4" hidden="1">{#N/A,#N/A,FALSE,"FREE"}</definedName>
    <definedName name="rhw_1" localSheetId="4" hidden="1">{#N/A,#N/A,FALSE,"FREE"}</definedName>
    <definedName name="rhw_2" localSheetId="4" hidden="1">{#N/A,#N/A,FALSE,"FREE"}</definedName>
    <definedName name="rhw_3" localSheetId="4" hidden="1">{#N/A,#N/A,FALSE,"FREE"}</definedName>
    <definedName name="rhw_4" localSheetId="4" hidden="1">{#N/A,#N/A,FALSE,"FREE"}</definedName>
    <definedName name="rhwr"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pal" localSheetId="4" hidden="1">{#N/A,#N/A,FALSE,"gc (2)"}</definedName>
    <definedName name="rixi" localSheetId="4" hidden="1">{"oct_res_comm",#N/A,FALSE,"VarToBud"}</definedName>
    <definedName name="rjod" localSheetId="4" hidden="1">{"detail",#N/A,FALSE,"mfg";"summary",#N/A,FALSE,"mfg"}</definedName>
    <definedName name="rkods" localSheetId="4" hidden="1">{"detail",#N/A,FALSE,"mfg";"summary",#N/A,FALSE,"mfg"}</definedName>
    <definedName name="RO" localSheetId="4">{#N/A,#N/A,FALSE,"Pharm";#N/A,#N/A,FALSE,"WWCM"}</definedName>
    <definedName name="rohig" localSheetId="4" hidden="1">{#N/A,#N/A,TRUE,"Staffnos &amp; cost"}</definedName>
    <definedName name="rohig_1" localSheetId="4" hidden="1">{#N/A,#N/A,TRUE,"Staffnos &amp; cost"}</definedName>
    <definedName name="rr" localSheetId="4" hidden="1">{"detail",#N/A,FALSE,"mfg";"summary",#N/A,FALSE,"mfg"}</definedName>
    <definedName name="rr.kk" localSheetId="4" hidden="1">{#N/A,#N/A,FALSE,"Umsatz CH";#N/A,#N/A,FALSE,"ER CH";#N/A,#N/A,FALSE,"EA CH (2) ";#N/A,#N/A,FALSE,"EA CH";#N/A,#N/A,FALSE,"EA CH (3) ";#N/A,#N/A,FALSE,"EA CH (4)";#N/A,#N/A,FALSE,"KA CH";#N/A,#N/A,FALSE,"KA CH  (2)";#N/A,#N/A,FALSE,"KA CH  (3)";#N/A,#N/A,FALSE,"KA CH (4)"}</definedName>
    <definedName name="rrr" localSheetId="4">City&amp;" "&amp;State</definedName>
    <definedName name="rrrr" localSheetId="4" hidden="1">{#N/A,#N/A,FALSE,"Tabl. H1";#N/A,#N/A,FALSE,"Tabl. H2"}</definedName>
    <definedName name="rrrrr" localSheetId="4" hidden="1">{#N/A,#N/A,FALSE,"BANNERS";#N/A,#N/A,FALSE,"Market";#N/A,#N/A,FALSE,"Tel Rev";#N/A,#N/A,FALSE,"Revenues IOL";#N/A,#N/A,FALSE,"Invest";#N/A,#N/A,FALSE,"Op Cost1";#N/A,#N/A,FALSE,"Op Cost2";#N/A,#N/A,FALSE,"Oth_&amp;_Tot_Revenues";#N/A,#N/A,FALSE,"Fin Mod";#N/A,#N/A,FALSE,"FinMod_RoW";#N/A,#N/A,FALSE,"P&amp;E Burocrat";#N/A,#N/A,FALSE,"cash flow"}</definedName>
    <definedName name="rsac" localSheetId="4" hidden="1">{"PAGE 1",#N/A,FALSE,"COS Excluding Geismar";"PAGE 2",#N/A,FALSE,"COS Excluding Geismar";"PAGE 3",#N/A,FALSE,"COS Excluding Geismar"}</definedName>
    <definedName name="rsdec" localSheetId="4" hidden="1">{#N/A,#N/A,TRUE,"Front";#N/A,#N/A,TRUE,"Simple Letter";#N/A,#N/A,TRUE,"Inside";#N/A,#N/A,TRUE,"Contents";#N/A,#N/A,TRUE,"Basis";#N/A,#N/A,TRUE,"Inclusions";#N/A,#N/A,TRUE,"Exclusions";#N/A,#N/A,TRUE,"Areas";#N/A,#N/A,TRUE,"Summary";#N/A,#N/A,TRUE,"Detail"}</definedName>
    <definedName name="rsem" localSheetId="4" hidden="1">{#N/A,#N/A,FALSE,"1996";#N/A,#N/A,FALSE,"1995";#N/A,#N/A,FALSE,"1994"}</definedName>
    <definedName name="rt" localSheetId="4" hidden="1">{"detail",#N/A,FALSE,"mfg";"summary",#N/A,FALSE,"mfg"}</definedName>
    <definedName name="RTA" localSheetId="4" hidden="1">{#N/A,#N/A,FALSE,"Tabl. G1";#N/A,#N/A,FALSE,"Tabl. G2"}</definedName>
    <definedName name="rtds" localSheetId="4" hidden="1">{"ICD Details",#N/A,FALSE,"Current Yr";"ICD Details",#N/A,FALSE,"Budget";"ICD Details",#N/A,FALSE,"Prior Year"}</definedName>
    <definedName name="rtfg" localSheetId="4" hidden="1">{"LAPO2N2",#N/A,FALSE,"CM";"TOTTEXAS",#N/A,FALSE,"CM";"LOUISIANA",#N/A,FALSE,"CM";"GENERALH2",#N/A,FALSE,"CM";"PRS",#N/A,FALSE,"CM";"PACKAGE",#N/A,FALSE,"CM";"OTHER",#N/A,FALSE,"CM"}</definedName>
    <definedName name="rtgdsfgdsrhdf" localSheetId="4" hidden="1">{#N/A,#N/A,FALSE,"PMTABB";#N/A,#N/A,FALSE,"PMTABB"}</definedName>
    <definedName name="rtgh" localSheetId="4" hidden="1">{#N/A,#N/A,TRUE,"Sheet1";#N/A,#N/A,TRUE,"Sheet2";#N/A,#N/A,TRUE,"Sheet3";#N/A,#N/A,TRUE,"Sheet4";#N/A,#N/A,TRUE,"Sheet5";#N/A,#N/A,TRUE,"Sheet6";#N/A,#N/A,TRUE,"Sheet7"}</definedName>
    <definedName name="rthth"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nb" localSheetId="4" hidden="1">{"vol data",#N/A,FALSE,"Datasheet";"vol graph",#N/A,FALSE,"Volume";"price data",#N/A,FALSE,"Datasheet";"price graph",#N/A,FALSE,"Price";"dp data",#N/A,FALSE,"Datasheet";"dp graph",#N/A,FALSE,"DirectProfit"}</definedName>
    <definedName name="rtre" localSheetId="4" hidden="1">{#N/A,#N/A,FALSE,"Umsatz CH";#N/A,#N/A,FALSE,"ER CH";#N/A,#N/A,FALSE,"EA CH (2) ";#N/A,#N/A,FALSE,"EA CH";#N/A,#N/A,FALSE,"EA CH (3) ";#N/A,#N/A,FALSE,"EA CH (4)";#N/A,#N/A,FALSE,"KA CH";#N/A,#N/A,FALSE,"KA CH  (2)";#N/A,#N/A,FALSE,"KA CH  (3)";#N/A,#N/A,FALSE,"KA CH (4)"}</definedName>
    <definedName name="rty" localSheetId="4" hidden="1">{"ICD Details",#N/A,FALSE,"Current Yr";"ICD Details",#N/A,FALSE,"Budget";"ICD Details",#N/A,FALSE,"Prior Year"}</definedName>
    <definedName name="rtyjkasdfg" localSheetId="4" hidden="1">{"'7'!$B$15:$D$32"}</definedName>
    <definedName name="RTYU" localSheetId="4" hidden="1">{#N/A,#N/A,FALSE,"PGW"}</definedName>
    <definedName name="RTYU_1" localSheetId="4" hidden="1">{#N/A,#N/A,FALSE,"PGW"}</definedName>
    <definedName name="RTYU_2" localSheetId="4" hidden="1">{#N/A,#N/A,FALSE,"PGW"}</definedName>
    <definedName name="RTYU_3" localSheetId="4" hidden="1">{#N/A,#N/A,FALSE,"PGW"}</definedName>
    <definedName name="RTYU_4" localSheetId="4" hidden="1">{#N/A,#N/A,FALSE,"PGW"}</definedName>
    <definedName name="ruufo" localSheetId="4" hidden="1">{"detail",#N/A,FALSE,"mfg";"summary",#N/A,FALSE,"mfg"}</definedName>
    <definedName name="rv" localSheetId="4" hidden="1">{"apci",#N/A,FALSE,"Chem_CY";"eastman",#N/A,FALSE,"Eastman";"betz",#N/A,FALSE,"Betz";"great lakes",#N/A,FALSE,"Great_Lakes";"hercules",#N/A,FALSE,"Hercules Chem Seg Data";"rohm",#N/A,FALSE,"Rohm";"union carbide",#N/A,FALSE,"Union";"witco",#N/A,FALSE,"Witco"}</definedName>
    <definedName name="rw" localSheetId="4" hidden="1">{#N/A,"PURADD",FALSE,"Business Analysis";#N/A,"PURSPP",FALSE,"Business Analysis";#N/A,"CTGIND",FALSE,"Business Analysis";#N/A,"PURCHM",FALSE,"Business Analysis";#N/A,"SPADD",FALSE,"Business Analysis";#N/A,"EPOXY",FALSE,"Business Analysis";#N/A,"PURPER",FALSE,"Business Analysis"}</definedName>
    <definedName name="rweq" localSheetId="4" hidden="1">{"TEXO2N2_VOL",#N/A,FALSE,"MTHLYVOL";"TEXH2_VOL",#N/A,FALSE,"MTHLYVOL";"LOUIS_VOL",#N/A,FALSE,"MTHLYVOL";"H2_VOL",#N/A,FALSE,"MTHLYVOL";"O2N2_VOL",#N/A,FALSE,"MTHLYVOL";"PACKAGE_VOL",#N/A,FALSE,"MTHLYVOL"}</definedName>
    <definedName name="rwert" localSheetId="4" hidden="1">{#N/A,#N/A,FALSE,"Pharm";#N/A,#N/A,FALSE,"WWCM"}</definedName>
    <definedName name="rwew" localSheetId="4" hidden="1">{"summary",#N/A,FALSE,"summary";"sales growth",#N/A,FALSE,"summary";"oper income",#N/A,FALSE,"summary";"oros rank",#N/A,FALSE,"summary";"net assets",#N/A,FALSE,"summary";"asset turnover",#N/A,FALSE,"summary";"orona",#N/A,FALSE,"summary";"total return",#N/A,FALSE,"summary";"overview",#N/A,FALSE,"summary"}</definedName>
    <definedName name="rwh" localSheetId="4" hidden="1">{#N/A,#N/A,FALSE,"PGW"}</definedName>
    <definedName name="rwh_1" localSheetId="4" hidden="1">{#N/A,#N/A,FALSE,"PGW"}</definedName>
    <definedName name="rwh_2" localSheetId="4" hidden="1">{#N/A,#N/A,FALSE,"PGW"}</definedName>
    <definedName name="rwh_3" localSheetId="4" hidden="1">{#N/A,#N/A,FALSE,"PGW"}</definedName>
    <definedName name="rwh_4" localSheetId="4" hidden="1">{#N/A,#N/A,FALSE,"PGW"}</definedName>
    <definedName name="rwhwr" localSheetId="4" hidden="1">{#N/A,#N/A,FALSE,"PGW"}</definedName>
    <definedName name="rwhwr_1" localSheetId="4" hidden="1">{#N/A,#N/A,FALSE,"PGW"}</definedName>
    <definedName name="rwhwr_2" localSheetId="4" hidden="1">{#N/A,#N/A,FALSE,"PGW"}</definedName>
    <definedName name="rwhwr_3" localSheetId="4" hidden="1">{#N/A,#N/A,FALSE,"PGW"}</definedName>
    <definedName name="rwhwr_4" localSheetId="4" hidden="1">{#N/A,#N/A,FALSE,"PGW"}</definedName>
    <definedName name="rwsz" localSheetId="4" hidden="1">{"Commentary",#N/A,FALSE,"May"}</definedName>
    <definedName name="rwxz" localSheetId="4" hidden="1">{"TXO2N2_SLS",#N/A,FALSE,"MTHLYSLES";"TXH2_SLS",#N/A,FALSE,"MTHLYSLES";"LOUIS_SLS",#N/A,FALSE,"MTHLYSLES";"H2_SLS",#N/A,FALSE,"MTHLYSLES";"O2N2_SLS",#N/A,FALSE,"MTHLYSLES";"PACKAGE_SLS",#N/A,FALSE,"MTHLYSLES"}</definedName>
    <definedName name="rxs" localSheetId="4" hidden="1">{"Month Summary",#N/A,FALSE,"Summary";"Total Details",#N/A,FALSE,"Current Yr";"Polymers Details",#N/A,FALSE,"Current Yr";"Performance Details",#N/A,FALSE,"Current Yr";"ICD Details",#N/A,FALSE,"Current Yr"}</definedName>
    <definedName name="s" localSheetId="4">{#N/A,#N/A,FALSE,"1";#N/A,#N/A,FALSE,"2";#N/A,#N/A,FALSE,"16 - 17";#N/A,#N/A,FALSE,"18 - 19";#N/A,#N/A,FALSE,"26";#N/A,#N/A,FALSE,"27";#N/A,#N/A,FALSE,"28"}</definedName>
    <definedName name="sa" localSheetId="4" hidden="1">{0,#N/A,TRUE,0;0,#N/A,TRUE,0}</definedName>
    <definedName name="sac" localSheetId="4" hidden="1">{#N/A,#N/A,FALSE,"Umsatz 99";#N/A,#N/A,FALSE,"ER 99 "}</definedName>
    <definedName name="sadas" localSheetId="4" hidden="1">{#N/A,#N/A,FALSE,"COMP"}</definedName>
    <definedName name="saddadasdadasd"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df" localSheetId="4" hidden="1">{#N/A,#N/A,FALSE,"INCOME STATEMENT";#N/A,#N/A,FALSE,"DETAIL BALANCE SHEET";#N/A,#N/A,FALSE,"Summary Balance Sheet";#N/A,#N/A,FALSE,"EQUITY STATEMENT";#N/A,#N/A,FALSE,"AASINTERNAL"}</definedName>
    <definedName name="sadfas" localSheetId="4" hidden="1">{#N/A,#N/A,FALSE,"INCOME STATEMENT";#N/A,#N/A,FALSE,"DETAIL BALANCE SHEET";#N/A,#N/A,FALSE,"Summary Balance Sheet";#N/A,#N/A,FALSE,"EQUITY STATEMENT";#N/A,#N/A,FALSE,"AASINTERNAL"}</definedName>
    <definedName name="sadfg" localSheetId="4" hidden="1">{#N/A,#N/A,FALSE,"INCOME STATEMENT";#N/A,#N/A,FALSE,"DETAIL BALANCE SHEET";#N/A,#N/A,FALSE,"Summary Balance Sheet";#N/A,#N/A,FALSE,"EQUITY STATEMENT";#N/A,#N/A,FALSE,"AASINTERNAL"}</definedName>
    <definedName name="sadgtdrt" localSheetId="4" hidden="1">{#N/A,#N/A,FALSE,"PMTABB";#N/A,#N/A,FALSE,"PMTABB"}</definedName>
    <definedName name="sadgtdrt_2" localSheetId="4" hidden="1">{#N/A,#N/A,FALSE,"PMTABB";#N/A,#N/A,FALSE,"PMTABB"}</definedName>
    <definedName name="sadgtdrt_3" localSheetId="4" hidden="1">{#N/A,#N/A,FALSE,"PMTABB";#N/A,#N/A,FALSE,"PMTABB"}</definedName>
    <definedName name="sadgtdrt_4" localSheetId="4" hidden="1">{#N/A,#N/A,FALSE,"PMTABB";#N/A,#N/A,FALSE,"PMTABB"}</definedName>
    <definedName name="saec" localSheetId="4" hidden="1">{"Fiesta Facer Page",#N/A,FALSE,"Q_C_S";"Fiesta Main Page",#N/A,FALSE,"V_L";"Fiesta 95BP Struct",#N/A,FALSE,"StructBP";"Fiesta Post 95BP Struct",#N/A,FALSE,"AdjStructBP"}</definedName>
    <definedName name="safd" localSheetId="4" hidden="1">{#N/A,"PURADD",FALSE,"Business Analysis";#N/A,"PURSPP",FALSE,"Business Analysis";#N/A,"CTGIND",FALSE,"Business Analysis";#N/A,"PURCHM",FALSE,"Business Analysis";#N/A,"SPADD",FALSE,"Business Analysis";#N/A,"EPOXY",FALSE,"Business Analysis";#N/A,"PURPER",FALSE,"Business Analysis"}</definedName>
    <definedName name="sAHU" localSheetId="4" hidden="1">{#N/A,#N/A,TRUE,"Staffnos &amp; cost"}</definedName>
    <definedName name="sakjlksjaal" localSheetId="4" hidden="1">{"'7'!$B$15:$D$32"}</definedName>
    <definedName name="salem" localSheetId="4" hidden="1">{#N/A,#N/A,TRUE,"Front";#N/A,#N/A,TRUE,"Simple Letter";#N/A,#N/A,TRUE,"Inside";#N/A,#N/A,TRUE,"Contents";#N/A,#N/A,TRUE,"Basis";#N/A,#N/A,TRUE,"Inclusions";#N/A,#N/A,TRUE,"Exclusions";#N/A,#N/A,TRUE,"Areas";#N/A,#N/A,TRUE,"Summary";#N/A,#N/A,TRUE,"Detail"}</definedName>
    <definedName name="Sales_Realisation" localSheetId="4" hidden="1">{#N/A,#N/A,FALSE,"CMN_FE"}</definedName>
    <definedName name="Salespp" localSheetId="4" hidden="1">{"detail",#N/A,FALSE,"mfg";"summary",#N/A,FALSE,"mfg"}</definedName>
    <definedName name="sally" localSheetId="4" hidden="1">{#N/A,#N/A,FALSE,"Pharm";#N/A,#N/A,FALSE,"WWCM"}</definedName>
    <definedName name="samedi" localSheetId="4" hidden="1">{#N/A,#N/A,FALSE,"Tabl. A1";#N/A,#N/A,FALSE,"Tabl. A1 b";#N/A,#N/A,FALSE,"Tabl. A2";#N/A,#N/A,FALSE,"Tabl. A2-1";#N/A,#N/A,FALSE,"Tabl. A2-2"}</definedName>
    <definedName name="sanju" localSheetId="4" hidden="1">{"office ltcg",#N/A,FALSE,"gain01";"IT LTCG",#N/A,FALSE,"gain01"}</definedName>
    <definedName name="Sara" localSheetId="4" hidden="1">{"cashcons",#N/A,FALSE,"CASHCONS";"cash7000",#N/A,FALSE,"CASH7000";"cash9000",#N/A,FALSE,"CASH9000";"assu7000",#N/A,FALSE,"ASSU7000";"assu9000",#N/A,FALSE,"ASSU9000";"rentroll",#N/A,FALSE,"RENTROLL";"expr7000",#N/A,FALSE,"EXPR7000";"expr9000",#N/A,FALSE,"EXPR9000"}</definedName>
    <definedName name="Sara_2" localSheetId="4" hidden="1">{#N/A,#N/A,TRUE,"10 Yr Hold";#N/A,#N/A,TRUE,"7 Yr Hold";#N/A,#N/A,TRUE,"5 Yr Hold";#N/A,#N/A,TRUE,"3 Yr Hold"}</definedName>
    <definedName name="sard" localSheetId="4" hidden="1">{#N/A,#N/A,FALSE,"Fmoh-Vmoh 2002";#N/A,#N/A,FALSE,"Fmoh-Vmoh 2002"}</definedName>
    <definedName name="saryder" localSheetId="4" hidden="1">{#N/A,#N/A,FALSE,"PGW"}</definedName>
    <definedName name="saryder_1" localSheetId="4" hidden="1">{#N/A,#N/A,FALSE,"PGW"}</definedName>
    <definedName name="saryder_2" localSheetId="4" hidden="1">{#N/A,#N/A,FALSE,"PGW"}</definedName>
    <definedName name="saryder_3" localSheetId="4" hidden="1">{#N/A,#N/A,FALSE,"PGW"}</definedName>
    <definedName name="saryder_4" localSheetId="4" hidden="1">{#N/A,#N/A,FALSE,"PGW"}</definedName>
    <definedName name="SAS"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asa" localSheetId="4" hidden="1">{#N/A,#N/A,TRUE,"Summary";#N/A,"1",TRUE,"Summary";#N/A,"2",TRUE,"Summary";#N/A,"3",TRUE,"Summary";#N/A,"4",TRUE,"Summary";#N/A,"5",TRUE,"Summary";#N/A,"6",TRUE,"Summary";#N/A,"7",TRUE,"Summary";#N/A,"8",TRUE,"Summary";#N/A,"9",TRUE,"Summary";#N/A,"10",TRUE,"Summary";#N/A,"11",TRUE,"Summary"}</definedName>
    <definedName name="sasd" localSheetId="4" hidden="1">{#N/A,#N/A,FALSE,"Status of Projects";#N/A,#N/A,FALSE,"CEA-TEC";#N/A,#N/A,FALSE,"U-Constr.";#N/A,#N/A,FALSE,"summary";#N/A,#N/A,FALSE,"PPP-3 yrs"}</definedName>
    <definedName name="sasdetwerterte" localSheetId="4" hidden="1">{#N/A,#N/A,FALSE,"PMTABB";#N/A,#N/A,FALSE,"PMTABB"}</definedName>
    <definedName name="savings" localSheetId="4" hidden="1">{#N/A,#N/A,FALSE,"Master Estimates"}</definedName>
    <definedName name="sbka" localSheetId="4" hidden="1">{#N/A,#N/A,FALSE,"COMP"}</definedName>
    <definedName name="scd" localSheetId="4" hidden="1">{#N/A,#N/A,TRUE,"Staffnos &amp; cost"}</definedName>
    <definedName name="SCG" localSheetId="4" hidden="1">{#N/A,#N/A,FALSE,"Tabl. D1";#N/A,#N/A,FALSE,"Tabl. D1 b";#N/A,#N/A,FALSE,"Tabl. D2";#N/A,#N/A,FALSE,"Tabl. D2 b";#N/A,#N/A,FALSE,"Tabl. D3";#N/A,#N/A,FALSE,"Tabl. D4";#N/A,#N/A,FALSE,"Tabl. D5"}</definedName>
    <definedName name="Schdule1" localSheetId="4" hidden="1">{#N/A,#N/A,FALSE,"COMP"}</definedName>
    <definedName name="schedule" localSheetId="4" hidden="1">{#N/A,#N/A,FALSE,"COMP"}</definedName>
    <definedName name="score" localSheetId="4" hidden="1">{"detail",#N/A,FALSE,"mfg";"summary",#N/A,FALSE,"mfg"}</definedName>
    <definedName name="scorecardfy00" localSheetId="4" hidden="1">{"Comp_of_Price_Effect",#N/A,FALSE,"QTRDPVAR"}</definedName>
    <definedName name="SCRAP" localSheetId="4" hidden="1">{"'subnets'!$A$1:$F$20"}</definedName>
    <definedName name="SD" localSheetId="4" hidden="1">{#N/A,#N/A,FALSE,"Pharm";#N/A,#N/A,FALSE,"WWCM"}</definedName>
    <definedName name="SD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dafgs" localSheetId="4" hidden="1">{#N/A,#N/A,FALSE,"Pharm";#N/A,#N/A,FALSE,"WWCM"}</definedName>
    <definedName name="sdbbsdkbfgbsdk.fj" localSheetId="4" hidden="1">{#N/A,#N/A,FALSE,"PMTABB";#N/A,#N/A,FALSE,"PMTABB"}</definedName>
    <definedName name="sdd" localSheetId="4" hidden="1">{#N/A,#N/A,TRUE,"Sheet1"}</definedName>
    <definedName name="sddd" localSheetId="4" hidden="1">{#N/A,#N/A,FALSE,"CDA Plan"}</definedName>
    <definedName name="sddddd" localSheetId="4" hidden="1">{TRUE,TRUE,-1.25,-15.5,480.75,272.25,FALSE,TRUE,TRUE,TRUE,0,1,#N/A,1,#N/A,13.1904761904762,23.5384615384615,1,FALSE,FALSE,3,TRUE,1,FALSE,75,"Swvu.FAX.","ACwvu.FAX.",#N/A,FALSE,FALSE,0.25,0.25,1,1,1,"","",TRUE,FALSE,FALSE,TRUE,1,#N/A,1,1,"=R1C1:R16C13",FALSE,#N/A,#N/A,FALSE,FALSE,FALSE,9,300,300,FALSE,FALSE,TRUE,TRUE,TRUE}</definedName>
    <definedName name="sdes" localSheetId="4" hidden="1">{"PACKAGE",#N/A,FALSE,"CM"}</definedName>
    <definedName name="sdf"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sdfag" localSheetId="4" hidden="1">{#N/A,#N/A,FALSE,"FREE"}</definedName>
    <definedName name="sdfag_2" localSheetId="4" hidden="1">{#N/A,#N/A,FALSE,"FREE"}</definedName>
    <definedName name="sdfag_3" localSheetId="4" hidden="1">{#N/A,#N/A,FALSE,"FREE"}</definedName>
    <definedName name="sdfag_4" localSheetId="4" hidden="1">{#N/A,#N/A,FALSE,"FREE"}</definedName>
    <definedName name="sdfdsf" localSheetId="4" hidden="1">{#N/A,#N/A,FALSE,"KA CH  (2)"}</definedName>
    <definedName name="sdfgs"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dfh" localSheetId="4" hidden="1">{#N/A,#N/A,FALSE,"Pharm";#N/A,#N/A,FALSE,"WWCM"}</definedName>
    <definedName name="SDFHG" localSheetId="4" hidden="1">{"Agg Output",#N/A,FALSE,"Operational Drivers Output";"NW Output",#N/A,FALSE,"Operational Drivers Output";"South Output",#N/A,FALSE,"Operational Drivers Output";"Central Output",#N/A,FALSE,"Operational Drivers Output"}</definedName>
    <definedName name="sdfsdfsdfs" localSheetId="4" hidden="1">{#N/A,#N/A,FALSE,"PMTABB";#N/A,#N/A,FALSE,"PMTABB"}</definedName>
    <definedName name="sdfskdfskdf" localSheetId="4" hidden="1">{#N/A,#N/A,FALSE,"TOWNSHIP"}</definedName>
    <definedName name="sdfskdfskdf_1" localSheetId="4" hidden="1">{#N/A,#N/A,FALSE,"TOWNSHIP"}</definedName>
    <definedName name="sdfskdfskdf_2" localSheetId="4" hidden="1">{#N/A,#N/A,FALSE,"TOWNSHIP"}</definedName>
    <definedName name="sdfskdfskdf_3" localSheetId="4" hidden="1">{#N/A,#N/A,FALSE,"TOWNSHIP"}</definedName>
    <definedName name="sdfskdfskdf_4" localSheetId="4" hidden="1">{#N/A,#N/A,FALSE,"TOWNSHIP"}</definedName>
    <definedName name="sdg" localSheetId="4" hidden="1">{#N/A,#N/A,FALSE,"TOWNSHIP"}</definedName>
    <definedName name="sdg_2" localSheetId="4" hidden="1">{#N/A,#N/A,FALSE,"TOWNSHIP"}</definedName>
    <definedName name="sdg_3" localSheetId="4" hidden="1">{#N/A,#N/A,FALSE,"TOWNSHIP"}</definedName>
    <definedName name="sdg_4" localSheetId="4" hidden="1">{#N/A,#N/A,FALSE,"TOWNSHIP"}</definedName>
    <definedName name="sdgagf" localSheetId="4" hidden="1">{#N/A,#N/A,FALSE,"Pharm";#N/A,#N/A,FALSE,"WWCM"}</definedName>
    <definedName name="sdgh" localSheetId="4" hidden="1">{"qty and inventory value",#N/A,FALSE,"MPartners";"general ledger entries",#N/A,FALSE,"MPartners"}</definedName>
    <definedName name="sdhdhfdfhh" localSheetId="4" hidden="1">{#N/A,#N/A,FALSE,"Balance Sheet";#N/A,#N/A,FALSE,"Income Statement";#N/A,#N/A,FALSE,"Changes in Financial Position"}</definedName>
    <definedName name="sdoiudia" localSheetId="4" hidden="1">{"'7'!$B$15:$D$32"}</definedName>
    <definedName name="sdrf" localSheetId="4" hidden="1">{#N/A,#N/A,FALSE,"FREE"}</definedName>
    <definedName name="sdrf_2" localSheetId="4" hidden="1">{#N/A,#N/A,FALSE,"FREE"}</definedName>
    <definedName name="sdrf_3" localSheetId="4" hidden="1">{#N/A,#N/A,FALSE,"FREE"}</definedName>
    <definedName name="sdrf_4" localSheetId="4" hidden="1">{#N/A,#N/A,FALSE,"FREE"}</definedName>
    <definedName name="sdrfse" localSheetId="4" hidden="1">{#N/A,#N/A,FALSE,"COMP"}</definedName>
    <definedName name="sdrthu" localSheetId="4" hidden="1">{"'7'!$B$15:$D$32"}</definedName>
    <definedName name="sdsad" localSheetId="4" hidden="1">{"'7'!$B$15:$D$32"}</definedName>
    <definedName name="sdsadasd" localSheetId="4" hidden="1">{#N/A,#N/A,FALSE,"Pharm";#N/A,#N/A,FALSE,"WWCM"}</definedName>
    <definedName name="sdsd" localSheetId="4" hidden="1">{#N/A,#N/A,FALSE,"REPORT"}</definedName>
    <definedName name="sdsdsds" localSheetId="4" hidden="1">{#N/A,#N/A,TRUE,"Front";#N/A,#N/A,TRUE,"Simple Letter";#N/A,#N/A,TRUE,"Inside";#N/A,#N/A,TRUE,"Contents";#N/A,#N/A,TRUE,"Basis";#N/A,#N/A,TRUE,"Inclusions";#N/A,#N/A,TRUE,"Exclusions";#N/A,#N/A,TRUE,"Areas";#N/A,#N/A,TRUE,"Summary";#N/A,#N/A,TRUE,"Detail"}</definedName>
    <definedName name="sdsdsdsd" localSheetId="4" hidden="1">{"Geo - Detail Detail",#N/A,FALSE,"Geo View";"Geo - Detail",#N/A,FALSE,"Geo View";"Dept - Detail Detail",#N/A,FALSE,"Dept View";"Dept - Detail",#N/A,FALSE,"Dept View"}</definedName>
    <definedName name="sea" localSheetId="4" hidden="1">{"oct_res_comm",#N/A,FALSE,"VarToBud"}</definedName>
    <definedName name="Sec_0708" localSheetId="4" hidden="1">{"histincome",#N/A,FALSE,"hyfins";"closing balance",#N/A,FALSE,"hyfins"}</definedName>
    <definedName name="seg" localSheetId="4" hidden="1">{#N/A,#N/A,FALSE,"COMP"}</definedName>
    <definedName name="SegmentBudget" localSheetId="4" hidden="1">{"oct_res_comm",#N/A,FALSE,"VarToBud"}</definedName>
    <definedName name="segmentdd" localSheetId="4" hidden="1">{#N/A,#N/A,FALSE,"COMP"}</definedName>
    <definedName name="serers" localSheetId="4" hidden="1">{#N/A,#N/A,FALSE,"Staffnos &amp; cost"}</definedName>
    <definedName name="serqw" localSheetId="4" hidden="1">{#N/A,#N/A,FALSE,"Staffnos &amp; cost"}</definedName>
    <definedName name="sety" localSheetId="4" hidden="1">{"LAPO2N2",#N/A,FALSE,"CM"}</definedName>
    <definedName name="sf" localSheetId="4" hidden="1">{#N/A,#N/A,FALSE,"Sales Graph";#N/A,#N/A,FALSE,"BUC Graph";#N/A,#N/A,FALSE,"P&amp;L - YTD"}</definedName>
    <definedName name="sf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FDASF" localSheetId="4" hidden="1">{#N/A,#N/A,FALSE,"CDA Plan"}</definedName>
    <definedName name="sfdgfgg" localSheetId="4" hidden="1">{#N/A,#N/A,FALSE,"Umsatz OK";#N/A,#N/A,FALSE,"ER OK ";#N/A,#N/A,FALSE,"EA OK (2)";#N/A,#N/A,FALSE,"EA OK";#N/A,#N/A,FALSE,"EA OK (3)";#N/A,#N/A,FALSE,"EA OK (4)";#N/A,#N/A,FALSE,"KA OK  (2)";#N/A,#N/A,FALSE,"KA OK";#N/A,#N/A,FALSE,"KA OK  (3)";#N/A,#N/A,FALSE,"KA OK (4)"}</definedName>
    <definedName name="sfdirect" localSheetId="4" hidden="1">{#N/A,#N/A,FALSE,"REPORT"}</definedName>
    <definedName name="SFG"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sfgf" localSheetId="4" hidden="1">{#N/A,#N/A,FALSE,"Umsatz CH";#N/A,#N/A,FALSE,"ER CH";#N/A,#N/A,FALSE,"EA CH (2) ";#N/A,#N/A,FALSE,"EA CH";#N/A,#N/A,FALSE,"EA CH (3) ";#N/A,#N/A,FALSE,"EA CH (4)";#N/A,#N/A,FALSE,"KA CH";#N/A,#N/A,FALSE,"KA CH  (2)";#N/A,#N/A,FALSE,"KA CH  (3)";#N/A,#N/A,FALSE,"KA CH (4)"}</definedName>
    <definedName name="sfgv" localSheetId="4" hidden="1">{"consolidated",#N/A,FALSE,"Sheet1";"cms",#N/A,FALSE,"Sheet1";"fse",#N/A,FALSE,"Sheet1"}</definedName>
    <definedName name="sfjewgj" localSheetId="4" hidden="1">{#N/A,#N/A,FALSE,"Model";#N/A,#N/A,FALSE,"Division"}</definedName>
    <definedName name="sfq" localSheetId="4" hidden="1">{#N/A,#N/A,FALSE,"Calc";#N/A,#N/A,FALSE,"Sensitivity";#N/A,#N/A,FALSE,"LT Earn.Dil.";#N/A,#N/A,FALSE,"Dil. AVP"}</definedName>
    <definedName name="sfsf" localSheetId="4" hidden="1">{#N/A,#N/A,FALSE,"Calc";#N/A,#N/A,FALSE,"Sensitivity";#N/A,#N/A,FALSE,"LT Earn.Dil.";#N/A,#N/A,FALSE,"Dil. AVP"}</definedName>
    <definedName name="sg" localSheetId="4" hidden="1">{#N/A,#N/A,FALSE,"Umsatz CH";#N/A,#N/A,FALSE,"ER CH";#N/A,#N/A,FALSE,"EA CH (2) ";#N/A,#N/A,FALSE,"EA CH";#N/A,#N/A,FALSE,"EA CH (3) ";#N/A,#N/A,FALSE,"EA CH (4)";#N/A,#N/A,FALSE,"KA CH";#N/A,#N/A,FALSE,"KA CH  (2)";#N/A,#N/A,FALSE,"KA CH  (3)";#N/A,#N/A,FALSE,"KA CH (4)"}</definedName>
    <definedName name="sgd" localSheetId="4" hidden="1">{#N/A,#N/A,FALSE,"Calc";#N/A,#N/A,FALSE,"Sensitivity";#N/A,#N/A,FALSE,"LT Earn.Dil.";#N/A,#N/A,FALSE,"Dil. AVP"}</definedName>
    <definedName name="sgddfg" localSheetId="4" hidden="1">{#N/A,#N/A,FALSE,"PMTABB";#N/A,#N/A,FALSE,"PMTABB"}</definedName>
    <definedName name="sgddfg_2" localSheetId="4" hidden="1">{#N/A,#N/A,FALSE,"PMTABB";#N/A,#N/A,FALSE,"PMTABB"}</definedName>
    <definedName name="sgddfg_3" localSheetId="4" hidden="1">{#N/A,#N/A,FALSE,"PMTABB";#N/A,#N/A,FALSE,"PMTABB"}</definedName>
    <definedName name="sgddfg_4" localSheetId="4" hidden="1">{#N/A,#N/A,FALSE,"PMTABB";#N/A,#N/A,FALSE,"PMTABB"}</definedName>
    <definedName name="sgdg" localSheetId="4" hidden="1">{#N/A,#N/A,FALSE,"Calc";#N/A,#N/A,FALSE,"Sensitivity";#N/A,#N/A,FALSE,"LT Earn.Dil.";#N/A,#N/A,FALSE,"Dil. AVP"}</definedName>
    <definedName name="sgsx" localSheetId="4" hidden="1">{"consolidated",#N/A,FALSE,"Sheet1";"cms",#N/A,FALSE,"Sheet1";"fse",#N/A,FALSE,"Sheet1"}</definedName>
    <definedName name="SH" localSheetId="4" hidden="1">{"'Jan-02'!$F$46:$F$47","'Jan-02'!$F$46:$F$47"}</definedName>
    <definedName name="sheet3" localSheetId="4" hidden="1">{#N/A,#N/A,FALSE,"Staffnos &amp; cost"}</definedName>
    <definedName name="shgf" localSheetId="4">{0;0;0;0;1;1;0;0;0.6;0.3;2;FALSE;FALSE;FALSE;FALSE;FALSE;#N/A;1;100;#N/A;#N/A;"";""}</definedName>
    <definedName name="shsdfhsdfhkjs" localSheetId="4" hidden="1">{#N/A,#N/A,TRUE,"Staffnos &amp; cost"}</definedName>
    <definedName name="SHYAM" localSheetId="4">City&amp;" "&amp;State</definedName>
    <definedName name="sjA" localSheetId="4" hidden="1">{#N/A,#N/A,FALSE,"COMP"}</definedName>
    <definedName name="sklsksjd" localSheetId="4" hidden="1">{TRUE,TRUE,-1.25,-15.5,484.5,272.25,FALSE,TRUE,TRUE,TRUE,0,1,#N/A,1,#N/A,13.3095238095238,23.5384615384615,1,FALSE,FALSE,3,TRUE,1,FALSE,75,"Swvu.PRINT._.AREA.","ACwvu.PRINT._.AREA.",#N/A,FALSE,FALSE,0.25,0.25,1,1,1,"","",TRUE,FALSE,FALSE,TRUE,1,#N/A,1,1,FALSE,FALSE,#N/A,#N/A,FALSE,FALSE,FALSE,9,300,300,FALSE,FALSE,TRUE,TRUE,TRUE}</definedName>
    <definedName name="sksmng\" localSheetId="4" hidden="1">{TRUE,TRUE,-1.25,-15.5,480.75,272.25,FALSE,TRUE,TRUE,TRUE,0,1,#N/A,1,#N/A,13.1904761904762,23.5384615384615,1,FALSE,FALSE,3,TRUE,1,FALSE,75,"Swvu.FAX.","ACwvu.FAX.",#N/A,FALSE,FALSE,0.25,0.25,1,1,1,"","",TRUE,FALSE,FALSE,TRUE,1,#N/A,1,1,"=R1C1:R16C13",FALSE,#N/A,#N/A,FALSE,FALSE,FALSE,9,300,300,FALSE,FALSE,TRUE,TRUE,TRUE}</definedName>
    <definedName name="skwk" localSheetId="4" hidden="1">{#N/A,#N/A,FALSE,"CDA Plan"}</definedName>
    <definedName name="sl" localSheetId="4" hidden="1">{#N/A,#N/A,FALSE,"CDA Plan"}</definedName>
    <definedName name="sldfkj" localSheetId="4" hidden="1">{#N/A,#N/A,FALSE,"Model";#N/A,#N/A,FALSE,"Division"}</definedName>
    <definedName name="sleke" localSheetId="4" hidden="1">{#N/A,#N/A,FALSE,"CDA Plan"}</definedName>
    <definedName name="slfjslfj" localSheetId="4" hidden="1">{#N/A,#N/A,FALSE,"Model";#N/A,#N/A,FALSE,"Division"}</definedName>
    <definedName name="smk" localSheetId="4" hidden="1">{"QTD_GENERALH2",#N/A,FALSE,"QTD"}</definedName>
    <definedName name="sohteihthtsotjh" localSheetId="4" hidden="1">{"'PRODUCTIONCOST SHEET'!$B$3:$G$48"}</definedName>
    <definedName name="spell" localSheetId="4">City&amp;" "&amp;State</definedName>
    <definedName name="sre" localSheetId="4" hidden="1">{"vol data",#N/A,FALSE,"Datasheet";"vol graph",#N/A,FALSE,"Volume";"price data",#N/A,FALSE,"Datasheet";"price graph",#N/A,FALSE,"Price";"dp data",#N/A,FALSE,"Datasheet";"dp graph",#N/A,FALSE,"DirectProfit"}</definedName>
    <definedName name="srhj" localSheetId="4" hidden="1">{"'7'!$B$15:$D$32"}</definedName>
    <definedName name="SRS"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RS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s" localSheetId="4" hidden="1">{"detail",#N/A,FALSE,"mfg";"summary",#N/A,FALSE,"mfg"}</definedName>
    <definedName name="ssadsad" localSheetId="4" hidden="1">{#N/A,"PURADD",FALSE,"Business Analysis";#N/A,"PURSPP",FALSE,"Business Analysis";#N/A,"CTGIND",FALSE,"Business Analysis";#N/A,"PURCHM",FALSE,"Business Analysis";#N/A,"SPADD",FALSE,"Business Analysis";#N/A,"EPOXY",FALSE,"Business Analysis";#N/A,"PURPER",FALSE,"Business Analysis"}</definedName>
    <definedName name="SSD" localSheetId="4" hidden="1">{#N/A,#N/A,FALSE,"REPORT"}</definedName>
    <definedName name="SSDP" localSheetId="4" hidden="1">{#N/A,#N/A,FALSE,"Cipta-All";#N/A,#N/A,FALSE,"Individual"}</definedName>
    <definedName name="ssdsa" localSheetId="4" hidden="1">{#N/A,#N/A,FALSE,"FREE"}</definedName>
    <definedName name="ssdsa_2" localSheetId="4" hidden="1">{#N/A,#N/A,FALSE,"FREE"}</definedName>
    <definedName name="ssdsa_3" localSheetId="4" hidden="1">{#N/A,#N/A,FALSE,"FREE"}</definedName>
    <definedName name="ssdsa_4" localSheetId="4" hidden="1">{#N/A,#N/A,FALSE,"FREE"}</definedName>
    <definedName name="ssdsd" localSheetId="4" hidden="1">{"'Demand Units'!$Z$2:$AF$53"}</definedName>
    <definedName name="sse" localSheetId="4" hidden="1">{"YD GENERALH2",#N/A,FALSE,"YTD"}</definedName>
    <definedName name="SSK" localSheetId="4" hidden="1">{#N/A,#N/A,FALSE,"COMP"}</definedName>
    <definedName name="SSS"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ssss" localSheetId="4" hidden="1">{#N/A,"PURCHM",FALSE,"Business Analysis";#N/A,"SPADD",FALSE,"Business Analysis"}</definedName>
    <definedName name="sssss" localSheetId="4" hidden="1">{#N/A,#N/A,FALSE,"Calc";#N/A,#N/A,FALSE,"Sensitivity";#N/A,#N/A,FALSE,"LT Earn.Dil.";#N/A,#N/A,FALSE,"Dil. AVP"}</definedName>
    <definedName name="SSSSS_1" localSheetId="4" hidden="1">{#N/A,#N/A,FALSE,"Staffnos &amp; cost"}</definedName>
    <definedName name="ssssss" localSheetId="4" hidden="1">{#N/A,#N/A,TRUE,"CIN-11";#N/A,#N/A,TRUE,"CIN-13";#N/A,#N/A,TRUE,"CIN-14";#N/A,#N/A,TRUE,"CIN-16";#N/A,#N/A,TRUE,"CIN-17";#N/A,#N/A,TRUE,"CIN-18";#N/A,#N/A,TRUE,"CIN Earnings To Fixed Charges";#N/A,#N/A,TRUE,"CIN Financial Ratios";#N/A,#N/A,TRUE,"CIN-IS";#N/A,#N/A,TRUE,"CIN-BS";#N/A,#N/A,TRUE,"CIN-CS";#N/A,#N/A,TRUE,"Invest In Unconsol Subs"}</definedName>
    <definedName name="sssssss" localSheetId="4" hidden="1">{#N/A,#N/A,TRUE,"Sheet1"}</definedName>
    <definedName name="ssssssssssss" localSheetId="4" hidden="1">{"'PRODUCTIONCOST SHEET'!$B$3:$G$48"}</definedName>
    <definedName name="sssssssssssssssss" localSheetId="4" hidden="1">{"detail",#N/A,FALSE,"mfg";"summary",#N/A,FALSE,"mfg"}</definedName>
    <definedName name="sssswwww" localSheetId="4" hidden="1">{#N/A,"PURCHM",FALSE,"Business Analysis";#N/A,"SPADD",FALSE,"Business Analysis"}</definedName>
    <definedName name="st" localSheetId="4" hidden="1">{#N/A,#N/A,TRUE,"Front";#N/A,#N/A,TRUE,"Simple Letter";#N/A,#N/A,TRUE,"Inside";#N/A,#N/A,TRUE,"Contents";#N/A,#N/A,TRUE,"Basis";#N/A,#N/A,TRUE,"Inclusions";#N/A,#N/A,TRUE,"Exclusions";#N/A,#N/A,TRUE,"Areas";#N/A,#N/A,TRUE,"Summary";#N/A,#N/A,TRUE,"Detail"}</definedName>
    <definedName name="Staril" localSheetId="4" hidden="1">{#N/A,#N/A,FALSE,"REPORT"}</definedName>
    <definedName name="stock02" localSheetId="4" hidden="1">{#N/A,#N/A,FALSE,"gc (2)"}</definedName>
    <definedName name="Strategy" localSheetId="4"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PlanAP" localSheetId="4" hidden="1">{#N/A,#N/A,FALSE,"Pharm";#N/A,#N/A,FALSE,"WWCM"}</definedName>
    <definedName name="stu" localSheetId="4" hidden="1">{#N/A,#N/A,FALSE,"Tabl. D1";#N/A,#N/A,FALSE,"Tabl. D1 b";#N/A,#N/A,FALSE,"Tabl. D2";#N/A,#N/A,FALSE,"Tabl. D2 b";#N/A,#N/A,FALSE,"Tabl. D3";#N/A,#N/A,FALSE,"Tabl. D4";#N/A,#N/A,FALSE,"Tabl. D5"}</definedName>
    <definedName name="stuff" localSheetId="4" hidden="1">{"TOTAL",#N/A,FALSE,"A";"FISCAL94",#N/A,FALSE,"A";"FISCAL95",#N/A,FALSE,"A";"FISCAL96",#N/A,FALSE,"A";"misc page",#N/A,FALSE,"A"}</definedName>
    <definedName name="subpart" localSheetId="4" hidden="1">{#N/A,#N/A,FALSE,"Summary";#N/A,#N/A,FALSE,"Fed.State Prov";#N/A,#N/A,FALSE,"Foreign Prov";#N/A,#N/A,FALSE,"Thera Fgrn";#N/A,#N/A,FALSE,"CCD Fgrn";#N/A,#N/A,FALSE,"Biocine Fgrn";#N/A,#N/A,FALSE,"Vision Fgrn";#N/A,#N/A,FALSE,"Frgn vs Dom"}</definedName>
    <definedName name="suchi" localSheetId="4" hidden="1">{#N/A,#N/A,FALSE,"Aging Summary";#N/A,#N/A,FALSE,"Ratio Analysis";#N/A,#N/A,FALSE,"Test 120 Day Accts";#N/A,#N/A,FALSE,"Tickmarks"}</definedName>
    <definedName name="SUCHITANDIN" localSheetId="4" hidden="1">{"mndview",#N/A,TRUE,"Total 95";"vakview",#N/A,TRUE,"Total 95";#N/A,#N/A,TRUE,"Graphs"}</definedName>
    <definedName name="sumit" localSheetId="4" hidden="1">{#N/A,#N/A,FALSE,"Tabl. FB300";#N/A,#N/A,FALSE,"Tabl. FB350";#N/A,#N/A,FALSE,"Tabl. FB400";#N/A,#N/A,FALSE,"Tabl. FB500";#N/A,#N/A,FALSE,"Tabl. FS090"}</definedName>
    <definedName name="super"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pliers" localSheetId="4" hidden="1">{#N/A,#N/A,FALSE,"HMF";#N/A,#N/A,FALSE,"FACIL";#N/A,#N/A,FALSE,"HMFINANCE";#N/A,#N/A,FALSE,"HMEUROPE";#N/A,#N/A,FALSE,"HHAB CONSO";#N/A,#N/A,FALSE,"PAB";#N/A,#N/A,FALSE,"MMC";#N/A,#N/A,FALSE,"THAI";#N/A,#N/A,FALSE,"SINPA";#N/A,#N/A,FALSE,"POLAND"}</definedName>
    <definedName name="supply" localSheetId="4" hidden="1">{#N/A,#N/A,FALSE,"PMTABB";#N/A,#N/A,FALSE,"PMTABB"}</definedName>
    <definedName name="supply_2" localSheetId="4" hidden="1">{#N/A,#N/A,FALSE,"PMTABB";#N/A,#N/A,FALSE,"PMTABB"}</definedName>
    <definedName name="supply_3" localSheetId="4" hidden="1">{#N/A,#N/A,FALSE,"PMTABB";#N/A,#N/A,FALSE,"PMTABB"}</definedName>
    <definedName name="supply_4" localSheetId="4" hidden="1">{#N/A,#N/A,FALSE,"PMTABB";#N/A,#N/A,FALSE,"PMTABB"}</definedName>
    <definedName name="Susan" localSheetId="4" hidden="1">{#N/A,#N/A,FALSE,"Revised cover";#N/A,#N/A,FALSE,"Trends";"main view",#N/A,FALSE,"As Reported";#N/A,#N/A,FALSE,"delegations";#N/A,#N/A,FALSE,"(un) Commited"}</definedName>
    <definedName name="sw" localSheetId="4" hidden="1">{#N/A,"PURCHM",FALSE,"Business Analysis";#N/A,"SPADD",FALSE,"Business Analysis"}</definedName>
    <definedName name="swaw" localSheetId="4" hidden="1">{"TEXO2N2_VOL",#N/A,FALSE,"MTHLYVOL";"TEXH2_VOL",#N/A,FALSE,"MTHLYVOL";"LOUIS_VOL",#N/A,FALSE,"MTHLYVOL";"H2_VOL",#N/A,FALSE,"MTHLYVOL";"O2N2_VOL",#N/A,FALSE,"MTHLYVOL";"PACKAGE_VOL",#N/A,FALSE,"MTHLYVOL"}</definedName>
    <definedName name="swq" localSheetId="4" hidden="1">{#N/A,"PURCHM",FALSE,"Business Analysis";#N/A,"SPADD",FALSE,"Business Analysis"}</definedName>
    <definedName name="swr" localSheetId="4" hidden="1">{"Polymers Details",#N/A,FALSE,"Current Yr";"Polymer Details",#N/A,FALSE,"Budget";"Polymer Details",#N/A,FALSE,"Prior Year"}</definedName>
    <definedName name="SX"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cg" localSheetId="4" hidden="1">{#N/A,#N/A,FALSE,"PGW"}</definedName>
    <definedName name="sxcg_2" localSheetId="4" hidden="1">{#N/A,#N/A,FALSE,"PGW"}</definedName>
    <definedName name="sxcg_3" localSheetId="4" hidden="1">{#N/A,#N/A,FALSE,"PGW"}</definedName>
    <definedName name="sxcg_4" localSheetId="4" hidden="1">{#N/A,#N/A,FALSE,"PGW"}</definedName>
    <definedName name="sy" localSheetId="4" hidden="1">{#N/A,#N/A,FALSE,"Part ABC"}</definedName>
    <definedName name="sz"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x" localSheetId="4" hidden="1">{"LAPO2N2",#N/A,FALSE,"CM"}</definedName>
    <definedName name="T"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2" localSheetId="4" hidden="1">{#N/A,#N/A,FALSE,"Umsatz EO BP";#N/A,#N/A,FALSE,"Umsatz EO OP";#N/A,#N/A,FALSE,"ER EO BP";#N/A,#N/A,FALSE,"ER EO OP";#N/A,#N/A,FALSE,"EA EO (2)";#N/A,#N/A,FALSE,"EA EO";#N/A,#N/A,FALSE,"EA EO (3)";#N/A,#N/A,FALSE,"EA EO (4)";#N/A,#N/A,FALSE,"KA EO  (2)";#N/A,#N/A,FALSE,"KA EO";#N/A,#N/A,FALSE,"KA EO  (3)";#N/A,#N/A,FALSE,"KA EO (4)"}</definedName>
    <definedName name="t.5"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_P" localSheetId="4">Scheduled_Payment+Extra_Payment</definedName>
    <definedName name="t3tr" localSheetId="4" hidden="1">{#N/A,#N/A,FALSE,"COMP"}</definedName>
    <definedName name="TA" localSheetId="4" hidden="1">{#N/A,#N/A,TRUE,"Financials";#N/A,#N/A,TRUE,"Operating Statistics";#N/A,#N/A,TRUE,"Capex &amp; Depreciation";#N/A,#N/A,TRUE,"Debt"}</definedName>
    <definedName name="tabl" localSheetId="4" hidden="1">{#N/A,#N/A,FALSE,"Tabl. H1";#N/A,#N/A,FALSE,"Tabl. H2"}</definedName>
    <definedName name="tableau" localSheetId="4" hidden="1">{#N/A,#N/A,FALSE,"Tabl. A1";#N/A,#N/A,FALSE,"Tabl. A1 b";#N/A,#N/A,FALSE,"Tabl. A2";#N/A,#N/A,FALSE,"Tabl. A2-1";#N/A,#N/A,FALSE,"Tabl. A2-2"}</definedName>
    <definedName name="tai.v4" localSheetId="4" hidden="1">{#N/A,#N/A,FALSE,"Umsatz EO BP";#N/A,#N/A,FALSE,"Umsatz EO OP";#N/A,#N/A,FALSE,"ER EO BP";#N/A,#N/A,FALSE,"ER EO OP";#N/A,#N/A,FALSE,"EA EO (2)";#N/A,#N/A,FALSE,"EA EO";#N/A,#N/A,FALSE,"EA EO (3)";#N/A,#N/A,FALSE,"EA EO (4)";#N/A,#N/A,FALSE,"KA EO  (2)";#N/A,#N/A,FALSE,"KA EO";#N/A,#N/A,FALSE,"KA EO  (3)";#N/A,#N/A,FALSE,"KA EO (4)"}</definedName>
    <definedName name="Tail.2" localSheetId="4" hidden="1">{#N/A,#N/A,FALSE,"KA CH  (2)"}</definedName>
    <definedName name="tax.xls"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taxol" localSheetId="4" hidden="1">{#N/A,#N/A,FALSE,"Pharm";#N/A,#N/A,FALSE,"WWCM"}</definedName>
    <definedName name="TB" localSheetId="4" hidden="1">{#N/A,#N/A,FALSE,"One Pager";#N/A,#N/A,FALSE,"Technical"}</definedName>
    <definedName name="tbg" localSheetId="4" hidden="1">{#N/A,#N/A,FALSE,"Tabl. G1";#N/A,#N/A,FALSE,"Tabl. G2"}</definedName>
    <definedName name="td" localSheetId="4" hidden="1">{"QTR_ACT",#N/A,FALSE,"PROP_PBIT_DEV_Q3";"QTR_BUD",#N/A,FALSE,"PROP_PBIT_DEV_Q3";"YTD_BUD",#N/A,FALSE,"PROP_PBIT_DEV_Q3";"YTD_ACT",#N/A,FALSE,"PROP_PBIT_DEV_Q3";"FY95 SNAP3",#N/A,FALSE,"PROP_PBIT_DEV_Q3";"FY95_BUD",#N/A,FALSE,"PROP_PBIT_DEV_Q3";"FY96_BUD",#N/A,FALSE,"PROP_PBIT_DEV_Q3"}</definedName>
    <definedName name="tdc" localSheetId="4">{"'April 24'!$J$11"}</definedName>
    <definedName name="TDS" localSheetId="4" hidden="1">{#N/A,#N/A,FALSE,"CDA Plan"}</definedName>
    <definedName name="te" localSheetId="4">{"Client Name or Project Name"}</definedName>
    <definedName name="TECh_WRTUP" localSheetId="4" hidden="1">{"CASH FLOW",#N/A,FALSE,"A"}</definedName>
    <definedName name="Tem" localSheetId="4" hidden="1">{#N/A,#N/A,FALSE,"Pharm";#N/A,#N/A,FALSE,"WWCM"}</definedName>
    <definedName name="Temp" localSheetId="4">{"Client Name or Project Name"}</definedName>
    <definedName name="teq" localSheetId="4" hidden="1">{#N/A,#N/A,FALSE,"Pharm";#N/A,#N/A,FALSE,"WWCM"}</definedName>
    <definedName name="Tequin" localSheetId="4" hidden="1">{#N/A,#N/A,FALSE,"Pharm";#N/A,#N/A,FALSE,"WWCM"}</definedName>
    <definedName name="tequinol" localSheetId="4" hidden="1">{#N/A,#N/A,FALSE,"REPORT"}</definedName>
    <definedName name="ter"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erc" localSheetId="4" hidden="1">{"YD GENERALH2",#N/A,FALSE,"YTD"}</definedName>
    <definedName name="test" localSheetId="4">{"Client Name or Project Name"}</definedName>
    <definedName name="TEST_1" localSheetId="4" hidden="1">{#N/A,#N/A,FALSE,"PMTABB";#N/A,#N/A,FALSE,"PMTABB"}</definedName>
    <definedName name="Test1" localSheetId="4" hidden="1">{#N/A,#N/A,TRUE,"Summary";#N/A,"1",TRUE,"Summary";#N/A,"2",TRUE,"Summary";#N/A,"3",TRUE,"Summary";#N/A,"4",TRUE,"Summary";#N/A,"5",TRUE,"Summary";#N/A,"6",TRUE,"Summary";#N/A,"7",TRUE,"Summary";#N/A,"8",TRUE,"Summary";#N/A,"9",TRUE,"Summary";#N/A,"10",TRUE,"Summary";#N/A,"11",TRUE,"Summary"}</definedName>
    <definedName name="Test2" localSheetId="4" hidden="1">{#N/A,#N/A,TRUE,"Summary";#N/A,"1",TRUE,"Summary";#N/A,"2",TRUE,"Summary";#N/A,"3",TRUE,"Summary";#N/A,"4",TRUE,"Summary";#N/A,"5",TRUE,"Summary";#N/A,"6",TRUE,"Summary";#N/A,"7",TRUE,"Summary";#N/A,"8",TRUE,"Summary";#N/A,"9",TRUE,"Summary";#N/A,"10",TRUE,"Summary";#N/A,"11",TRUE,"Summary"}</definedName>
    <definedName name="teste" localSheetId="4" hidden="1">{#N/A,#N/A,FALSE,"Pharm";#N/A,#N/A,FALSE,"WWCM"}</definedName>
    <definedName name="tete" localSheetId="4" hidden="1">{#N/A,#N/A,FALSE,"Calc";#N/A,#N/A,FALSE,"Sensitivity";#N/A,#N/A,FALSE,"LT Earn.Dil.";#N/A,#N/A,FALSE,"Dil. AVP"}</definedName>
    <definedName name="tf" localSheetId="4" hidden="1">{"Performance Details",#N/A,FALSE,"Current Yr";"Performance Details",#N/A,FALSE,"Budget";"Performance Details",#N/A,FALSE,"Prior Year"}</definedName>
    <definedName name="tft" localSheetId="4" hidden="1">{#N/A,#N/A,TRUE,"constb"}</definedName>
    <definedName name="TGHG" localSheetId="4" hidden="1">{#N/A,#N/A,FALSE,"SUMMARY";#N/A,#N/A,FALSE,"SUMMARY"}</definedName>
    <definedName name="TGHG_1" localSheetId="4" hidden="1">{#N/A,#N/A,FALSE,"SUMMARY";#N/A,#N/A,FALSE,"SUMMARY"}</definedName>
    <definedName name="TGHG_2" localSheetId="4" hidden="1">{#N/A,#N/A,FALSE,"SUMMARY";#N/A,#N/A,FALSE,"SUMMARY"}</definedName>
    <definedName name="TGHG_3" localSheetId="4" hidden="1">{#N/A,#N/A,FALSE,"SUMMARY";#N/A,#N/A,FALSE,"SUMMARY"}</definedName>
    <definedName name="TGHG_4" localSheetId="4" hidden="1">{#N/A,#N/A,FALSE,"SUMMARY";#N/A,#N/A,FALSE,"SUMMARY"}</definedName>
    <definedName name="TGTFGF"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 localSheetId="4">City&amp;" "&amp;State</definedName>
    <definedName name="tha.2" localSheetId="4" hidden="1">{#N/A,#N/A,FALSE,"Produkte Erw.";#N/A,#N/A,FALSE,"Produkte Plan";#N/A,#N/A,FALSE,"Leistungen Erw.";#N/A,#N/A,FALSE,"Leistungen Plan";#N/A,#N/A,FALSE,"KA Allg.Kosten (2)";#N/A,#N/A,FALSE,"KA All.Kosten"}</definedName>
    <definedName name="tha.3" localSheetId="4" hidden="1">{#N/A,#N/A,FALSE,"KA CH  (2)"}</definedName>
    <definedName name="tha.4"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localSheetId="4" hidden="1">{#N/A,#N/A,FALSE,"Umsatz 99";#N/A,#N/A,FALSE,"ER 99 "}</definedName>
    <definedName name="Thail.2" localSheetId="4" hidden="1">{#N/A,#N/A,FALSE,"Umsatz 99";#N/A,#N/A,FALSE,"ER 99 "}</definedName>
    <definedName name="the" localSheetId="4" hidden="1">{#N/A,#N/A,FALSE,"gc (2)"}</definedName>
    <definedName name="Thiagarajan" localSheetId="4" hidden="1">{"'Sheet1'!$A$4386:$N$4591"}</definedName>
    <definedName name="THNEN" localSheetId="4" hidden="1">{#N/A,#N/A,FALSE,"Tabl. FB300";#N/A,#N/A,FALSE,"Tabl. FB350";#N/A,#N/A,FALSE,"Tabl. FB400";#N/A,#N/A,FALSE,"Tabl. FB500";#N/A,#N/A,FALSE,"Tabl. FS090"}</definedName>
    <definedName name="thth" localSheetId="4" hidden="1">{#N/A,#N/A,FALSE,"Calc";#N/A,#N/A,FALSE,"Sensitivity";#N/A,#N/A,FALSE,"LT Earn.Dil.";#N/A,#N/A,FALSE,"Dil. AVP"}</definedName>
    <definedName name="THTH_1" localSheetId="4" hidden="1">{#N/A,#N/A,FALSE,"TOWNSHIP"}</definedName>
    <definedName name="THTH_2" localSheetId="4" hidden="1">{#N/A,#N/A,FALSE,"TOWNSHIP"}</definedName>
    <definedName name="THTH_3" localSheetId="4" hidden="1">{#N/A,#N/A,FALSE,"TOWNSHIP"}</definedName>
    <definedName name="THTH_4" localSheetId="4" hidden="1">{#N/A,#N/A,FALSE,"TOWNSHIP"}</definedName>
    <definedName name="tl" localSheetId="4" hidden="1">{"Commentary",#N/A,FALSE,"May"}</definedName>
    <definedName name="tm" localSheetId="4" hidden="1">{"ICD Details",#N/A,FALSE,"Current Yr";"ICD Details",#N/A,FALSE,"Budget";"ICD Details",#N/A,FALSE,"Prior Year"}</definedName>
    <definedName name="tmp" localSheetId="4" hidden="1">{#N/A,#N/A,FALSE,"earnings"}</definedName>
    <definedName name="tmto" localSheetId="4" hidden="1">{"detail",#N/A,FALSE,"mfg";"summary",#N/A,FALSE,"mfg"}</definedName>
    <definedName name="tn"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o" localSheetId="4" hidden="1">{#N/A,#N/A,FALSE,"CDA Plan"}</definedName>
    <definedName name="TOPFBTDEC0506" localSheetId="4" hidden="1">{#N/A,#N/A,FALSE,"PMTABB";#N/A,#N/A,FALSE,"PMTABB"}</definedName>
    <definedName name="TOPFBTDEC0506_1" localSheetId="4" hidden="1">{#N/A,#N/A,FALSE,"PMTABB";#N/A,#N/A,FALSE,"PMTABB"}</definedName>
    <definedName name="Total_Payment" localSheetId="4">Scheduled_Payment+Extra_Payment</definedName>
    <definedName name="TotalAssets" localSheetId="4">CapitalEmployed+CurrentLiab</definedName>
    <definedName name="TotalDebt" localSheetId="4">LongTermDebt+ShortTermDebt+CurrentPortion</definedName>
    <definedName name="TP" localSheetId="4">__IDC2_3+#REF!</definedName>
    <definedName name="TRAV" localSheetId="4" hidden="1">{#N/A,#N/A,FALSE,"Staffnos &amp; cost"}</definedName>
    <definedName name="trcde" localSheetId="4"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E" localSheetId="4">City&amp;" "&amp;State</definedName>
    <definedName name="trendanalysis" localSheetId="4" hidden="1">{#N/A,#N/A,FALSE,"Aging Summary";#N/A,#N/A,FALSE,"Ratio Analysis";#N/A,#N/A,FALSE,"Test 120 Day Accts";#N/A,#N/A,FALSE,"Tickmarks"}</definedName>
    <definedName name="Trial" localSheetId="4">{"Client Name or Project Name"}</definedName>
    <definedName name="trinity" localSheetId="4">{"Client Name or Project Name"}</definedName>
    <definedName name="trop" localSheetId="4" hidden="1">{#N/A,#N/A,FALSE,"CDA Plan"}</definedName>
    <definedName name="trop." localSheetId="4" hidden="1">{#N/A,#N/A,FALSE,"CDA Plan"}</definedName>
    <definedName name="trout"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U" localSheetId="4" hidden="1">{#N/A,#N/A,TRUE,"Front";#N/A,#N/A,TRUE,"Simple Letter";#N/A,#N/A,TRUE,"Inside";#N/A,#N/A,TRUE,"Contents";#N/A,#N/A,TRUE,"Basis";#N/A,#N/A,TRUE,"Inclusions";#N/A,#N/A,TRUE,"Exclusions";#N/A,#N/A,TRUE,"Areas";#N/A,#N/A,TRUE,"Summary";#N/A,#N/A,TRUE,"Detail"}</definedName>
    <definedName name="tryeuyit" localSheetId="4" hidden="1">{#N/A,#N/A,FALSE,"Pharm";#N/A,#N/A,FALSE,"WWCM"}</definedName>
    <definedName name="ts" localSheetId="4" hidden="1">{"oct_res_comm",#N/A,FALSE,"VarToBud"}</definedName>
    <definedName name="TT" localSheetId="4" hidden="1">{#N/A,#N/A,TRUE,"Financials";#N/A,#N/A,TRUE,"Operating Statistics";#N/A,#N/A,TRUE,"Capex &amp; Depreciation";#N/A,#N/A,TRUE,"Debt"}</definedName>
    <definedName name="tt.8" localSheetId="4" hidden="1">{#N/A,#N/A,FALSE,"PMW Gruppe 99_98";#N/A,#N/A,FALSE,"PMW KG 98_99";#N/A,#N/A,FALSE,"PMW Inc. 99_98";#N/A,#N/A,FALSE,"PMW VTECH 99_98";#N/A,#N/A,FALSE,"PMW Thail. 99_98";#N/A,#N/A,FALSE,"PMW Canada 99_98";#N/A,#N/A,FALSE,"Währungsabw. 99_98"}</definedName>
    <definedName name="ttc" localSheetId="4">City&amp;" "&amp;State</definedName>
    <definedName name="ttt" localSheetId="4" hidden="1">{#N/A,"PURCHM",FALSE,"Business Analysis";#N/A,"SPADD",FALSE,"Business Analysis"}</definedName>
    <definedName name="TTT_1" localSheetId="4" hidden="1">{#N/A,#N/A,FALSE,"Staffnos &amp; cost"}</definedName>
    <definedName name="ttthtr" localSheetId="4" hidden="1">{#N/A,#N/A,FALSE,"TOWNSHIP"}</definedName>
    <definedName name="ttthtr_1" localSheetId="4" hidden="1">{#N/A,#N/A,FALSE,"TOWNSHIP"}</definedName>
    <definedName name="ttthtr_2" localSheetId="4" hidden="1">{#N/A,#N/A,FALSE,"TOWNSHIP"}</definedName>
    <definedName name="ttthtr_3" localSheetId="4" hidden="1">{#N/A,#N/A,FALSE,"TOWNSHIP"}</definedName>
    <definedName name="ttthtr_4" localSheetId="4" hidden="1">{#N/A,#N/A,FALSE,"TOWNSHIP"}</definedName>
    <definedName name="tttt" localSheetId="4" hidden="1">{#N/A,#N/A,FALSE,"Produkte Erw.";#N/A,#N/A,FALSE,"Produkte Plan";#N/A,#N/A,FALSE,"Leistungen Erw.";#N/A,#N/A,FALSE,"Leistungen Plan";#N/A,#N/A,FALSE,"KA Allg.Kosten (2)";#N/A,#N/A,FALSE,"KA All.Kosten"}</definedName>
    <definedName name="ttttttt" localSheetId="4" hidden="1">{"'PRODUCTIONCOST SHEET'!$B$3:$G$48"}</definedName>
    <definedName name="ttzz" localSheetId="4" hidden="1">{#N/A,#N/A,FALSE,"Umsatz CH";#N/A,#N/A,FALSE,"ER CH";#N/A,#N/A,FALSE,"EA CH (2) ";#N/A,#N/A,FALSE,"EA CH";#N/A,#N/A,FALSE,"EA CH (3) ";#N/A,#N/A,FALSE,"EA CH (4)";#N/A,#N/A,FALSE,"KA CH";#N/A,#N/A,FALSE,"KA CH  (2)";#N/A,#N/A,FALSE,"KA CH  (3)";#N/A,#N/A,FALSE,"KA CH (4)"}</definedName>
    <definedName name="tu"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turd" localSheetId="4" hidden="1">{"detail",#N/A,FALSE,"mfg";"summary",#N/A,FALSE,"mfg"}</definedName>
    <definedName name="tv"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wertert" localSheetId="4" hidden="1">{#N/A,#N/A,FALSE,"COMP"}</definedName>
    <definedName name="TY" localSheetId="4">City&amp;" "&amp;State</definedName>
    <definedName name="tyff" localSheetId="4" hidden="1">{#N/A,#N/A,FALSE,"PGW"}</definedName>
    <definedName name="tyff_2" localSheetId="4" hidden="1">{#N/A,#N/A,FALSE,"PGW"}</definedName>
    <definedName name="tyff_3" localSheetId="4" hidden="1">{#N/A,#N/A,FALSE,"PGW"}</definedName>
    <definedName name="tyff_4" localSheetId="4" hidden="1">{#N/A,#N/A,FALSE,"PGW"}</definedName>
    <definedName name="tynm" localSheetId="4" hidden="1">{"apci",#N/A,FALSE,"Chem_CY";"eastman",#N/A,FALSE,"Eastman";"betz",#N/A,FALSE,"Betz";"great lakes",#N/A,FALSE,"Great_Lakes";"hercules",#N/A,FALSE,"Hercules Chem Seg Data";"rohm",#N/A,FALSE,"Rohm";"union carbide",#N/A,FALSE,"Union";"witco",#N/A,FALSE,"Witco"}</definedName>
    <definedName name="tyu" localSheetId="4" hidden="1">{"oct_res_comm",#N/A,FALSE,"VarToBud"}</definedName>
    <definedName name="tyui" localSheetId="4" hidden="1">{"ICD Details",#N/A,FALSE,"Current Yr";"ICD Details",#N/A,FALSE,"Budget";"ICD Details",#N/A,FALSE,"Prior Year"}</definedName>
    <definedName name="tyutytyi" localSheetId="4" hidden="1">{#N/A,#N/A,FALSE,"Pharm";#N/A,#N/A,FALSE,"WWCM"}</definedName>
    <definedName name="tyyufkjkhjd" localSheetId="4" hidden="1">{#N/A,#N/A,FALSE,"Pharm";#N/A,#N/A,FALSE,"WWCM"}</definedName>
    <definedName name="tzt" localSheetId="4" hidden="1">{#N/A,#N/A,FALSE,"Umsatz HM";#N/A,#N/A,FALSE,"ER HM";#N/A,#N/A,FALSE,"EA HM  (2)";#N/A,#N/A,FALSE,"EA HM ";#N/A,#N/A,FALSE,"EA HM  (4)";#N/A,#N/A,FALSE,"EA HM  (3)";#N/A,#N/A,FALSE,"KA HM  (2)";#N/A,#N/A,FALSE,"KA HM";#N/A,#N/A,FALSE,"KA HM  (3)";#N/A,#N/A,FALSE,"KA HM (4)"}</definedName>
    <definedName name="tzutz.lkjkljk" localSheetId="4" hidden="1">{#N/A,#N/A,FALSE,"Umsatz CH";#N/A,#N/A,FALSE,"ER CH";#N/A,#N/A,FALSE,"EA CH (2) ";#N/A,#N/A,FALSE,"EA CH";#N/A,#N/A,FALSE,"EA CH (3) ";#N/A,#N/A,FALSE,"EA CH (4)";#N/A,#N/A,FALSE,"KA CH";#N/A,#N/A,FALSE,"KA CH  (2)";#N/A,#N/A,FALSE,"KA CH  (3)";#N/A,#N/A,FALSE,"KA CH (4)"}</definedName>
    <definedName name="uehfiueqf" localSheetId="4" hidden="1">{#N/A,#N/A,FALSE,"Calc";#N/A,#N/A,FALSE,"Sensitivity";#N/A,#N/A,FALSE,"LT Earn.Dil.";#N/A,#N/A,FALSE,"Dil. AVP"}</definedName>
    <definedName name="uh" localSheetId="4" hidden="1">{"detail",#N/A,FALSE,"mfg";"summary",#N/A,FALSE,"mfg"}</definedName>
    <definedName name="UHJ" localSheetId="4" hidden="1">{#N/A,#N/A,FALSE,"Tabl. FB300";#N/A,#N/A,FALSE,"Tabl. FB350";#N/A,#N/A,FALSE,"Tabl. FB400";#N/A,#N/A,FALSE,"Tabl. FB500";#N/A,#N/A,FALSE,"Tabl. FS090"}</definedName>
    <definedName name="uiim" localSheetId="4" hidden="1">{"Pg1",#N/A,FALSE,"OpExYTDvsBud";"Pg2",#N/A,FALSE,"OpExYTDvsBud"}</definedName>
    <definedName name="uioui" localSheetId="4" hidden="1">{#N/A,#N/A,FALSE,"COMP"}</definedName>
    <definedName name="uiui" localSheetId="4" hidden="1">{#N/A,#N/A,FALSE,"Umsatz HM";#N/A,#N/A,FALSE,"ER HM";#N/A,#N/A,FALSE,"EA HM  (2)";#N/A,#N/A,FALSE,"EA HM ";#N/A,#N/A,FALSE,"EA HM  (4)";#N/A,#N/A,FALSE,"EA HM  (3)";#N/A,#N/A,FALSE,"KA HM  (2)";#N/A,#N/A,FALSE,"KA HM";#N/A,#N/A,FALSE,"KA HM  (3)";#N/A,#N/A,FALSE,"KA HM (4)"}</definedName>
    <definedName name="uiyg" localSheetId="4" hidden="1">{#N/A,#N/A,FALSE,"COMP"}</definedName>
    <definedName name="und" localSheetId="4">{0;0;0;0;1;1;0;0;0.6;0.3;2;FALSE;FALSE;FALSE;FALSE;FALSE;#N/A;1;100;#N/A;#N/A;"";""}</definedName>
    <definedName name="Unit" localSheetId="4" hidden="1">{#N/A,#N/A,FALSE,"Pharm";#N/A,#N/A,FALSE,"WWCM"}</definedName>
    <definedName name="Unit_Risk" localSheetId="4" hidden="1">{#N/A,#N/A,FALSE,"CDA Plan"}</definedName>
    <definedName name="uq" localSheetId="4" hidden="1">{"detail",#N/A,FALSE,"mfg";"summary",#N/A,FALSE,"mfg"}</definedName>
    <definedName name="us" localSheetId="4">{"Client Name or Project Name"}</definedName>
    <definedName name="ut" localSheetId="4" hidden="1">{#N/A,"PURCHM",FALSE,"Business Analysis";#N/A,"SPADD",FALSE,"Business Analysis"}</definedName>
    <definedName name="utg" localSheetId="4" hidden="1">{#N/A,#N/A,FALSE,"Tabl. H1";#N/A,#N/A,FALSE,"Tabl. H2"}</definedName>
    <definedName name="uu" localSheetId="4" hidden="1">{#N/A,#N/A,FALSE,"gc (2)"}</definedName>
    <definedName name="uu.kk" localSheetId="4" hidden="1">{#N/A,#N/A,FALSE,"KA CH  (2)"}</definedName>
    <definedName name="üü.l" localSheetId="4" hidden="1">{#N/A,#N/A,FALSE,"Umsatz EO BP";#N/A,#N/A,FALSE,"Umsatz EO OP";#N/A,#N/A,FALSE,"ER EO BP";#N/A,#N/A,FALSE,"ER EO OP";#N/A,#N/A,FALSE,"EA EO (2)";#N/A,#N/A,FALSE,"EA EO";#N/A,#N/A,FALSE,"EA EO (3)";#N/A,#N/A,FALSE,"EA EO (4)";#N/A,#N/A,FALSE,"KA EO  (2)";#N/A,#N/A,FALSE,"KA EO";#N/A,#N/A,FALSE,"KA EO  (3)";#N/A,#N/A,FALSE,"KA EO (4)"}</definedName>
    <definedName name="UU001UK" localSheetId="4" hidden="1">{"Geo - Detail Detail",#N/A,FALSE,"Geo View";"Geo - Detail",#N/A,FALSE,"Geo View";"Dept - Detail Detail",#N/A,FALSE,"Dept View";"Dept - Detail",#N/A,FALSE,"Dept View"}</definedName>
    <definedName name="UU001UK_2" localSheetId="4" hidden="1">{"Geo - Detail Detail",#N/A,FALSE,"Geo View";"Geo - Detail",#N/A,FALSE,"Geo View";"Dept - Detail Detail",#N/A,FALSE,"Dept View";"Dept - Detail",#N/A,FALSE,"Dept View"}</definedName>
    <definedName name="uui" localSheetId="4" hidden="1">{#N/A,#N/A,FALSE,"CDA Plan"}</definedName>
    <definedName name="UUJNN?JNJ" localSheetId="4" hidden="1">{#N/A,#N/A,FALSE,"Tabl. G1";#N/A,#N/A,FALSE,"Tabl. G2"}</definedName>
    <definedName name="üüü" localSheetId="4" hidden="1">{#N/A,#N/A,FALSE,"Umsatz HM";#N/A,#N/A,FALSE,"ER HM";#N/A,#N/A,FALSE,"EA HM  (2)";#N/A,#N/A,FALSE,"EA HM ";#N/A,#N/A,FALSE,"EA HM  (4)";#N/A,#N/A,FALSE,"EA HM  (3)";#N/A,#N/A,FALSE,"KA HM  (2)";#N/A,#N/A,FALSE,"KA HM";#N/A,#N/A,FALSE,"KA HM  (3)";#N/A,#N/A,FALSE,"KA HM (4)"}</definedName>
    <definedName name="üüüü"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YYYYYYYY" localSheetId="4" hidden="1">{#N/A,#N/A,FALSE,"Tabl. A1";#N/A,#N/A,FALSE,"Tabl. A1 b";#N/A,#N/A,FALSE,"Tabl. A2";#N/A,#N/A,FALSE,"Tabl. A2-1";#N/A,#N/A,FALSE,"Tabl. A2-2"}</definedName>
    <definedName name="UYB" localSheetId="4" hidden="1">{#N/A,#N/A,FALSE,"Tabl. A1";#N/A,#N/A,FALSE,"Tabl. A1 b";#N/A,#N/A,FALSE,"Tabl. A2";#N/A,#N/A,FALSE,"Tabl. A2-1";#N/A,#N/A,FALSE,"Tabl. A2-2"}</definedName>
    <definedName name="uyt" localSheetId="4" hidden="1">{#N/A,"PURADD",FALSE,"Business Analysis";#N/A,"PURSPP",FALSE,"Business Analysis";#N/A,"CTGIND",FALSE,"Business Analysis";#N/A,"PURCHM",FALSE,"Business Analysis";#N/A,"SPADD",FALSE,"Business Analysis";#N/A,"EPOXY",FALSE,"Business Analysis";#N/A,"PURPER",FALSE,"Business Analysis"}</definedName>
    <definedName name="uytr" localSheetId="4" hidden="1">{#N/A,"PURCHM",FALSE,"Business Analysis";#N/A,"SPADD",FALSE,"Business Analysis"}</definedName>
    <definedName name="uztuz" localSheetId="4" hidden="1">{#N/A,#N/A,FALSE,"Umsatz OK";#N/A,#N/A,FALSE,"ER OK ";#N/A,#N/A,FALSE,"EA OK (2)";#N/A,#N/A,FALSE,"EA OK";#N/A,#N/A,FALSE,"EA OK (3)";#N/A,#N/A,FALSE,"EA OK (4)";#N/A,#N/A,FALSE,"KA OK  (2)";#N/A,#N/A,FALSE,"KA OK";#N/A,#N/A,FALSE,"KA OK  (3)";#N/A,#N/A,FALSE,"KA OK (4)"}</definedName>
    <definedName name="uzuztt" localSheetId="4" hidden="1">{#N/A,#N/A,FALSE,"Umsatz HM";#N/A,#N/A,FALSE,"ER HM";#N/A,#N/A,FALSE,"EA HM  (2)";#N/A,#N/A,FALSE,"EA HM ";#N/A,#N/A,FALSE,"EA HM  (4)";#N/A,#N/A,FALSE,"EA HM  (3)";#N/A,#N/A,FALSE,"KA HM  (2)";#N/A,#N/A,FALSE,"KA HM";#N/A,#N/A,FALSE,"KA HM  (3)";#N/A,#N/A,FALSE,"KA HM (4)"}</definedName>
    <definedName name="v" localSheetId="4" hidden="1">{#N/A,#N/A,FALSE,"Umsatz CH";#N/A,#N/A,FALSE,"ER CH";#N/A,#N/A,FALSE,"EA CH (2) ";#N/A,#N/A,FALSE,"EA CH";#N/A,#N/A,FALSE,"EA CH (3) ";#N/A,#N/A,FALSE,"EA CH (4)";#N/A,#N/A,FALSE,"KA CH";#N/A,#N/A,FALSE,"KA CH  (2)";#N/A,#N/A,FALSE,"KA CH  (3)";#N/A,#N/A,FALSE,"KA CH (4)"}</definedName>
    <definedName name="v.1" localSheetId="4" hidden="1">{#N/A,#N/A,FALSE,"Umsatz HM";#N/A,#N/A,FALSE,"ER HM";#N/A,#N/A,FALSE,"EA HM  (2)";#N/A,#N/A,FALSE,"EA HM ";#N/A,#N/A,FALSE,"EA HM  (4)";#N/A,#N/A,FALSE,"EA HM  (3)";#N/A,#N/A,FALSE,"KA HM  (2)";#N/A,#N/A,FALSE,"KA HM";#N/A,#N/A,FALSE,"KA HM  (3)";#N/A,#N/A,FALSE,"KA HM (4)"}</definedName>
    <definedName name="v.10" localSheetId="4" hidden="1">{#N/A,#N/A,FALSE,"Produkte Erw.";#N/A,#N/A,FALSE,"Produkte Plan";#N/A,#N/A,FALSE,"Leistungen Erw.";#N/A,#N/A,FALSE,"Leistungen Plan";#N/A,#N/A,FALSE,"KA Allg.Kosten (2)";#N/A,#N/A,FALSE,"KA All.Kosten"}</definedName>
    <definedName name="V.2" localSheetId="4" hidden="1">{#N/A,#N/A,FALSE,"Produkte Erw.";#N/A,#N/A,FALSE,"Produkte Plan";#N/A,#N/A,FALSE,"Leistungen Erw.";#N/A,#N/A,FALSE,"Leistungen Plan";#N/A,#N/A,FALSE,"KA Allg.Kosten (2)";#N/A,#N/A,FALSE,"KA All.Kosten"}</definedName>
    <definedName name="V.3" localSheetId="4" hidden="1">{#N/A,#N/A,FALSE,"Produkte Erw.";#N/A,#N/A,FALSE,"Produkte Plan";#N/A,#N/A,FALSE,"Leistungen Erw.";#N/A,#N/A,FALSE,"Leistungen Plan";#N/A,#N/A,FALSE,"KA Allg.Kosten (2)";#N/A,#N/A,FALSE,"KA All.Kosten"}</definedName>
    <definedName name="v.6" localSheetId="4" hidden="1">{#N/A,#N/A,FALSE,"Umsatz CH";#N/A,#N/A,FALSE,"ER CH";#N/A,#N/A,FALSE,"EA CH (2) ";#N/A,#N/A,FALSE,"EA CH";#N/A,#N/A,FALSE,"EA CH (3) ";#N/A,#N/A,FALSE,"EA CH (4)";#N/A,#N/A,FALSE,"KA CH";#N/A,#N/A,FALSE,"KA CH  (2)";#N/A,#N/A,FALSE,"KA CH  (3)";#N/A,#N/A,FALSE,"KA CH (4)"}</definedName>
    <definedName name="v.7" localSheetId="4" hidden="1">{#N/A,#N/A,FALSE,"Umsatz CH";#N/A,#N/A,FALSE,"ER CH";#N/A,#N/A,FALSE,"EA CH (2) ";#N/A,#N/A,FALSE,"EA CH";#N/A,#N/A,FALSE,"EA CH (3) ";#N/A,#N/A,FALSE,"EA CH (4)";#N/A,#N/A,FALSE,"KA CH";#N/A,#N/A,FALSE,"KA CH  (2)";#N/A,#N/A,FALSE,"KA CH  (3)";#N/A,#N/A,FALSE,"KA CH (4)"}</definedName>
    <definedName name="v.8" localSheetId="4" hidden="1">{#N/A,#N/A,FALSE,"Produkte Erw.";#N/A,#N/A,FALSE,"Produkte Plan";#N/A,#N/A,FALSE,"Leistungen Erw.";#N/A,#N/A,FALSE,"Leistungen Plan";#N/A,#N/A,FALSE,"KA Allg.Kosten (2)";#N/A,#N/A,FALSE,"KA All.Kosten"}</definedName>
    <definedName name="Vail" localSheetId="4" hidden="1">{"PVGraph2",#N/A,FALSE,"PV Data"}</definedName>
    <definedName name="val" localSheetId="4" hidden="1">{#N/A,#N/A,FALSE,"Valuation Assumptions";#N/A,#N/A,FALSE,"Summary";#N/A,#N/A,FALSE,"DCF";#N/A,#N/A,FALSE,"Valuation";#N/A,#N/A,FALSE,"WACC";#N/A,#N/A,FALSE,"UBVH";#N/A,#N/A,FALSE,"Free Cash Flow"}</definedName>
    <definedName name="VAL3Q" localSheetId="4" hidden="1">{"annual",#N/A,FALSE,"IBMFIN";"bal sheet tracking",#N/A,FALSE,"IBMFIN";"prodrev",#N/A,FALSE,"IBMFIN";"quarterly",#N/A,FALSE,"IBMFIN"}</definedName>
    <definedName name="values" localSheetId="4">IF(Loan_Amount*#REF!*#REF!*Loan_Start&gt;0,1,0)</definedName>
    <definedName name="Values_Entered" localSheetId="4">IF(Loan_Amount*Interest_Rate*Loan_Years*Loan_Start&gt;0,1,0)</definedName>
    <definedName name="vbhj" localSheetId="4" hidden="1">{#N/A,"PURCHM",FALSE,"Business Analysis";#N/A,"SPADD",FALSE,"Business Analysis"}</definedName>
    <definedName name="vbnm" localSheetId="4" hidden="1">{"net assets",#N/A,FALSE,"summary";"asset turnover",#N/A,FALSE,"summary";"orona",#N/A,FALSE,"summary"}</definedName>
    <definedName name="vbvbvbv"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cfd" localSheetId="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V"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vcvc" localSheetId="4" hidden="1">{"Polymers Details",#N/A,FALSE,"Current Yr";"Polymer Details",#N/A,FALSE,"Budget";"Polymer Details",#N/A,FALSE,"Prior Year"}</definedName>
    <definedName name="vcvcv" localSheetId="4" hidden="1">{#N/A,#N/A,FALSE,"Umsatz EO BP";#N/A,#N/A,FALSE,"Umsatz EO OP";#N/A,#N/A,FALSE,"ER EO BP";#N/A,#N/A,FALSE,"ER EO OP";#N/A,#N/A,FALSE,"EA EO (2)";#N/A,#N/A,FALSE,"EA EO";#N/A,#N/A,FALSE,"EA EO (3)";#N/A,#N/A,FALSE,"EA EO (4)";#N/A,#N/A,FALSE,"KA EO  (2)";#N/A,#N/A,FALSE,"KA EO";#N/A,#N/A,FALSE,"KA EO  (3)";#N/A,#N/A,FALSE,"KA EO (4)"}</definedName>
    <definedName name="vcx" localSheetId="4" hidden="1">{"YD PACKAGE",#N/A,FALSE,"YTD"}</definedName>
    <definedName name="vcxz"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f" localSheetId="4" hidden="1">{#N/A,"PURADD",FALSE,"Business Analysis";#N/A,"PURSPP",FALSE,"Business Analysis";#N/A,"CTGIND",FALSE,"Business Analysis";#N/A,"PURCHM",FALSE,"Business Analysis";#N/A,"SPADD",FALSE,"Business Analysis";#N/A,"EPOXY",FALSE,"Business Analysis";#N/A,"PURPER",FALSE,"Business Analysis"}</definedName>
    <definedName name="vfcd" localSheetId="4" hidden="1">{"QTD",#N/A,FALSE,"SUM"}</definedName>
    <definedName name="vfg" localSheetId="4" hidden="1">{#N/A,#N/A,FALSE,"Staffnos &amp; cost"}</definedName>
    <definedName name="vfhy" localSheetId="4" hidden="1">{"GENERALH2",#N/A,FALSE,"CM"}</definedName>
    <definedName name="vgf" localSheetId="4" hidden="1">{"GENERALH2",#N/A,FALSE,"CM"}</definedName>
    <definedName name="vhdiuhvc" localSheetId="4" hidden="1">{#N/A,#N/A,FALSE,"Layout Aktiva";#N/A,#N/A,FALSE,"Layout Passiva";#N/A,#N/A,FALSE,"Layout GuV";#N/A,#N/A,FALSE,"Layout Cash Flow";#N/A,#N/A,FALSE,"Mittelherkunft";#N/A,#N/A,FALSE,"Mittelverwendung";#N/A,#N/A,FALSE,"Finanzbedarsrechnung"}</definedName>
    <definedName name="vimlesh" localSheetId="4" hidden="1">{#N/A,#N/A,FALSE,"Staffnos &amp; cost"}</definedName>
    <definedName name="vishnu" localSheetId="4" hidden="1">{#N/A,#N/A,TRUE,"Staffnos &amp; cost"}</definedName>
    <definedName name="VK" localSheetId="4" hidden="1">{#N/A,#N/A,FALSE,"CDA Plan"}</definedName>
    <definedName name="vn.2" localSheetId="4" hidden="1">{#N/A,#N/A,FALSE,"KA CH  (2)"}</definedName>
    <definedName name="vn.9" localSheetId="4" hidden="1">{#N/A,#N/A,FALSE,"Umsatz CH";#N/A,#N/A,FALSE,"ER CH";#N/A,#N/A,FALSE,"EA CH (2) ";#N/A,#N/A,FALSE,"EA CH";#N/A,#N/A,FALSE,"EA CH (3) ";#N/A,#N/A,FALSE,"EA CH (4)";#N/A,#N/A,FALSE,"KA CH";#N/A,#N/A,FALSE,"KA CH  (2)";#N/A,#N/A,FALSE,"KA CH  (3)";#N/A,#N/A,FALSE,"KA CH (4)"}</definedName>
    <definedName name="vnjoiuf" localSheetId="4" hidden="1">{#N/A,#N/A,FALSE,"1996";#N/A,#N/A,FALSE,"1995";#N/A,#N/A,FALSE,"1994"}</definedName>
    <definedName name="vo" localSheetId="4" hidden="1">{"consolidated",#N/A,FALSE,"Sheet1";"cms",#N/A,FALSE,"Sheet1";"fse",#N/A,FALSE,"Sheet1"}</definedName>
    <definedName name="voiejvce"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votl"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 localSheetId="4" hidden="1">{#N/A,#N/A,FALSE,"IS US";#N/A,#N/A,FALSE,"BS US";#N/A,#N/A,FALSE,"IS LOCAL";#N/A,#N/A,FALSE,"BS INPUT";#N/A,#N/A,FALSE,"EQUITY";#N/A,#N/A,FALSE,"LOCAL ADJ";#N/A,#N/A,FALSE,"GAAP ADJ"}</definedName>
    <definedName name="vvv.dd"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4" hidden="1">{#N/A,#N/A,FALSE,"TOWNSHIP"}</definedName>
    <definedName name="vvv.ss_2" localSheetId="4" hidden="1">{#N/A,#N/A,FALSE,"TOWNSHIP"}</definedName>
    <definedName name="vvv.ss_3" localSheetId="4" hidden="1">{#N/A,#N/A,FALSE,"TOWNSHIP"}</definedName>
    <definedName name="vvv.ss_4" localSheetId="4" hidden="1">{#N/A,#N/A,FALSE,"TOWNSHIP"}</definedName>
    <definedName name="vvv.xxx" localSheetId="4" hidden="1">{#N/A,#N/A,FALSE,"SUMMARY";#N/A,#N/A,FALSE,"SUMMARY"}</definedName>
    <definedName name="vvv.xxx_2" localSheetId="4" hidden="1">{#N/A,#N/A,FALSE,"SUMMARY";#N/A,#N/A,FALSE,"SUMMARY"}</definedName>
    <definedName name="vvv.xxx_3" localSheetId="4" hidden="1">{#N/A,#N/A,FALSE,"SUMMARY";#N/A,#N/A,FALSE,"SUMMARY"}</definedName>
    <definedName name="vvv.xxx_4" localSheetId="4" hidden="1">{#N/A,#N/A,FALSE,"SUMMARY";#N/A,#N/A,FALSE,"SUMMARY"}</definedName>
    <definedName name="VVVVVVV" localSheetId="4" hidden="1">{#N/A,#N/A,FALSE,"CDA Plan"}</definedName>
    <definedName name="vvvvvvvvvv" localSheetId="4" hidden="1">{"net assets",#N/A,FALSE,"summary";"asset turnover",#N/A,FALSE,"summary";"orona",#N/A,FALSE,"summary"}</definedName>
    <definedName name="vwx" localSheetId="4" hidden="1">{#N/A,#N/A,FALSE,"Tabl. FB300";#N/A,#N/A,FALSE,"Tabl. FB350";#N/A,#N/A,FALSE,"Tabl. FB400";#N/A,#N/A,FALSE,"Tabl. FB500";#N/A,#N/A,FALSE,"Tabl. FS090"}</definedName>
    <definedName name="vz" localSheetId="4" hidden="1">{"detail",#N/A,FALSE,"mfg";"summary",#N/A,FALSE,"mfg"}</definedName>
    <definedName name="w" localSheetId="4" hidden="1">{#N/A,"PURCHM",FALSE,"Business Analysis";#N/A,"SPADD",FALSE,"Business Analysis"}</definedName>
    <definedName name="w.capi" localSheetId="4">{"'Int.-Cem.unit -SUMMARY'!$A$1:$J$25"}</definedName>
    <definedName name="w.l" localSheetId="4" hidden="1">{#N/A,#N/A,FALSE,"Umsatz HM";#N/A,#N/A,FALSE,"ER HM";#N/A,#N/A,FALSE,"EA HM  (2)";#N/A,#N/A,FALSE,"EA HM ";#N/A,#N/A,FALSE,"EA HM  (4)";#N/A,#N/A,FALSE,"EA HM  (3)";#N/A,#N/A,FALSE,"KA HM  (2)";#N/A,#N/A,FALSE,"KA HM";#N/A,#N/A,FALSE,"KA HM  (3)";#N/A,#N/A,FALSE,"KA HM (4)"}</definedName>
    <definedName name="w2f" localSheetId="4" hidden="1">{"QTD_LPO2N2",#N/A,FALSE,"QTD";"QTD_HYCO",#N/A,FALSE,"QTD";"QTD_LOUISIANA",#N/A,FALSE,"QTD";"QTD_GENERALH2",#N/A,FALSE,"QTD";"QTD_PACKAGE",#N/A,FALSE,"QTD";"QTD_PRS",#N/A,FALSE,"QTD";"QTD_OTHER",#N/A,FALSE,"QTD"}</definedName>
    <definedName name="w2r5" localSheetId="4" hidden="1">{"QTD_OTHER",#N/A,FALSE,"QTD"}</definedName>
    <definedName name="wa" localSheetId="4" hidden="1">{"apci",#N/A,FALSE,"Chem_CY";"eastman",#N/A,FALSE,"Eastman";"betz",#N/A,FALSE,"Betz";"great lakes",#N/A,FALSE,"Great_Lakes";"hercules",#N/A,FALSE,"Hercules Chem Seg Data";"rohm",#N/A,FALSE,"Rohm";"union carbide",#N/A,FALSE,"Union";"witco",#N/A,FALSE,"Witco"}</definedName>
    <definedName name="wae.2" localSheetId="4" hidden="1">{#N/A,#N/A,FALSE,"Umsatz CH";#N/A,#N/A,FALSE,"ER CH";#N/A,#N/A,FALSE,"EA CH (2) ";#N/A,#N/A,FALSE,"EA CH";#N/A,#N/A,FALSE,"EA CH (3) ";#N/A,#N/A,FALSE,"EA CH (4)";#N/A,#N/A,FALSE,"KA CH";#N/A,#N/A,FALSE,"KA CH  (2)";#N/A,#N/A,FALSE,"KA CH  (3)";#N/A,#N/A,FALSE,"KA CH (4)"}</definedName>
    <definedName name="wae.er_er." localSheetId="4" hidden="1">{#N/A,#N/A,FALSE,"Umsatz EO BP";#N/A,#N/A,FALSE,"Umsatz EO OP";#N/A,#N/A,FALSE,"ER EO BP";#N/A,#N/A,FALSE,"ER EO OP";#N/A,#N/A,FALSE,"EA EO (2)";#N/A,#N/A,FALSE,"EA EO";#N/A,#N/A,FALSE,"EA EO (3)";#N/A,#N/A,FALSE,"EA EO (4)";#N/A,#N/A,FALSE,"KA EO  (2)";#N/A,#N/A,FALSE,"KA EO";#N/A,#N/A,FALSE,"KA EO  (3)";#N/A,#N/A,FALSE,"KA EO (4)"}</definedName>
    <definedName name="was" localSheetId="4" hidden="1">{#N/A,#N/A,FALSE,"Sales Graph";#N/A,#N/A,FALSE,"BUC Graph";#N/A,#N/A,FALSE,"P&amp;L - YTD"}</definedName>
    <definedName name="wb" localSheetId="4" hidden="1">{#N/A,#N/A,FALSE,"Pharm";#N/A,#N/A,FALSE,"WWCM"}</definedName>
    <definedName name="wc" localSheetId="4" hidden="1">{#N/A,#N/A,FALSE,"Pharm";#N/A,#N/A,FALSE,"WWCM"}</definedName>
    <definedName name="wcy" localSheetId="4" hidden="1">{"YD PRS",#N/A,FALSE,"YTD"}</definedName>
    <definedName name="WDESAX" localSheetId="4" hidden="1">{#N/A,#N/A,FALSE,"SUMMARY";#N/A,#N/A,FALSE,"SUMMARY"}</definedName>
    <definedName name="WDESAX_1" localSheetId="4" hidden="1">{#N/A,#N/A,FALSE,"SUMMARY";#N/A,#N/A,FALSE,"SUMMARY"}</definedName>
    <definedName name="WDESAX_2" localSheetId="4" hidden="1">{#N/A,#N/A,FALSE,"SUMMARY";#N/A,#N/A,FALSE,"SUMMARY"}</definedName>
    <definedName name="WDESAX_3" localSheetId="4" hidden="1">{#N/A,#N/A,FALSE,"SUMMARY";#N/A,#N/A,FALSE,"SUMMARY"}</definedName>
    <definedName name="WDESAX_4" localSheetId="4" hidden="1">{#N/A,#N/A,FALSE,"SUMMARY";#N/A,#N/A,FALSE,"SUMMARY"}</definedName>
    <definedName name="wdfgrtyghn" localSheetId="4" hidden="1">{"'7'!$B$15:$D$32"}</definedName>
    <definedName name="WDSX" localSheetId="4" hidden="1">{#N/A,#N/A,FALSE,"PGW"}</definedName>
    <definedName name="WDSX_1" localSheetId="4" hidden="1">{#N/A,#N/A,FALSE,"PGW"}</definedName>
    <definedName name="WDSX_2" localSheetId="4" hidden="1">{#N/A,#N/A,FALSE,"PGW"}</definedName>
    <definedName name="WDSX_3" localSheetId="4" hidden="1">{#N/A,#N/A,FALSE,"PGW"}</definedName>
    <definedName name="WDSX_4" localSheetId="4" hidden="1">{#N/A,#N/A,FALSE,"PGW"}</definedName>
    <definedName name="WDWD" localSheetId="4" hidden="1">{#N/A,#N/A,FALSE,"PGW"}</definedName>
    <definedName name="we" localSheetId="4">City&amp;" "&amp;State</definedName>
    <definedName name="we.3" localSheetId="4" hidden="1">{#N/A,#N/A,FALSE,"PMW Gruppe 99_98";#N/A,#N/A,FALSE,"PMW KG 98_99";#N/A,#N/A,FALSE,"PMW Inc. 99_98";#N/A,#N/A,FALSE,"PMW VTECH 99_98";#N/A,#N/A,FALSE,"PMW Thail. 99_98";#N/A,#N/A,FALSE,"PMW Canada 99_98";#N/A,#N/A,FALSE,"Währungsabw. 99_98"}</definedName>
    <definedName name="we.gb.gg" localSheetId="4" hidden="1">{#N/A,#N/A,FALSE,"Umsatz HM";#N/A,#N/A,FALSE,"ER HM";#N/A,#N/A,FALSE,"EA HM  (2)";#N/A,#N/A,FALSE,"EA HM ";#N/A,#N/A,FALSE,"EA HM  (4)";#N/A,#N/A,FALSE,"EA HM  (3)";#N/A,#N/A,FALSE,"KA HM  (2)";#N/A,#N/A,FALSE,"KA HM";#N/A,#N/A,FALSE,"KA HM  (3)";#N/A,#N/A,FALSE,"KA HM (4)"}</definedName>
    <definedName name="we3x" localSheetId="4" hidden="1">{"QTD_LPO2N2",#N/A,FALSE,"QTD"}</definedName>
    <definedName name="weaw" localSheetId="4" hidden="1">{"YTD",#N/A,FALSE,"SUM"}</definedName>
    <definedName name="weawe" localSheetId="4" hidden="1">{"QTD_HYCO",#N/A,FALSE,"QTD"}</definedName>
    <definedName name="web" localSheetId="4" hidden="1">{#N/A,#N/A,FALSE,"Taxblinc";#N/A,#N/A,FALSE,"Rsvsacls"}</definedName>
    <definedName name="wec"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localSheetId="4" hidden="1">{"QTD_PRS",#N/A,FALSE,"QTD"}</definedName>
    <definedName name="wecsd" localSheetId="4" hidden="1">{"sales growth",#N/A,FALSE,"summary";"oper income",#N/A,FALSE,"summary";"oros rank",#N/A,FALSE,"summary";"net assets",#N/A,FALSE,"summary";"asset turnover",#N/A,FALSE,"summary";"orona",#N/A,FALSE,"summary"}</definedName>
    <definedName name="wed.2"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s" localSheetId="4" hidden="1">{"overview",#N/A,FALSE,"summary";"net assets",#N/A,FALSE,"summary";"asset turnover",#N/A,FALSE,"summary";"orona",#N/A,FALSE,"summary"}</definedName>
    <definedName name="WEDWQDX" localSheetId="4" hidden="1">{#N/A,#N/A,FALSE,"OSBL"}</definedName>
    <definedName name="WEDWQDX_1" localSheetId="4" hidden="1">{#N/A,#N/A,FALSE,"OSBL"}</definedName>
    <definedName name="WEDWQDX_2" localSheetId="4" hidden="1">{#N/A,#N/A,FALSE,"OSBL"}</definedName>
    <definedName name="WEDWQDX_3" localSheetId="4" hidden="1">{#N/A,#N/A,FALSE,"OSBL"}</definedName>
    <definedName name="WEDWQDX_4" localSheetId="4" hidden="1">{#N/A,#N/A,FALSE,"OSBL"}</definedName>
    <definedName name="wee" localSheetId="4" hidden="1">{#N/A,#N/A,FALSE,"KA CH  (2)"}</definedName>
    <definedName name="weix" localSheetId="4" hidden="1">{"Comp_of_Price_Effect",#N/A,FALSE,"QTRDPVAR"}</definedName>
    <definedName name="wen.gb._hm." localSheetId="4" hidden="1">{#N/A,#N/A,FALSE,"Umsatz HM";#N/A,#N/A,FALSE,"ER HM";#N/A,#N/A,FALSE,"EA HM  (2)";#N/A,#N/A,FALSE,"EA HM ";#N/A,#N/A,FALSE,"EA HM  (4)";#N/A,#N/A,FALSE,"EA HM  (3)";#N/A,#N/A,FALSE,"KA HM  (2)";#N/A,#N/A,FALSE,"KA HM";#N/A,#N/A,FALSE,"KA HM  (3)";#N/A,#N/A,FALSE,"KA HM (4)"}</definedName>
    <definedName name="weop" localSheetId="4" hidden="1">{"oct_res_comm",#N/A,FALSE,"VarToBud"}</definedName>
    <definedName name="wer" localSheetId="4" hidden="1">{#N/A,#N/A,FALSE,"Umsatz 99";#N/A,#N/A,FALSE,"ER 99 "}</definedName>
    <definedName name="wer.g" localSheetId="4" hidden="1">{#N/A,#N/A,FALSE,"KA CH  (2)"}</definedName>
    <definedName name="wer_1" localSheetId="4" hidden="1">{#N/A,#N/A,FALSE,"Staffnos &amp; cost"}</definedName>
    <definedName name="werfwe" localSheetId="4" hidden="1">{#N/A,#N/A,FALSE,"COMP"}</definedName>
    <definedName name="werrr" localSheetId="4" hidden="1">{#N/A,#N/A,FALSE,"Pharm";#N/A,#N/A,FALSE,"WWCM"}</definedName>
    <definedName name="wert" localSheetId="4" hidden="1">{#N/A,"PURADD",FALSE,"Business Analysis";#N/A,"PURSPP",FALSE,"Business Analysis";#N/A,"CTGIND",FALSE,"Business Analysis";#N/A,"PURCHM",FALSE,"Business Analysis";#N/A,"SPADD",FALSE,"Business Analysis";#N/A,"EPOXY",FALSE,"Business Analysis";#N/A,"PURPER",FALSE,"Business Analysis"}</definedName>
    <definedName name="werwe" localSheetId="4" hidden="1">{#N/A,#N/A,FALSE,"COMP"}</definedName>
    <definedName name="wew"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e" localSheetId="4" hidden="1">{"LOUISIANA",#N/A,FALSE,"CM"}</definedName>
    <definedName name="wews" localSheetId="4" hidden="1">{"pro_view",#N/A,FALSE,"EEFSNAP2";"rep_view",#N/A,FALSE,"EEFSNAP2"}</definedName>
    <definedName name="weza" localSheetId="4" hidden="1">{"QTD_PACKAGE",#N/A,FALSE,"QTD"}</definedName>
    <definedName name="weze" localSheetId="4" hidden="1">{#N/A,"PURADD",FALSE,"Business Analysis";#N/A,"PURSPP",FALSE,"Business Analysis";#N/A,"CTGIND",FALSE,"Business Analysis";#N/A,"PURCHM",FALSE,"Business Analysis";#N/A,"SPADD",FALSE,"Business Analysis";#N/A,"EPOXY",FALSE,"Business Analysis";#N/A,"PURPER",FALSE,"Business Analysis"}</definedName>
    <definedName name="wezf" localSheetId="4" hidden="1">{"YD PACKAGE",#N/A,FALSE,"YTD"}</definedName>
    <definedName name="WF" localSheetId="4">{0;0;0;0;1;1;0;0;0.6;0.3;2;FALSE;FALSE;FALSE;FALSE;FALSE;#N/A;1;100;#N/A;#N/A;"";""}</definedName>
    <definedName name="wgbwt" localSheetId="4" hidden="1">{#N/A,#N/A,FALSE,"ISBL"}</definedName>
    <definedName name="wgbwt_1" localSheetId="4" hidden="1">{#N/A,#N/A,FALSE,"ISBL"}</definedName>
    <definedName name="wgbwt_2" localSheetId="4" hidden="1">{#N/A,#N/A,FALSE,"ISBL"}</definedName>
    <definedName name="wgbwt_3" localSheetId="4" hidden="1">{#N/A,#N/A,FALSE,"ISBL"}</definedName>
    <definedName name="wgbwt_4" localSheetId="4" hidden="1">{#N/A,#N/A,FALSE,"ISBL"}</definedName>
    <definedName name="whatever" localSheetId="4" hidden="1">{#N/A,#N/A,FALSE,"Australia";#N/A,#N/A,FALSE,"Austria";#N/A,#N/A,FALSE,"Belgium";#N/A,#N/A,FALSE,"Canada";#N/A,#N/A,FALSE,"France";#N/A,#N/A,FALSE,"Germany";#N/A,#N/A,FALSE,"Hong Kong";#N/A,#N/A,FALSE,"Italy";#N/A,#N/A,FALSE,"Japan";#N/A,#N/A,FALSE,"Korea";#N/A,#N/A,FALSE,"Mexico";#N/A,#N/A,FALSE,"Poland";#N/A,#N/A,FALSE,"Spain";#N/A,#N/A,FALSE,"Switzerland";#N/A,#N/A,FALSE,"UK"}</definedName>
    <definedName name="woi" localSheetId="4" hidden="1">{"detail",#N/A,FALSE,"mfg";"summary",#N/A,FALSE,"mfg"}</definedName>
    <definedName name="womxien" localSheetId="4" hidden="1">{"detail",#N/A,FALSE,"mfg";"summary",#N/A,FALSE,"mfg"}</definedName>
    <definedName name="work" localSheetId="4" hidden="1">{#N/A,#N/A,FALSE,"CDA Plan"}</definedName>
    <definedName name="working" localSheetId="4" hidden="1">{#N/A,#N/A,FALSE,"REPORT"}</definedName>
    <definedName name="workstatus" localSheetId="4">City&amp;" "&amp;State</definedName>
    <definedName name="wq" localSheetId="4" hidden="1">{"PRS",#N/A,FALSE,"CM"}</definedName>
    <definedName name="wqa" localSheetId="4" hidden="1">{#N/A,"PURCHM",FALSE,"Business Analysis";#N/A,"SPADD",FALSE,"Business Analysis"}</definedName>
    <definedName name="wqc" localSheetId="4" hidden="1">{"ACT",#N/A,FALSE,"Q3Elec P&amp;L fy 99  ";"BUD",#N/A,FALSE,"Q3Elec P&amp;L fy 99  ";"PRIOR",#N/A,FALSE,"Q3Elec P&amp;L fy 99  "}</definedName>
    <definedName name="wqd" localSheetId="4" hidden="1">{"OTHER",#N/A,FALSE,"CM"}</definedName>
    <definedName name="WQDAW" localSheetId="4" hidden="1">{#N/A,#N/A,FALSE,"ISBL"}</definedName>
    <definedName name="WQDAW_1" localSheetId="4" hidden="1">{#N/A,#N/A,FALSE,"ISBL"}</definedName>
    <definedName name="WQDAW_2" localSheetId="4" hidden="1">{#N/A,#N/A,FALSE,"ISBL"}</definedName>
    <definedName name="WQDAW_3" localSheetId="4" hidden="1">{#N/A,#N/A,FALSE,"ISBL"}</definedName>
    <definedName name="WQDAW_4" localSheetId="4" hidden="1">{#N/A,#N/A,FALSE,"ISBL"}</definedName>
    <definedName name="WQDSA" localSheetId="4" hidden="1">{#N/A,#N/A,FALSE,"PGW"}</definedName>
    <definedName name="WQDSA_1" localSheetId="4" hidden="1">{#N/A,#N/A,FALSE,"PGW"}</definedName>
    <definedName name="WQDSA_2" localSheetId="4" hidden="1">{#N/A,#N/A,FALSE,"PGW"}</definedName>
    <definedName name="WQDSA_3" localSheetId="4" hidden="1">{#N/A,#N/A,FALSE,"PGW"}</definedName>
    <definedName name="WQDSA_4" localSheetId="4" hidden="1">{#N/A,#N/A,FALSE,"PGW"}</definedName>
    <definedName name="WQDWAX"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4" hidden="1">{#N/A,#N/A,FALSE,"FREE"}</definedName>
    <definedName name="WQEFAS_1" localSheetId="4" hidden="1">{#N/A,#N/A,FALSE,"FREE"}</definedName>
    <definedName name="WQEFAS_2" localSheetId="4" hidden="1">{#N/A,#N/A,FALSE,"FREE"}</definedName>
    <definedName name="WQEFAS_3" localSheetId="4" hidden="1">{#N/A,#N/A,FALSE,"FREE"}</definedName>
    <definedName name="WQEFAS_4" localSheetId="4" hidden="1">{#N/A,#N/A,FALSE,"FREE"}</definedName>
    <definedName name="wqeq" localSheetId="4" hidden="1">{"Commentary",#N/A,FALSE,"May"}</definedName>
    <definedName name="wqer" localSheetId="4" hidden="1">{"TXO2N2_SLS",#N/A,FALSE,"MTHLYSLES";"TXH2_SLS",#N/A,FALSE,"MTHLYSLES";"LOUIS_SLS",#N/A,FALSE,"MTHLYSLES";"H2_SLS",#N/A,FALSE,"MTHLYSLES";"O2N2_SLS",#N/A,FALSE,"MTHLYSLES";"PACKAGE_SLS",#N/A,FALSE,"MTHLYSLES"}</definedName>
    <definedName name="wqwq" localSheetId="4" hidden="1">{"BA detail",#N/A,FALSE,"Q3YTD "}</definedName>
    <definedName name="wqwwj" localSheetId="4" hidden="1">{"'7'!$B$15:$D$32"}</definedName>
    <definedName name="wqx" localSheetId="4" hidden="1">{"Comp_of_Price_Effect",#N/A,FALSE,"QTRDPVAR"}</definedName>
    <definedName name="wr" localSheetId="4" hidden="1">{#N/A,#N/A,FALSE,"COMP"}</definedName>
    <definedName name="wr34ar" localSheetId="4" hidden="1">{"QTD_LOUISIANA",#N/A,FALSE,"QTD"}</definedName>
    <definedName name="wradw" localSheetId="4" hidden="1">{"YD LAPO2",#N/A,FALSE,"YTD";"YD LPH2",#N/A,FALSE,"YTD";"YD LOUISIANA",#N/A,FALSE,"YTD";"YD GENERALH2",#N/A,FALSE,"YTD";"YD PRS",#N/A,FALSE,"YTD";"YD PACKAGE",#N/A,FALSE,"YTD";"YD OTHER",#N/A,FALSE,"YTD"}</definedName>
    <definedName name="wrc" localSheetId="4" hidden="1">{#N/A,#N/A,FALSE,"TECH CENTRE RXDU66";#N/A,#N/A,FALSE,"ASU VAAX66";#N/A,#N/A,FALSE,"TCM VAKX66"}</definedName>
    <definedName name="wrd" localSheetId="4" hidden="1">{#N/A,#N/A,FALSE,"INPUTS";#N/A,#N/A,FALSE,"PROFORMA BSHEET";#N/A,#N/A,FALSE,"COMBINED";#N/A,#N/A,FALSE,"HIGH YIELD";#N/A,#N/A,FALSE,"COMB_GRAPHS"}</definedName>
    <definedName name="wrd.2._.pagers.3" localSheetId="4" hidden="1">{"Cover",#N/A,FALSE,"Cover";"Summary",#N/A,FALSE,"Summarpage"}</definedName>
    <definedName name="wrewrw" localSheetId="4" hidden="1">{"QTR_ACT",#N/A,FALSE,"PROP_PBIT_DEV_Q3";"QTR_BUD",#N/A,FALSE,"PROP_PBIT_DEV_Q3";"YTD_BUD",#N/A,FALSE,"PROP_PBIT_DEV_Q3";"YTD_ACT",#N/A,FALSE,"PROP_PBIT_DEV_Q3";"FY95 SNAP3",#N/A,FALSE,"PROP_PBIT_DEV_Q3";"FY95_BUD",#N/A,FALSE,"PROP_PBIT_DEV_Q3";"FY96_BUD",#N/A,FALSE,"PROP_PBIT_DEV_Q3"}</definedName>
    <definedName name="wrf" localSheetId="4" hidden="1">{#N/A,"PURCHM",FALSE,"Business Analysis";#N/A,"SPADD",FALSE,"Business Analysis"}</definedName>
    <definedName name="WRI" localSheetId="4" hidden="1">{#N/A,#N/A,FALSE,"COMP"}</definedName>
    <definedName name="wrm.pucspaddq2" localSheetId="4" hidden="1">{#N/A,"PURCHM",FALSE,"Business Analysis";#N/A,"SPADD",FALSE,"Business Analysis"}</definedName>
    <definedName name="wrn.091598." localSheetId="4" hidden="1">{#N/A,"1500-1700-45",FALSE,"CF Model";#N/A,"1500-1700-33",FALSE,"CF Model";#N/A,"1500-2300-45",FALSE,"CF Model";#N/A,"1500-2300-33",FALSE,"CF Model";#N/A,"1500-2900-45",FALSE,"CF Model";#N/A,"1500-2900-33",FALSE,"CF Model";#N/A,"1500-3500-45",FALSE,"CF Model";#N/A,"1500-3500-33",FALSE,"CF Model";#N/A,"3000-1700-45",FALSE,"CF Model";#N/A,"3000-1700-33",FALSE,"CF Model";#N/A,"3000-2300-45",FALSE,"CF Model";#N/A,"3000-2300-33",FALSE,"CF Model";#N/A,"3000-2900-45",FALSE,"CF Model";#N/A,"3000-2900-33",FALSE,"CF Model";#N/A,"3000-3500-45",FALSE,"CF Model";#N/A,"3000-3500-33",FALSE,"CF Model";#N/A,"6000-1700-45",FALSE,"CF Model";#N/A,"6000-1700-33",FALSE,"CF Model";#N/A,"6000-2300-45",FALSE,"CF Model";#N/A,"6000-2300-33",FALSE,"CF Model";#N/A,"6000-2900-45",FALSE,"CF Model";#N/A,"6000-2900-33",FALSE,"CF Model";#N/A,"6000-3500-45",FALSE,"CF Model";#N/A,"6000-3500-33",FALSE,"CF Model";#N/A,"9000-1700-45",FALSE,"CF Model";#N/A,"9000-1700-33",FALSE,"CF Model";#N/A,"9000-2300-45",FALSE,"CF Model";#N/A,"9000-2300-33",FALSE,"CF Model";#N/A,"9000-2900-45",FALSE,"CF Model";#N/A,"9000-2900-33",FALSE,"CF Model";#N/A,"9000-3500-45",FALSE,"CF Model";#N/A,"9000-3500-33",FALSE,"CF Model"}</definedName>
    <definedName name="wrn.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localSheetId="4" hidden="1">{#N/A,#N/A,FALSE,"Calc";#N/A,#N/A,FALSE,"Sensitivity";#N/A,#N/A,FALSE,"LT Earn.Dil.";#N/A,#N/A,FALSE,"Dil. AVP"}</definedName>
    <definedName name="wrn.10." localSheetId="4" hidden="1">{"cover",#N/A,TRUE,"Cover";"toc3",#N/A,TRUE,"TOC";"over",#N/A,TRUE,"Overview";"ts2",#N/A,TRUE,"Det_Trans_Sum";"ei1c",#N/A,TRUE,"Earnings Impact";"ad1",#N/A,TRUE,"accretion dilution";"pfis1",#N/A,TRUE,"Pro Forma Income Statement";"acq1c",#N/A,TRUE,"Acquirer";"tar1c",#N/A,TRUE,"Target"}</definedName>
    <definedName name="wrn.11." localSheetId="4" hidden="1">{"cover",#N/A,TRUE,"Cover";"toc3",#N/A,TRUE,"TOC";"over",#N/A,TRUE,"Overview";"ts2",#N/A,TRUE,"Det_Trans_Sum";"ei2c",#N/A,TRUE,"Earnings Impact";"ad2",#N/A,TRUE,"accretion dilution";"pfis2",#N/A,TRUE,"Pro Forma Income Statement";"acq2c",#N/A,TRUE,"Acquirer";"tar2c",#N/A,TRUE,"Target"}</definedName>
    <definedName name="wrn.111111" localSheetId="4" hidden="1">{#N/A,#N/A,FALSE,"Pharm";#N/A,#N/A,FALSE,"WWCM"}</definedName>
    <definedName name="wrn.12." localSheetId="4" hidden="1">{"cover",#N/A,TRUE,"Cover";"toc3",#N/A,TRUE,"TOC";"over",#N/A,TRUE,"Overview";"ts2",#N/A,TRUE,"Det_Trans_Sum";"ei3c",#N/A,TRUE,"Earnings Impact";"ad3",#N/A,TRUE,"accretion dilution";"pfis3",#N/A,TRUE,"Pro Forma Income Statement";"acq3c",#N/A,TRUE,"Acquirer";"tar3c",#N/A,TRUE,"Target"}</definedName>
    <definedName name="wrn.13." localSheetId="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4" hidden="1">{"cover",#N/A,TRUE,"Cover";"toc5",#N/A,TRUE,"TOC";"over",#N/A,TRUE,"Overview";"ts2",#N/A,TRUE,"Det_Trans_Sum";"eic",#N/A,TRUE,"Earnings Impact";"ad",#N/A,TRUE,"accretion dilution";"pfis",#N/A,TRUE,"Pro Forma Income Statement";"ca",#N/A,TRUE,"Contribution_Analysis";"acqc",#N/A,TRUE,"Acquirer";"tarc",#N/A,TRUE,"Target"}</definedName>
    <definedName name="wrn.18." localSheetId="4" hidden="1">{"cover",#N/A,TRUE,"Cover";"toc5",#N/A,TRUE,"TOC";"over",#N/A,TRUE,"Overview";"ts2",#N/A,TRUE,"Det_Trans_Sum";"ei1c",#N/A,TRUE,"Earnings Impact";"ad1",#N/A,TRUE,"accretion dilution";"pfis1",#N/A,TRUE,"Pro Forma Income Statement";"ca1",#N/A,TRUE,"Contribution_Analysis";"acq1c",#N/A,TRUE,"Acquirer";"tar1c",#N/A,TRUE,"Target"}</definedName>
    <definedName name="wrn.19." localSheetId="4" hidden="1">{"cover",#N/A,TRUE,"Cover";"toc5",#N/A,TRUE,"TOC";"ts2",#N/A,TRUE,"Det_Trans_Sum";"over",#N/A,TRUE,"Overview";"ei2c",#N/A,TRUE,"Earnings Impact";"ad2",#N/A,TRUE,"accretion dilution";"pfis2",#N/A,TRUE,"Pro Forma Income Statement";"ca2",#N/A,TRUE,"Contribution_Analysis";"acq2c",#N/A,TRUE,"Acquirer";"tar2c",#N/A,TRUE,"Target"}</definedName>
    <definedName name="wrn.1996._.BUDGET." localSheetId="4" hidden="1">{"SUMMARY",#N/A,TRUE,"SUMMARY";"compare",#N/A,TRUE,"Vs. Bus Plan";"ratios",#N/A,TRUE,"Ratios";"REVENUE",#N/A,TRUE,"Revenue";"expenses",#N/A,TRUE,"1996 budget";"payroll",#N/A,TRUE,"Payroll"}</definedName>
    <definedName name="wrn.1996._.TO._.2004." localSheetId="4" hidden="1">{"ten year ratios",#N/A,TRUE,"PROFIT_LOSS";"ten year ratios",#N/A,TRUE,"Ratios";"ten yr opex and capex",#N/A,TRUE,"1996 budget";"ten year revenues",#N/A,TRUE,"Revenue_1996-2004";"ten year payroll",#N/A,TRUE,"Payroll"}</definedName>
    <definedName name="wrn.2." localSheetId="4" hidden="1">{"cover",#N/A,TRUE,"Cover";"toc1",#N/A,TRUE,"TOC";"ts1",#N/A,TRUE,"Transaction Summary";"ei1",#N/A,TRUE,"Earnings Impact";"ad1",#N/A,TRUE,"accretion dilution"}</definedName>
    <definedName name="wrn.2._.pagers." localSheetId="4" hidden="1">{"Cover",#N/A,FALSE,"Cover";"Summary",#N/A,FALSE,"Summarpage"}</definedName>
    <definedName name="wrn.2._.pagers.2" localSheetId="4" hidden="1">{"Cover",#N/A,FALSE,"Cover";"Summary",#N/A,FALSE,"Summarpage"}</definedName>
    <definedName name="wrn.20." localSheetId="4" hidden="1">{"cover",#N/A,TRUE,"Cover";"toc5",#N/A,TRUE,"TOC";"over",#N/A,TRUE,"Overview";"ts2",#N/A,TRUE,"Det_Trans_Sum";"ei3c",#N/A,TRUE,"Earnings Impact";"ad3",#N/A,TRUE,"accretion dilution";"pfis3",#N/A,TRUE,"Pro Forma Income Statement";"ca3",#N/A,TRUE,"Contribution_Analysis";"acq3c",#N/A,TRUE,"Acquirer";"tar3c",#N/A,TRUE,"Target"}</definedName>
    <definedName name="wrn.21." localSheetId="4"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4" hidden="1">{"cover",#N/A,TRUE,"Cover";"toc3",#N/A,TRUE,"TOC";"over",#N/A,TRUE,"Overview";"ts2",#N/A,TRUE,"Det_Trans_Sum";"ei",#N/A,TRUE,"Earnings Impact";"ad",#N/A,TRUE,"accretion dilution";"pfis",#N/A,TRUE,"Pro Forma Income Statement";"acq",#N/A,TRUE,"Acquirer";"tar",#N/A,TRUE,"Target"}</definedName>
    <definedName name="wrn.26." localSheetId="4" hidden="1">{"cover",#N/A,TRUE,"Cover";"toc3",#N/A,TRUE,"TOC";"over",#N/A,TRUE,"Overview";"ts2",#N/A,TRUE,"Det_Trans_Sum";"ei1",#N/A,TRUE,"Earnings Impact";"ad1",#N/A,TRUE,"accretion dilution";"pfis1",#N/A,TRUE,"Pro Forma Income Statement";"acq1",#N/A,TRUE,"Acquirer";"tar1",#N/A,TRUE,"Target"}</definedName>
    <definedName name="wrn.27." localSheetId="4" hidden="1">{"cover",#N/A,TRUE,"Cover";"toc3",#N/A,TRUE,"TOC";"over",#N/A,TRUE,"Overview";"ts2",#N/A,TRUE,"Det_Trans_Sum";"ei2",#N/A,TRUE,"Earnings Impact";"ad2",#N/A,TRUE,"accretion dilution";"pfis2",#N/A,TRUE,"Pro Forma Income Statement";"acq2",#N/A,TRUE,"Acquirer";"tar2",#N/A,TRUE,"Target"}</definedName>
    <definedName name="wrn.28." localSheetId="4" hidden="1">{"cover",#N/A,TRUE,"Cover";"toc3",#N/A,TRUE,"TOC";"over",#N/A,TRUE,"Overview";"ts2",#N/A,TRUE,"Det_Trans_Sum";"ei3",#N/A,TRUE,"Earnings Impact";"ad3",#N/A,TRUE,"accretion dilution";"pfis3",#N/A,TRUE,"Pro Forma Income Statement";"acq3",#N/A,TRUE,"Acquirer";"tar3",#N/A,TRUE,"Target"}</definedName>
    <definedName name="wrn.29." localSheetId="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4" hidden="1">{"cover",#N/A,TRUE,"Cover";"toc1",#N/A,TRUE,"TOC";"ts1",#N/A,TRUE,"Transaction Summary";"ei2",#N/A,TRUE,"Earnings Impact";"ad2",#N/A,TRUE,"accretion dilution"}</definedName>
    <definedName name="wrn.30." localSheetId="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4" hidden="1">{"cover",#N/A,TRUE,"Cover";"toc5",#N/A,TRUE,"TOC";"over",#N/A,TRUE,"Overview";"ts2",#N/A,TRUE,"Det_Trans_Sum";"ei",#N/A,TRUE,"Earnings Impact";"ad",#N/A,TRUE,"accretion dilution";"pfis",#N/A,TRUE,"Pro Forma Income Statement";"ca",#N/A,TRUE,"Contribution_Analysis";"acq",#N/A,TRUE,"Acquirer";"tar",#N/A,TRUE,"Target"}</definedName>
    <definedName name="wrn.34." localSheetId="4" hidden="1">{"cover",#N/A,TRUE,"Cover";"toc5",#N/A,TRUE,"TOC";"over",#N/A,TRUE,"Overview";"ts2",#N/A,TRUE,"Det_Trans_Sum";"ei1",#N/A,TRUE,"Earnings Impact";"ad1",#N/A,TRUE,"accretion dilution";"pfis1",#N/A,TRUE,"Pro Forma Income Statement";"ca1",#N/A,TRUE,"Contribution_Analysis";"acq1",#N/A,TRUE,"Acquirer";"tar1",#N/A,TRUE,"Target"}</definedName>
    <definedName name="wrn.35." localSheetId="4" hidden="1">{"cover",#N/A,TRUE,"Cover";"toc5",#N/A,TRUE,"TOC";"over",#N/A,TRUE,"Overview";"ts2",#N/A,TRUE,"Det_Trans_Sum";"ei2",#N/A,TRUE,"Earnings Impact";"ad2",#N/A,TRUE,"accretion dilution";"pfis2",#N/A,TRUE,"Pro Forma Income Statement";"ca2",#N/A,TRUE,"Contribution_Analysis";"acq2",#N/A,TRUE,"Acquirer";"tar2",#N/A,TRUE,"Target"}</definedName>
    <definedName name="wrn.36." localSheetId="4" hidden="1">{"cover",#N/A,TRUE,"Cover";"toc5",#N/A,TRUE,"TOC";"over",#N/A,TRUE,"Overview";"ts2",#N/A,TRUE,"Det_Trans_Sum";"ei3",#N/A,TRUE,"Earnings Impact";"ad3",#N/A,TRUE,"accretion dilution";"pfis3",#N/A,TRUE,"Pro Forma Income Statement";"ca3",#N/A,TRUE,"Contribution_Analysis";"acq3",#N/A,TRUE,"Acquirer";"tar3",#N/A,TRUE,"Target"}</definedName>
    <definedName name="wrn.37." localSheetId="4"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4"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4" hidden="1">{"cover",#N/A,TRUE,"Cover";"toc6",#N/A,TRUE,"TOC";"over",#N/A,TRUE,"Overview";"ts2",#N/A,TRUE,"Det_Trans_Sum";"ei2",#N/A,TRUE,"Earnings Impact";"ad2",#N/A,TRUE,"accretion dilution";"hg2",#N/A,TRUE,"Has-Gets";"pfis2",#N/A,TRUE,"Pro Forma Income Statement";"ca2",#N/A,TRUE,"Contribution_Analysis";"acq2",#N/A,TRUE,"Acquirer";"tar2",#N/A,TRUE,"Target"}</definedName>
    <definedName name="wrn.4." localSheetId="4" hidden="1">{"toc1",#N/A,FALSE,"TOC";"cover",#N/A,FALSE,"Cover";"ts1",#N/A,FALSE,"Transaction Summary";"ei3",#N/A,FALSE,"Earnings Impact";"ad3",#N/A,FALSE,"accretion dilution"}</definedName>
    <definedName name="wrn.40." localSheetId="4"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4" hidden="1">{"cover",#N/A,TRUE,"Cover";"toc7",#N/A,TRUE,"TOC";"over",#N/A,TRUE,"Overview";"ts2",#N/A,TRUE,"Det_Trans_Sum";"eic",#N/A,TRUE,"Earnings Impact";"ad",#N/A,TRUE,"accretion dilution";"pfis",#N/A,TRUE,"Pro Forma Income Statement";"profba",#N/A,TRUE,"Pro Forma Balance Sheet";"acqc",#N/A,TRUE,"Acquirer";"tarc",#N/A,TRUE,"Target"}</definedName>
    <definedName name="wrn.42." localSheetId="4"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4"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localSheetId="4" hidden="1">{"cover",#N/A,TRUE,"Cover";"toc2",#N/A,TRUE,"TOC";"ts1",#N/A,TRUE,"Transaction Summary";"ei",#N/A,TRUE,"Earnings Impact";"ad",#N/A,TRUE,"accretion dilution";"hg",#N/A,TRUE,"Has-Gets"}</definedName>
    <definedName name="wrn.50." localSheetId="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4" hidden="1">{"cover",#N/A,TRUE,"Cover";"toc7",#N/A,TRUE,"TOC";"over",#N/A,TRUE,"Overview";"ts2",#N/A,TRUE,"Det_Trans_Sum";"ei",#N/A,TRUE,"Earnings Impact";"ad",#N/A,TRUE,"accretion dilution";"pfis",#N/A,TRUE,"Pro Forma Income Statement";"profba",#N/A,TRUE,"Pro Forma Balance Sheet";"acq",#N/A,TRUE,"Acquirer";"tar",#N/A,TRUE,"Target"}</definedName>
    <definedName name="wrn.58." localSheetId="4"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4" hidden="1">{"cover",#N/A,TRUE,"Cover";"toc7",#N/A,TRUE,"TOC";"over",#N/A,TRUE,"Overview";"ts2",#N/A,TRUE,"Det_Trans_Sum";"ei2",#N/A,TRUE,"Earnings Impact";"ad2",#N/A,TRUE,"accretion dilution";"pfis2",#N/A,TRUE,"Pro Forma Income Statement";"profba",#N/A,TRUE,"Pro Forma Balance Sheet";"acq2",#N/A,TRUE,"Acquirer";"tar2",#N/A,TRUE,"Target"}</definedName>
    <definedName name="wrn.6." localSheetId="4" hidden="1">{"cover",#N/A,TRUE,"Cover";"toc2",#N/A,TRUE,"TOC";"ts1",#N/A,TRUE,"Transaction Summary";"ei1",#N/A,TRUE,"Earnings Impact";"ad1",#N/A,TRUE,"accretion dilution";"hg1",#N/A,TRUE,"Has-Gets"}</definedName>
    <definedName name="wrn.60." localSheetId="4"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4" hidden="1">{"cover",#N/A,TRUE,"Cover";"toc2",#N/A,TRUE,"TOC";"ts1",#N/A,TRUE,"Transaction Summary";"ei2c",#N/A,TRUE,"Earnings Impact";"ad2",#N/A,TRUE,"accretion dilution";"hg2",#N/A,TRUE,"Has-Gets"}</definedName>
    <definedName name="wrn.70." localSheetId="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localSheetId="4" hidden="1">{#N/A,#N/A,FALSE,"REPORT"}</definedName>
    <definedName name="wrn.731" localSheetId="4" hidden="1">{#N/A,#N/A,FALSE,"REPORT"}</definedName>
    <definedName name="wrn.750." localSheetId="4" hidden="1">{#N/A,#N/A,FALSE,"REPORT"}</definedName>
    <definedName name="wrn.7501" localSheetId="4" hidden="1">{#N/A,#N/A,FALSE,"REPORT"}</definedName>
    <definedName name="wrn.760.16." localSheetId="4" hidden="1">{#N/A,#N/A,FALSE,"REPORT"}</definedName>
    <definedName name="wrn.7900" localSheetId="4" hidden="1">{#N/A,#N/A,FALSE,"REPORT"}</definedName>
    <definedName name="wrn.8." localSheetId="4" hidden="1">{"cover",#N/A,TRUE,"Cover";"toc2",#N/A,TRUE,"TOC";"ts1",#N/A,TRUE,"Transaction Summary";"ei3",#N/A,TRUE,"Earnings Impact";"ad3",#N/A,TRUE,"accretion dilution";"hg3",#N/A,TRUE,"Has-Gets"}</definedName>
    <definedName name="wrn.9." localSheetId="4" hidden="1">{"cover",#N/A,TRUE,"Cover";"toc3",#N/A,TRUE,"TOC";"over",#N/A,TRUE,"Overview";"ts2",#N/A,TRUE,"Det_Trans_Sum";"eic",#N/A,TRUE,"Earnings Impact";"ad",#N/A,TRUE,"accretion dilution";"pfis",#N/A,TRUE,"Pro Forma Income Statement";"acqc",#N/A,TRUE,"Acquirer";"tarc",#N/A,TRUE,"Target"}</definedName>
    <definedName name="wrn.905" localSheetId="4" hidden="1">{#N/A,#N/A,FALSE,"REPORT"}</definedName>
    <definedName name="wrn.95PROV." localSheetId="4" hidden="1">{#N/A,#N/A,FALSE,"Taxblinc";#N/A,#N/A,FALSE,"Rsvsacls"}</definedName>
    <definedName name="wrn.99._.IG._.Contracts." localSheetId="4" hidden="1">{#N/A,#N/A,FALSE,"COL";#N/A,#N/A,FALSE,"MIN";#N/A,#N/A,FALSE,"STC";#N/A,#N/A,FALSE,"MED";#N/A,#N/A,FALSE,"PHX";#N/A,#N/A,FALSE,"SEA";#N/A,#N/A,FALSE,"OMA";#N/A,#N/A,FALSE,"EGS";#N/A,#N/A,FALSE,"SAL";#N/A,#N/A,FALSE,"DUL";#N/A,#N/A,FALSE,"SFE";#N/A,#N/A,FALSE,"GRE";#N/A,#N/A,FALSE,"KSP";#N/A,#N/A,FALSE,"SKI";#N/A,#N/A,FALSE,"STP";#N/A,#N/A,FALSE,"TUC";#N/A,#N/A,FALSE,"TUC-Hispanic";#N/A,#N/A,FALSE,"SPO";#N/A,#N/A,FALSE,"SLK ";#N/A,#N/A,FALSE,"MTC";#N/A,#N/A,FALSE,"TOTAL IG";#N/A,#N/A,FALSE,"99Print";#N/A,#N/A,FALSE,"IG Perf";#N/A,#N/A,FALSE,"OLY";#N/A,#N/A,FALSE,"DVP";#N/A,#N/A,FALSE,"SC";#N/A,#N/A,FALSE,"POR";#N/A,#N/A,FALSE,"DM";#N/A,#N/A,FALSE,"DEN";#N/A,#N/A,FALSE,"VAN";#N/A,#N/A,FALSE,"BOS";#N/A,#N/A,FALSE,"BDR";#N/A,#N/A,FALSE,"ALB";#N/A,#N/A,FALSE,"PUY";#N/A,#N/A,FALSE,"TAC"}</definedName>
    <definedName name="wrn.99999" localSheetId="4" hidden="1">{#N/A,#N/A,FALSE,"REPORT"}</definedName>
    <definedName name="wrn.AA." localSheetId="4" hidden="1">{#N/A,#N/A,FALSE,"PMTABB";#N/A,#N/A,FALSE,"PMTABB"}</definedName>
    <definedName name="wrn.AA._1" localSheetId="4" hidden="1">{#N/A,#N/A,FALSE,"PMTABB";#N/A,#N/A,FALSE,"PMTABB"}</definedName>
    <definedName name="wrn.AA._2" localSheetId="4" hidden="1">{#N/A,#N/A,FALSE,"PMTABB";#N/A,#N/A,FALSE,"PMTABB"}</definedName>
    <definedName name="wrn.AA._3" localSheetId="4" hidden="1">{#N/A,#N/A,FALSE,"PMTABB";#N/A,#N/A,FALSE,"PMTABB"}</definedName>
    <definedName name="wrn.AA._4" localSheetId="4" hidden="1">{#N/A,#N/A,FALSE,"PMTABB";#N/A,#N/A,FALSE,"PMTABB"}</definedName>
    <definedName name="wrn.aaa" localSheetId="4" hidden="1">{#N/A,#N/A,FALSE,"Pharm";#N/A,#N/A,FALSE,"WWCM"}</definedName>
    <definedName name="wrn.aaaaaaa" localSheetId="4" hidden="1">{#N/A,#N/A,FALSE,"Pharm";#N/A,#N/A,FALSE,"WWCM"}</definedName>
    <definedName name="wrn.AASFINANCIALS." localSheetId="4" hidden="1">{#N/A,#N/A,FALSE,"INCOME STATEMENT";#N/A,#N/A,FALSE,"DETAIL BALANCE SHEET";#N/A,#N/A,FALSE,"Summary Balance Sheet";#N/A,#N/A,FALSE,"EQUITY STATEMENT";#N/A,#N/A,FALSE,"AASINTERNAL"}</definedName>
    <definedName name="wrn.Accounts." localSheetId="4" hidden="1">{"turnover",#N/A,FALSE;"profits",#N/A,FALSE;"cash",#N/A,FALSE}</definedName>
    <definedName name="wrn.Act._.w._.Comments." localSheetId="4" hidden="1">{#N/A,#N/A,FALSE,"mar act"}</definedName>
    <definedName name="wrn.adj95." localSheetId="4" hidden="1">{"adj95mult",#N/A,FALSE,"COMPCO";"adj95est",#N/A,FALSE,"COMPCO"}</definedName>
    <definedName name="wrn.Administrators._.Data." localSheetId="4" hidden="1">{"Data Input Sheet 1",#N/A,FALSE,"Data Input - Sheet 1";"Plot Data Sheet 1",#N/A,FALSE,"Plot Data - Sheet 1";"Data Input Sheet 2",#N/A,FALSE,"Data Input - Sheet 2";"Plot Data Sheet 2",#N/A,FALSE,"Plot Data - Sheet 2"}</definedName>
    <definedName name="wrn.Aging" localSheetId="4"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_1" localSheetId="4" hidden="1">{#N/A,#N/A,FALSE,"Aging Summary";#N/A,#N/A,FALSE,"Ratio Analysis";#N/A,#N/A,FALSE,"Test 120 Day Accts";#N/A,#N/A,FALSE,"Tickmarks"}</definedName>
    <definedName name="wrn.Aging._.and._.Trend._.Analysis._2" localSheetId="4" hidden="1">{#N/A,#N/A,FALSE,"Aging Summary";#N/A,#N/A,FALSE,"Ratio Analysis";#N/A,#N/A,FALSE,"Test 120 Day Accts";#N/A,#N/A,FALSE,"Tickmarks"}</definedName>
    <definedName name="wrn.Aging._.and._.Trend._.Analysis._3" localSheetId="4" hidden="1">{#N/A,#N/A,FALSE,"Aging Summary";#N/A,#N/A,FALSE,"Ratio Analysis";#N/A,#N/A,FALSE,"Test 120 Day Accts";#N/A,#N/A,FALSE,"Tickmarks"}</definedName>
    <definedName name="wrn.Aging._.and._.Trend._.Analysis._4" localSheetId="4" hidden="1">{#N/A,#N/A,FALSE,"Aging Summary";#N/A,#N/A,FALSE,"Ratio Analysis";#N/A,#N/A,FALSE,"Test 120 Day Accts";#N/A,#N/A,FALSE,"Tickmarks"}</definedName>
    <definedName name="wrn.Aging._.and._.Trend._.Analysis.1" localSheetId="4" hidden="1">{#N/A,#N/A,FALSE,"Aging Summary";#N/A,#N/A,FALSE,"Ratio Analysis";#N/A,#N/A,FALSE,"Test 120 Day Accts";#N/A,#N/A,FALSE,"Tickmarks"}</definedName>
    <definedName name="wrn.All."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3._.years." localSheetId="4" hidden="1">{#N/A,#N/A,FALSE,"Worldwide FY00";#N/A,#N/A,FALSE,"Worldwide FY01";#N/A,#N/A,FALSE,"Worldwide FY02"}</definedName>
    <definedName name="wrn.All._.Countries." localSheetId="4" hidden="1">{#N/A,#N/A,FALSE,"Australia";#N/A,#N/A,FALSE,"Austria";#N/A,#N/A,FALSE,"Belgium";#N/A,#N/A,FALSE,"Canada";#N/A,#N/A,FALSE,"France";#N/A,#N/A,FALSE,"Germany";#N/A,#N/A,FALSE,"Hong Kong";#N/A,#N/A,FALSE,"Italy";#N/A,#N/A,FALSE,"Japan";#N/A,#N/A,FALSE,"Korea";#N/A,#N/A,FALSE,"Mexico";#N/A,#N/A,FALSE,"Poland";#N/A,#N/A,FALSE,"Spain";#N/A,#N/A,FALSE,"Switzerland";#N/A,#N/A,FALSE,"UK"}</definedName>
    <definedName name="wrn.all._.input." localSheetId="4"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4" hidden="1">{#N/A,#N/A,FALSE,"Summary";#N/A,#N/A,FALSE,"Fed.State Prov";#N/A,#N/A,FALSE,"Foreign Prov";#N/A,#N/A,FALSE,"Thera Fgrn";#N/A,#N/A,FALSE,"CCD Fgrn";#N/A,#N/A,FALSE,"Biocine Fgrn";#N/A,#N/A,FALSE,"Vision Fgrn";#N/A,#N/A,FALSE,"Frgn vs Dom"}</definedName>
    <definedName name="wrn.All._.PnLs." localSheetId="4" hidden="1">{"Sep 98 Segment PnL",#N/A,FALSE,"Full Income Statements";"Sep 99 Segment PnL",#N/A,FALSE,"Full Income Statements";"Sep 98 PnL",#N/A,FALSE,"Full Income Statements";"Sep 99 PnL",#N/A,FALSE,"Full Income Statements"}</definedName>
    <definedName name="wrn.all._.reports." localSheetId="4" hidden="1">{"qty and inventory value",#N/A,FALSE,"MPartners";"general ledger entries",#N/A,FALSE,"MPartners"}</definedName>
    <definedName name="wrn.All._.sheets." localSheetId="4"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lides." localSheetId="4" hidden="1">{#N/A,#N/A,FALSE,"Trends";#N/A,#N/A,FALSE,"As Reported";#N/A,#N/A,FALSE,"(un) Commited"}</definedName>
    <definedName name="wrn.all._.views." localSheetId="4" hidden="1">{"vol data",#N/A,FALSE,"Datasheet";"vol graph",#N/A,FALSE,"Volume";"price data",#N/A,FALSE,"Datasheet";"price graph",#N/A,FALSE,"Price";"dp data",#N/A,FALSE,"Datasheet";"dp graph",#N/A,FALSE,"DirectProfit"}</definedName>
    <definedName name="wrn.all.1"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2" localSheetId="4" hidden="1">{#N/A,#N/A,FALSE,"DCF";#N/A,#N/A,FALSE,"WACC";#N/A,#N/A,FALSE,"Sales_EBIT";#N/A,#N/A,FALSE,"Capex_Depreciation";#N/A,#N/A,FALSE,"WC";#N/A,#N/A,FALSE,"Interest";#N/A,#N/A,FALSE,"Assumptions"}</definedName>
    <definedName name="wrn.ALL_RECOS."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wrn.All_Subscribe_Projects." localSheetId="4" hidden="1">{#N/A,#N/A,FALSE,"SUBSCRIBE";#N/A,#N/A,FALSE,"BARIMP";#N/A,#N/A,FALSE,"MTCIMP";#N/A,#N/A,FALSE,"MTCIMP1";#N/A,#N/A,FALSE,"RCTIMP";#N/A,#N/A,FALSE,"RCTSTUDY";#N/A,#N/A,FALSE,"SUBS2000";#N/A,#N/A,FALSE,"VUAIMP"}</definedName>
    <definedName name="wrn.ALL2." localSheetId="4" hidden="1">{#N/A,#N/A,FALSE,"DCF";#N/A,#N/A,FALSE,"WACC";#N/A,#N/A,FALSE,"Sales_EBIT";#N/A,#N/A,FALSE,"Capex_Depreciation";#N/A,#N/A,FALSE,"WC";#N/A,#N/A,FALSE,"Interest";#N/A,#N/A,FALSE,"Assumptions"}</definedName>
    <definedName name="wrn.all3" localSheetId="4" hidden="1">{#N/A,#N/A,FALSE,"assumptions";#N/A,#N/A,FALSE,"v_projcy";#N/A,#N/A,FALSE,"tar_proj";#N/A,#N/A,FALSE,"contrib_annual";#N/A,#N/A,FALSE,"Proforma";#N/A,#N/A,FALSE,"purc_97";#N/A,#N/A,FALSE,"syn_purc_97";#N/A,#N/A,FALSE,"pool_97";#N/A,#N/A,FALSE,"syn_pool_97";#N/A,#N/A,FALSE,"pool1_FY2"}</definedName>
    <definedName name="wrn.AllDataPages." localSheetId="4" hidden="1">{#N/A,#N/A,FALSE,"Balance Sheet";#N/A,#N/A,FALSE,"Income Statement";#N/A,#N/A,FALSE,"Changes in Financial Position"}</definedName>
    <definedName name="wrn.AMTNOL." localSheetId="4" hidden="1">{#N/A,#N/A,TRUE,"91AMTNOL";#N/A,#N/A,TRUE,"92AMTNOL";#N/A,#N/A,TRUE,"93AMTNOL"}</definedName>
    <definedName name="wrn.Annex2." localSheetId="4" hidden="1">{#N/A,#N/A,FALSE,"Annex-II"}</definedName>
    <definedName name="wrn.annual" localSheetId="4" hidden="1">{#N/A,#N/A,FALSE,"earnings"}</definedName>
    <definedName name="wrn.Annual._.Income._.Statement." localSheetId="4" hidden="1">{#N/A,#N/A,FALSE,"earnings"}</definedName>
    <definedName name="wrn.Annual._.revenue._.model." localSheetId="4" hidden="1">{#N/A,#N/A,FALSE,"earnings"}</definedName>
    <definedName name="wrn.ANZ._.Report." localSheetId="4" hidden="1">{#N/A,#N/A,FALSE,"Balance Sheets";#N/A,#N/A,FALSE,"96 Conservative";#N/A,#N/A,FALSE,"96 Possible"}</definedName>
    <definedName name="wrn.APCI._.Tab." localSheetId="4" hidden="1">{#N/A,#N/A,FALSE,"P and L ";#N/A,#N/A,FALSE,"Sales";#N/A,#N/A,FALSE,"Overheads";#N/A,#N/A,FALSE,"R and D";#N/A,#N/A,FALSE,"Operating Income";#N/A,#N/A,FALSE,"Equity Affiliate Income";"M Factors Print",#N/A,FALSE,"Major Factors"}</definedName>
    <definedName name="wrn.APCT." localSheetId="4" hidden="1">{"Page1",#N/A,FALSE,"APCT";"Page2",#N/A,FALSE,"APCT"}</definedName>
    <definedName name="wrn.APL." localSheetId="4" hidden="1">{"Page1",#N/A,FALSE,"APL";"Page2",#N/A,FALSE,"APL"}</definedName>
    <definedName name="wrn.ARGON._.PRICING." localSheetId="4" hidden="1">{"ARGON PRICING",#N/A,FALSE,"ARGON"}</definedName>
    <definedName name="wrn.ARGON._.REVENUE." localSheetId="4" hidden="1">{"ARGON REVENUE",#N/A,FALSE,"ARGON"}</definedName>
    <definedName name="wrn.ARGON._.VOLUME." localSheetId="4" hidden="1">{"ARGON VOLUME",#N/A,FALSE,"ARGON"}</definedName>
    <definedName name="wrn.ARGON_VOL" localSheetId="4" hidden="1">{"ARGON VOLUME",#N/A,FALSE,"ARGON"}</definedName>
    <definedName name="wrn.Asia." localSheetId="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_.Book." localSheetId="4" hidden="1">{#N/A,#N/A,FALSE,"Model Assumptions"}</definedName>
    <definedName name="wrn.audit._.adjustments." localSheetId="4" hidden="1">{#N/A,#N/A,TRUE,"Summary";#N/A,#N/A,TRUE,"Amort.";#N/A,#N/A,TRUE,"93TAX";#N/A,#N/A,TRUE,"93NOLCB";#N/A,#N/A,TRUE,"92TAX";#N/A,#N/A,TRUE,"92NOLCB";#N/A,#N/A,TRUE,"91TAX";#N/A,#N/A,TRUE,"91NOLCB";#N/A,#N/A,TRUE,"92AMTNOL";#N/A,#N/A,TRUE,"921120X"}</definedName>
    <definedName name="wrn.B.SHEET." localSheetId="4" hidden="1">{#N/A,#N/A,FALSE,"COMICRO";#N/A,#N/A,FALSE,"BALSCH";#N/A,#N/A,FALSE,"GLASS";#N/A,#N/A,FALSE,"DEPRE";#N/A,#N/A,FALSE,"A&amp;MCUR";#N/A,#N/A,FALSE,"AGEANAlysis";#N/A,#N/A,FALSE,"CHECKS";#N/A,#N/A,FALSE,"CHECKS"}</definedName>
    <definedName name="wrn.Back._.Page." localSheetId="4" hidden="1">{"Back Page",#N/A,FALSE,"Front and Back"}</definedName>
    <definedName name="wrn.backup." localSheetId="4" hidden="1">{"financials",#N/A,FALSE,"BASIC";"interest",#N/A,FALSE,"BASIC";"leasing and financing",#N/A,FALSE,"BASIC";"returns back up",#N/A,FALSE,"BASIC"}</definedName>
    <definedName name="wrn.Balance._.Sheet._.Set." localSheetId="4" hidden="1">{"Balance Sheet",#N/A,FALSE,"bsheet";"Assets Schedule",#N/A,FALSE,"bsheet";"Notes",#N/A,FALSE,"bsheet";"Abstract",#N/A,FALSE,"bsheet";"Cash Flow",#N/A,FALSE,"bsheet";"groupings",#N/A,FALSE,"bsheet";"Stocks",#N/A,FALSE,"bsheet";"Trial",#N/A,FALSE,"bsheet"}</definedName>
    <definedName name="wrn.balsheet." localSheetId="4" hidden="1">{"ICDANDNONDIV",#N/A,FALSE,"BSALLNOW.XLS";"polyandpurperf",#N/A,FALSE,"BSALLNOW.XLS"}</definedName>
    <definedName name="wrn.bank._.model." localSheetId="4" hidden="1">{"banks",#N/A,FALSE,"BASIC"}</definedName>
    <definedName name="wrn.BB." localSheetId="4" hidden="1">{"P1",#N/A,TRUE,"P1";"P2",#N/A,TRUE,"P2"}</definedName>
    <definedName name="wrn.betz." localSheetId="4" hidden="1">{"net assets",#N/A,FALSE,"summary";"asset turnover",#N/A,FALSE,"summary";"orona",#N/A,FALSE,"summary"}</definedName>
    <definedName name="wrn.Bewegungsbilanz." localSheetId="4" hidden="1">{#N/A,#N/A,FALSE,"Mittelherkunft";#N/A,#N/A,FALSE,"Mittelverwendung"}</definedName>
    <definedName name="wrn.Bilanz." localSheetId="4" hidden="1">{#N/A,#N/A,FALSE,"Layout Aktiva";#N/A,#N/A,FALSE,"Layout Passiva"}</definedName>
    <definedName name="wrn.blabla." localSheetId="4" hidden="1">{"eingeklappt",#N/A,FALSE,"TOTAL SHARED";"ausgeklappt",#N/A,FALSE,"TOTAL SHARED"}</definedName>
    <definedName name="wrn.bm"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localSheetId="4" hidden="1">{"EVA",#N/A,FALSE,"SMT2";#N/A,#N/A,FALSE,"Summary";#N/A,#N/A,FALSE,"Graphs";#N/A,#N/A,FALSE,"4 Panel"}</definedName>
    <definedName name="wrn.Both." localSheetId="4" hidden="1">{"detail",#N/A,FALSE,"mfg";"summary",#N/A,FALSE,"mfg"}</definedName>
    <definedName name="wrn.Both.2" localSheetId="4" hidden="1">{"detail",#N/A,FALSE,"mfg";"summary",#N/A,FALSE,"mfg"}</definedName>
    <definedName name="wrn.both1" localSheetId="4" hidden="1">{"detail",#N/A,FALSE,"mfg";"summary",#N/A,FALSE,"mfg"}</definedName>
    <definedName name="wrn.both10" localSheetId="4" hidden="1">{"detail",#N/A,FALSE,"mfg";"summary",#N/A,FALSE,"mfg"}</definedName>
    <definedName name="wrn.both102" localSheetId="4" hidden="1">{"detail",#N/A,FALSE,"mfg";"summary",#N/A,FALSE,"mfg"}</definedName>
    <definedName name="wrn.both11" localSheetId="4" hidden="1">{"detail",#N/A,FALSE,"mfg";"summary",#N/A,FALSE,"mfg"}</definedName>
    <definedName name="wrn.both12" localSheetId="4" hidden="1">{"detail",#N/A,FALSE,"mfg";"summary",#N/A,FALSE,"mfg"}</definedName>
    <definedName name="wrn.Both31" localSheetId="4" hidden="1">{"detail",#N/A,FALSE,"mfg";"summary",#N/A,FALSE,"mfg"}</definedName>
    <definedName name="wrn.Both32" localSheetId="4" hidden="1">{"detail",#N/A,FALSE,"mfg";"summary",#N/A,FALSE,"mfg"}</definedName>
    <definedName name="wrn.Both34" localSheetId="4" hidden="1">{"detail",#N/A,FALSE,"mfg";"summary",#N/A,FALSE,"mfg"}</definedName>
    <definedName name="wrn.Both35" localSheetId="4" hidden="1">{"detail",#N/A,FALSE,"mfg";"summary",#N/A,FALSE,"mfg"}</definedName>
    <definedName name="wrn.Both42" localSheetId="4" hidden="1">{"detail",#N/A,FALSE,"mfg";"summary",#N/A,FALSE,"mfg"}</definedName>
    <definedName name="wrn.both71" localSheetId="4" hidden="1">{"detail",#N/A,FALSE,"mfg";"summary",#N/A,FALSE,"mfg"}</definedName>
    <definedName name="wrn.botha11" localSheetId="4" hidden="1">{"detail",#N/A,FALSE,"mfg";"summary",#N/A,FALSE,"mfg"}</definedName>
    <definedName name="wrn.botha2" localSheetId="4" hidden="1">{"detail",#N/A,FALSE,"mfg";"summary",#N/A,FALSE,"mfg"}</definedName>
    <definedName name="wrn.bothab2" localSheetId="4" hidden="1">{"detail",#N/A,FALSE,"mfg";"summary",#N/A,FALSE,"mfg"}</definedName>
    <definedName name="wrn.BP._.print." localSheetId="4" hidden="1">{#N/A,#N/A,FALSE,"BANNERS";#N/A,#N/A,FALSE,"Market";#N/A,#N/A,FALSE,"Tel Rev";#N/A,#N/A,FALSE,"Revenues IOL";#N/A,#N/A,FALSE,"Invest";#N/A,#N/A,FALSE,"Op Cost1";#N/A,#N/A,FALSE,"Op Cost2";#N/A,#N/A,FALSE,"Oth_&amp;_Tot_Revenues";#N/A,#N/A,FALSE,"Fin Mod";#N/A,#N/A,FALSE,"FinMod_RoW";#N/A,#N/A,FALSE,"P&amp;E Burocrat";#N/A,#N/A,FALSE,"cash flow"}</definedName>
    <definedName name="wrn.BRIDGE._.REPORTS." localSheetId="4" hidden="1">{"ENLARGED",#N/A,FALSE,"Bridge";"CALCULATIONS",#N/A,FALSE,"Bridge"}</definedName>
    <definedName name="wrn.BROCHURE." localSheetId="4" hidden="1">{"ACT",#N/A,FALSE,"Q3Elec P&amp;L fy 99  ";"BUD",#N/A,FALSE,"Q3Elec P&amp;L fy 99  ";"PRIOR",#N/A,FALSE,"Q3Elec P&amp;L fy 99  "}</definedName>
    <definedName name="wrn.BROCHYTD." localSheetId="4" hidden="1">{"YTDACT",#N/A,FALSE,"YTD Cum";"YTDBUD",#N/A,FALSE,"YTD Cum";"YTDPRIOR",#N/A,FALSE,"YTD Cum"}</definedName>
    <definedName name="wrn.bsall." localSheetId="4" hidden="1">{"pg1",#N/A,FALSE,"BSALLNOW.XLS";"pg2",#N/A,FALSE,"BSALLNOW.XLS";"pg3",#N/A,FALSE,"BSALLNOW.XLS"}</definedName>
    <definedName name="wrn.BSPL." localSheetId="4" hidden="1">{"BS",#N/A,FALSE,"Accounts2002 New";"PL",#N/A,FALSE,"Accounts2002 New"}</definedName>
    <definedName name="wrn.budget." localSheetId="4" hidden="1">{"assumptions",#N/A,FALSE,"HC-TOTAL";"misc. - standards",#N/A,FALSE,"HC-TOTAL";"misc - total",#N/A,FALSE,"HC-TOTAL";"R&amp;M - STANDARDS",#N/A,FALSE,"HC-TOTAL";"R&amp;M - TOTAL",#N/A,FALSE,"I.T. COSTS";"IT COSTS - STD.",#N/A,FALSE,"HC-TOTAL";"IT COSTS - TOTAL",#N/A,FALSE,"HC-TOTAL";"SPACE COSTS - STD.",#N/A,FALSE,"HC-TOTAL";"SPACE COSTS - TOTAL",#N/A,FALSE,"HC-TOTAL";"RENT",#N/A,FALSE,"HC-TOTAL";"COST SHEET",#N/A,FALSE,"HC-TOTAL";"COMM. LINKS",#N/A,FALSE,"HC-TOTAL";"ADVERTISEMENT",#N/A,FALSE,"HC-TOTAL";"business support head count",#N/A,FALSE,"HC-TOTAL";"capacity",#N/A,FALSE,"HC-TOTAL";"capacity",#N/A,FALSE,"HC-TOTAL"}</definedName>
    <definedName name="wrn.Business._.Case." localSheetId="4"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CALL._.SUCCESS._.RATE." localSheetId="4" hidden="1">{#N/A,#N/A,TRUE,"TOTALS";#N/A,#N/A,TRUE,"ROUTES"}</definedName>
    <definedName name="wrn.CapersPlotter." localSheetId="4" hidden="1">{#N/A,#N/A,FALSE,"DI 2 YEAR MASTER SCHEDULE"}</definedName>
    <definedName name="wrn.Cardiovasculars." localSheetId="4" hidden="1">{#N/A,#N/A,FALSE,"Card";#N/A,#N/A,FALSE,"Prav";#N/A,#N/A,FALSE,"Irbe";#N/A,#N/A,FALSE,"Plavix";#N/A,#N/A,FALSE,"Capt";#N/A,#N/A,FALSE,"Fosi"}</definedName>
    <definedName name="wrn.CASH." localSheetId="4" hidden="1">{#N/A,#N/A,FALSE,"ACTUAL";#N/A,#N/A,FALSE,"FORECAST";#N/A,#N/A,FALSE,"PAYMENTS";#N/A,#N/A,FALSE,"SUMMARY";#N/A,#N/A,FALSE,"BALANCE CHECK"}</definedName>
    <definedName name="wrn.Cash._.Flow." localSheetId="4" hidden="1">{#N/A,#N/A,FALSE,"Layout Cash Flow"}</definedName>
    <definedName name="wrn.CDA._.Plan._.Page." localSheetId="4" hidden="1">{#N/A,#N/A,FALSE,"CDA Plan"}</definedName>
    <definedName name="wrn.CEA._.FY97." localSheetId="4" hidden="1">{"CEA FY97",#N/A,FALSE,"C.E.A. FY97"}</definedName>
    <definedName name="wrn.CEC._.slides." localSheetId="4"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ntral._.Nervous._.System." localSheetId="4" hidden="1">{#N/A,#N/A,FALSE,"CNS";#N/A,#N/A,FALSE,"Serz";#N/A,#N/A,FALSE,"Ace"}</definedName>
    <definedName name="wrn.CF._.Combined." localSheetId="4" hidden="1">{#N/A,"3000-1500",FALSE,"CF Combined";#N/A,"3000-2000",FALSE,"CF Combined";#N/A,"3000-2500",FALSE,"CF Combined";#N/A,"6000-1500",FALSE,"CF Combined";#N/A,"6000-2000",FALSE,"CF Combined";#N/A,"6000-2500",FALSE,"CF Combined";#N/A,"9000-1500",FALSE,"CF Combined";#N/A,"9000-2000",FALSE,"CF Combined";#N/A,"9000-2500",FALSE,"CF Combined";#N/A,"12000-1500",FALSE,"CF Combined";#N/A,"12000-2000",FALSE,"CF Combined";#N/A,"12000-2500",FALSE,"CF Combined"}</definedName>
    <definedName name="wrn.Cf._.Improved." localSheetId="4" hidden="1">{#N/A,#N/A,FALSE,"To Do";#N/A,#N/A,FALSE,"Index";#N/A,#N/A,FALSE,"(1) Summary Provision ";#N/A,#N/A,FALSE,"(2) M-1 Summary";#N/A,#N/A,FALSE,"(3) Deferred Detail";#N/A,#N/A,FALSE,"(9a) Refunds";#N/A,#N/A,FALSE,"(11) State NOL cfwd";#N/A,#N/A,FALSE,"(12) MA ITC";#N/A,#N/A,FALSE,"(12a) GA ITC";#N/A,#N/A,FALSE,"FN Prov";#N/A,#N/A,FALSE,"FN Rate Rec";#N/A,#N/A,FALSE,"Cushion"}</definedName>
    <definedName name="wrn.CFQ." localSheetId="4" hidden="1">{#N/A,#N/A,TRUE,"Delivery Summary";#N/A,#N/A,TRUE,"DU1 Summary";#N/A,#N/A,TRUE,"DU2 Summary";#N/A,#N/A,TRUE,"DU3 Summary";#N/A,#N/A,TRUE,"DU4 Summary"}</definedName>
    <definedName name="wrn.CFQ._1" localSheetId="4" hidden="1">{#N/A,#N/A,TRUE,"Delivery Summary";#N/A,#N/A,TRUE,"DU1 Summary";#N/A,#N/A,TRUE,"DU2 Summary";#N/A,#N/A,TRUE,"DU3 Summary";#N/A,#N/A,TRUE,"DU4 Summary"}</definedName>
    <definedName name="wrn.CFQ._2" localSheetId="4" hidden="1">{#N/A,#N/A,TRUE,"Delivery Summary";#N/A,#N/A,TRUE,"DU1 Summary";#N/A,#N/A,TRUE,"DU2 Summary";#N/A,#N/A,TRUE,"DU3 Summary";#N/A,#N/A,TRUE,"DU4 Summary"}</definedName>
    <definedName name="wrn.CFQ._3" localSheetId="4" hidden="1">{#N/A,#N/A,TRUE,"Delivery Summary";#N/A,#N/A,TRUE,"DU1 Summary";#N/A,#N/A,TRUE,"DU2 Summary";#N/A,#N/A,TRUE,"DU3 Summary";#N/A,#N/A,TRUE,"DU4 Summary"}</definedName>
    <definedName name="wrn.CFQ._4" localSheetId="4" hidden="1">{#N/A,#N/A,TRUE,"Delivery Summary";#N/A,#N/A,TRUE,"DU1 Summary";#N/A,#N/A,TRUE,"DU2 Summary";#N/A,#N/A,TRUE,"DU3 Summary";#N/A,#N/A,TRUE,"DU4 Summary"}</definedName>
    <definedName name="wrn.CFQ._5" localSheetId="4" hidden="1">{#N/A,#N/A,TRUE,"Delivery Summary";#N/A,#N/A,TRUE,"DU1 Summary";#N/A,#N/A,TRUE,"DU2 Summary";#N/A,#N/A,TRUE,"DU3 Summary";#N/A,#N/A,TRUE,"DU4 Summary"}</definedName>
    <definedName name="wrn.cg" localSheetId="4" hidden="1">{#N/A,#N/A,TRUE,"CIN-11";#N/A,#N/A,TRUE,"CIN-13";#N/A,#N/A,TRUE,"CIN-14";#N/A,#N/A,TRUE,"CIN-16";#N/A,#N/A,TRUE,"CIN-17";#N/A,#N/A,TRUE,"CIN-18";#N/A,#N/A,TRUE,"CIN Earnings To Fixed Charges";#N/A,#N/A,TRUE,"CIN Financial Ratios";#N/A,#N/A,TRUE,"CIN-IS";#N/A,#N/A,TRUE,"CIN-BS";#N/A,#N/A,TRUE,"CIN-CS";#N/A,#N/A,TRUE,"Invest In Unconsol Subs"}</definedName>
    <definedName name="wrn.CGE" localSheetId="4" hidden="1">{#N/A,#N/A,TRUE,"CIN-11";#N/A,#N/A,TRUE,"CIN-13";#N/A,#N/A,TRUE,"CIN-14";#N/A,#N/A,TRUE,"CIN-16";#N/A,#N/A,TRUE,"CIN-17";#N/A,#N/A,TRUE,"CIN-18";#N/A,#N/A,TRUE,"CIN Earnings To Fixed Charges";#N/A,#N/A,TRUE,"CIN Financial Ratios";#N/A,#N/A,TRUE,"CIN-IS";#N/A,#N/A,TRUE,"CIN-BS";#N/A,#N/A,TRUE,"CIN-CS";#N/A,#N/A,TRUE,"Invest In Unconsol Subs"}</definedName>
    <definedName name="wrn.Chemicals." localSheetId="4" hidden="1">{"PnL",#N/A,FALSE,"Chem P&amp;L";"Responsibility",#N/A,FALSE,"Chem P&amp;L";"Cost Control",#N/A,FALSE,"Chem P&amp;L"}</definedName>
    <definedName name="wrn.Chiron._.IRS._.Audit." localSheetId="4" hidden="1">{#N/A,#N/A,FALSE,"Summary";#N/A,#N/A,FALSE,"1991";#N/A,#N/A,FALSE,"91 AMT";#N/A,#N/A,FALSE,"1992";#N/A,#N/A,FALSE,"92 AMT";#N/A,#N/A,FALSE,"1993";#N/A,#N/A,FALSE,"93 AMT"}</definedName>
    <definedName name="wrn.ci" localSheetId="4" hidden="1">{#N/A,#N/A,TRUE,"CIN-11";#N/A,#N/A,TRUE,"CIN-13";#N/A,#N/A,TRUE,"CIN-14";#N/A,#N/A,TRUE,"CIN-16";#N/A,#N/A,TRUE,"CIN-17";#N/A,#N/A,TRUE,"CIN-18";#N/A,#N/A,TRUE,"CIN Earnings To Fixed Charges";#N/A,#N/A,TRUE,"CIN Financial Ratios";#N/A,#N/A,TRUE,"CIN-IS";#N/A,#N/A,TRUE,"CIN-BS";#N/A,#N/A,TRUE,"CIN-CS";#N/A,#N/A,TRUE,"Invest In Unconsol Subs"}</definedName>
    <definedName name="wrn.CIN." localSheetId="4" hidden="1">{#N/A,#N/A,TRUE,"CIN-11";#N/A,#N/A,TRUE,"CIN-13";#N/A,#N/A,TRUE,"CIN-14";#N/A,#N/A,TRUE,"CIN-16";#N/A,#N/A,TRUE,"CIN-17";#N/A,#N/A,TRUE,"CIN-18";#N/A,#N/A,TRUE,"CIN Earnings To Fixed Charges";#N/A,#N/A,TRUE,"CIN Financial Ratios";#N/A,#N/A,TRUE,"CIN-IS";#N/A,#N/A,TRUE,"CIN-BS";#N/A,#N/A,TRUE,"CIN-CS";#N/A,#N/A,TRUE,"Invest In Unconsol Subs"}</definedName>
    <definedName name="wrn.clientcopy." localSheetId="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_ALL." localSheetId="4" hidden="1">{"LAPO2N2",#N/A,FALSE,"CM";"TOTTEXAS",#N/A,FALSE,"CM";"LOUISIANA",#N/A,FALSE,"CM";"GENERALH2",#N/A,FALSE,"CM";"PRS",#N/A,FALSE,"CM";"PACKAGE",#N/A,FALSE,"CM";"OTHER",#N/A,FALSE,"CM"}</definedName>
    <definedName name="wrn.CM_GENERALH2." localSheetId="4" hidden="1">{"GENERALH2",#N/A,FALSE,"CM"}</definedName>
    <definedName name="wrn.CM_LAPORTE_O2N2." localSheetId="4" hidden="1">{"LAPO2N2",#N/A,FALSE,"CM"}</definedName>
    <definedName name="wrn.CM_LOUISIANA." localSheetId="4" hidden="1">{"LOUISIANA",#N/A,FALSE,"CM"}</definedName>
    <definedName name="wrn.CM_OTHER." localSheetId="4" hidden="1">{"OTHER",#N/A,FALSE,"CM"}</definedName>
    <definedName name="wrn.CM_PACKAGE." localSheetId="4" hidden="1">{"PACKAGE",#N/A,FALSE,"CM"}</definedName>
    <definedName name="wrn.CM_PRS." localSheetId="4" hidden="1">{"PRS",#N/A,FALSE,"CM"}</definedName>
    <definedName name="wrn.CM_TEXAS._.HYCO." localSheetId="4" hidden="1">{"TOTTEXAS",#N/A,FALSE,"CM"}</definedName>
    <definedName name="wrn.CMN_FE_1." localSheetId="4" hidden="1">{#N/A,#N/A,FALSE,"CMN_FE"}</definedName>
    <definedName name="wrn.CMN_FE_2." localSheetId="4" hidden="1">{#N/A,#N/A,FALSE,"CMN_FE"}</definedName>
    <definedName name="wrn.CMN_FE_3." localSheetId="4" hidden="1">{#N/A,#N/A,FALSE,"CMN_FE"}</definedName>
    <definedName name="wrn.CMVsBud." localSheetId="4" hidden="1">{"Page1",#N/A,FALSE,"OpExJanvsBud";"Page2",#N/A,FALSE,"OpExJanvsBud"}</definedName>
    <definedName name="wrn.CMVsPY." localSheetId="4" hidden="1">{"Page 1",#N/A,FALSE,"OpExJanVsPY";"Page 2",#N/A,FALSE,"OpExJanVsPY"}</definedName>
    <definedName name="wrn.Columbia._.Scenarios." localSheetId="4" hidden="1">{#N/A,"3000initial-3000increment",FALSE,"CF Model";#N/A,"3000initial--6000increment",FALSE,"CF Model";#N/A,"6000initial--3000increment",FALSE,"CF Model";#N/A,"6000initial--6000increment",FALSE,"CF Model";#N/A,"9000initial-3000increment",FALSE,"CF Model";#N/A,"9000initial--6000increment",FALSE,"CF Model"}</definedName>
    <definedName name="wrn.COMBINED." localSheetId="4" hidden="1">{#N/A,#N/A,FALSE,"INPUTS";#N/A,#N/A,FALSE,"PROFORMA BSHEET";#N/A,#N/A,FALSE,"COMBINED";#N/A,#N/A,FALSE,"HIGH YIELD";#N/A,#N/A,FALSE,"COMB_GRAPHS"}</definedName>
    <definedName name="wrn.COMPCO." localSheetId="4" hidden="1">{"Page1",#N/A,FALSE,"CompCo";"Page2",#N/A,FALSE,"CompCo"}</definedName>
    <definedName name="wrn.competitor._.analysis." localSheetId="4" hidden="1">{"summary",#N/A,FALSE,"summary";"sales growth",#N/A,FALSE,"summary";"oper income",#N/A,FALSE,"summary";"oros rank",#N/A,FALSE,"summary";"net assets",#N/A,FALSE,"summary";"asset turnover",#N/A,FALSE,"summary";"orona",#N/A,FALSE,"summary";"total return",#N/A,FALSE,"summary";"overview",#N/A,FALSE,"summary"}</definedName>
    <definedName name="wrn.Complete."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Set." localSheetId="4" hidden="1">{#N/A,#N/A,FALSE,"Full";#N/A,#N/A,FALSE,"Half";#N/A,#N/A,FALSE,"Op Expenses";#N/A,#N/A,FALSE,"Cap Charge";#N/A,#N/A,FALSE,"Cost C";#N/A,#N/A,FALSE,"PP&amp;E";#N/A,#N/A,FALSE,"R&amp;D"}</definedName>
    <definedName name="wrn.Complete.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utation._.3CD._.Details." localSheetId="4" hidden="1">{"Computation Tax",#N/A,FALSE,"43B";"Dep I.Tax",#N/A,FALSE,"43B";"I Tax Losses",#N/A,FALSE,"43B";"Annex-III 3CD",#N/A,FALSE,"43B";"Cash Payments",#N/A,FALSE,"43B";"43B",#N/A,FALSE,"43B"}</definedName>
    <definedName name="wrn.Consolidated." localSheetId="4" hidden="1">{"PnL",#N/A,FALSE,"Total P&amp;L";"Cost Control",#N/A,FALSE,"Total P&amp;L"}</definedName>
    <definedName name="wrn.Consumer._.Medicines." localSheetId="4" hidden="1">{#N/A,#N/A,FALSE,"OTC";#N/A,#N/A,FALSE,"Ther";#N/A,#N/A,FALSE,"Temp";#N/A,#N/A,FALSE,"Exce";#N/A,#N/A,FALSE,"Buff";#N/A,#N/A,FALSE,"Picot";#N/A,#N/A,FALSE,"Luftal";#N/A,#N/A,FALSE,"Comt"}</definedName>
    <definedName name="wrn.Continous._.Page._.Numbers._.DCF." localSheetId="4"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 localSheetId="4" hidden="1">{"PAGE 1",#N/A,FALSE,"COS";"PAGE 2",#N/A,FALSE,"COS";"PAGE 3",#N/A,FALSE,"COS"}</definedName>
    <definedName name="wrn.COS._.EX._.GEISMAR." localSheetId="4" hidden="1">{"PAGE 1",#N/A,FALSE,"COS Excluding Geismar";"PAGE 2",#N/A,FALSE,"COS Excluding Geismar";"PAGE 3",#N/A,FALSE,"COS Excluding Geismar"}</definedName>
    <definedName name="wrn.COST._.OF._.SALES." localSheetId="4" hidden="1">{"COST OF SALES",#N/A,FALSE,"C.O.SALES"}</definedName>
    <definedName name="wrn.Cover." localSheetId="4" hidden="1">{"coverall",#N/A,FALSE,"Definitions";"cover1",#N/A,FALSE,"Definitions";"cover2",#N/A,FALSE,"Definitions";"cover3",#N/A,FALSE,"Definitions";"cover4",#N/A,FALSE,"Definitions";"cover5",#N/A,FALSE,"Definitions";"blank",#N/A,FALSE,"Definitions"}</definedName>
    <definedName name="wrn.CS_SCH_2." localSheetId="4" hidden="1">{"SP_MILL_MIX_150PRESS",#N/A,FALSE,"sch._cs";"SP_OTHERS",#N/A,FALSE,"sch._cs";"BP",#N/A,FALSE,"sch._cs";"KILN_SHAFT_SHUTTLE_L/UNL_BELL_CC",#N/A,FALSE,"sch._cs";"CHK_BTK_GPP_L/UNL-BP",#N/A,FALSE,"sch._cs"}</definedName>
    <definedName name="wrn.CS_SCHEDULE." localSheetId="4" hidden="1">{"RATIO",#N/A,FALSE,"sch._cs";"FB",#N/A,FALSE,"sch._cs";"SP_MILL_MIX_150PRESS",#N/A,FALSE,"sch._cs"}</definedName>
    <definedName name="wrn.CTC._.Report." localSheetId="4" hidden="1">{"CTCp1",#N/A,FALSE,"CTC Report";"CTCp2",#N/A,FALSE,"CTC Report";"CTCp3",#N/A,FALSE,"CTC Report";"CTCp4",#N/A,FALSE,"CTC Report"}</definedName>
    <definedName name="wrn.Current._.Month._.Current._.Yr._.Only." localSheetId="4" hidden="1">{"Month Summary",#N/A,FALSE,"Summary";"Total Details",#N/A,FALSE,"Current Yr";"Polymers Details",#N/A,FALSE,"Current Yr";"Performance Details",#N/A,FALSE,"Current Yr";"ICD Details",#N/A,FALSE,"Current Yr"}</definedName>
    <definedName name="wrn.Current._.Month._.Everything."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d"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ata." localSheetId="4" hidden="1">{"apci",#N/A,FALSE,"Chem_CY";"eastman",#N/A,FALSE,"Eastman";"betz",#N/A,FALSE,"Betz";"great lakes",#N/A,FALSE,"Great_Lakes";"hercules",#N/A,FALSE,"Hercules Chem Seg Data";"rohm",#N/A,FALSE,"Rohm";"union carbide",#N/A,FALSE,"Union";"witco",#N/A,FALSE,"Witco"}</definedName>
    <definedName name="wrn.Data._.Input." localSheetId="4" hidden="1">{"Data Input Sheet 1",#N/A,FALSE,"Data Input - Sheet 1";"Data Input Sheet 2",#N/A,FALSE,"Data Input - Sheet 2"}</definedName>
    <definedName name="wrn.datapak." localSheetId="4" hidden="1">{#N/A,#N/A,FALSE,"Status of Projects";#N/A,#N/A,FALSE,"CEA-TEC";#N/A,#N/A,FALSE,"U-Constr.";#N/A,#N/A,FALSE,"summary";#N/A,#N/A,FALSE,"PPP-3 yrs"}</definedName>
    <definedName name="wrn.dcf." localSheetId="4" hidden="1">{"mgmt forecast",#N/A,FALSE,"Mgmt Forecast";"dcf table",#N/A,FALSE,"Mgmt Forecast";"sensitivity",#N/A,FALSE,"Mgmt Forecast";"table inputs",#N/A,FALSE,"Mgmt Forecast";"calculations",#N/A,FALSE,"Mgmt Forecast"}</definedName>
    <definedName name="wrn.DCFEpervier." localSheetId="4"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D" localSheetId="4" hidden="1">{#N/A,#N/A,TRUE,"Summary";#N/A,"1",TRUE,"Summary";#N/A,"2",TRUE,"Summary";#N/A,"3",TRUE,"Summary";#N/A,"4",TRUE,"Summary";#N/A,"5",TRUE,"Summary";#N/A,"6",TRUE,"Summary";#N/A,"7",TRUE,"Summary";#N/A,"8",TRUE,"Summary";#N/A,"9",TRUE,"Summary";#N/A,"10",TRUE,"Summary";#N/A,"11",TRUE,"Summary"}</definedName>
    <definedName name="wrn.dd." localSheetId="4" hidden="1">{#N/A,#N/A,FALSE,"Sheet2"}</definedName>
    <definedName name="wrn.Default." localSheetId="4" hidden="1">{#N/A,#N/A,TRUE,"1-Executive Summary";#N/A,#N/A,TRUE,"2-Operations Summary";#N/A,#N/A,TRUE,"3-Account Detail";#N/A,#N/A,TRUE,"4-DU Detail";#N/A,#N/A,TRUE,"5-Account Metrics";#N/A,#N/A,TRUE,"6-CM Detail";#N/A,#N/A,TRUE,"7-Discounts ";#N/A,#N/A,TRUE,"8-Resource Summary";#N/A,#N/A,TRUE,"9-Account Radar";#N/A,#N/A,TRUE,"10-Skills Expertise"}</definedName>
    <definedName name="wrn.Default._1" localSheetId="4" hidden="1">{#N/A,#N/A,TRUE,"1-Executive Summary";#N/A,#N/A,TRUE,"2-Operations Summary";#N/A,#N/A,TRUE,"3-Account Detail";#N/A,#N/A,TRUE,"4-DU Detail";#N/A,#N/A,TRUE,"5-Account Metrics";#N/A,#N/A,TRUE,"6-CM Detail";#N/A,#N/A,TRUE,"7-Discounts ";#N/A,#N/A,TRUE,"8-Resource Summary";#N/A,#N/A,TRUE,"9-Account Radar";#N/A,#N/A,TRUE,"10-Skills Expertise"}</definedName>
    <definedName name="wrn.Default._2" localSheetId="4" hidden="1">{#N/A,#N/A,TRUE,"1-Executive Summary";#N/A,#N/A,TRUE,"2-Operations Summary";#N/A,#N/A,TRUE,"3-Account Detail";#N/A,#N/A,TRUE,"4-DU Detail";#N/A,#N/A,TRUE,"5-Account Metrics";#N/A,#N/A,TRUE,"6-CM Detail";#N/A,#N/A,TRUE,"7-Discounts ";#N/A,#N/A,TRUE,"8-Resource Summary";#N/A,#N/A,TRUE,"9-Account Radar";#N/A,#N/A,TRUE,"10-Skills Expertise"}</definedName>
    <definedName name="wrn.Default._3" localSheetId="4" hidden="1">{#N/A,#N/A,TRUE,"1-Executive Summary";#N/A,#N/A,TRUE,"2-Operations Summary";#N/A,#N/A,TRUE,"3-Account Detail";#N/A,#N/A,TRUE,"4-DU Detail";#N/A,#N/A,TRUE,"5-Account Metrics";#N/A,#N/A,TRUE,"6-CM Detail";#N/A,#N/A,TRUE,"7-Discounts ";#N/A,#N/A,TRUE,"8-Resource Summary";#N/A,#N/A,TRUE,"9-Account Radar";#N/A,#N/A,TRUE,"10-Skills Expertise"}</definedName>
    <definedName name="wrn.Default._4" localSheetId="4" hidden="1">{#N/A,#N/A,TRUE,"1-Executive Summary";#N/A,#N/A,TRUE,"2-Operations Summary";#N/A,#N/A,TRUE,"3-Account Detail";#N/A,#N/A,TRUE,"4-DU Detail";#N/A,#N/A,TRUE,"5-Account Metrics";#N/A,#N/A,TRUE,"6-CM Detail";#N/A,#N/A,TRUE,"7-Discounts ";#N/A,#N/A,TRUE,"8-Resource Summary";#N/A,#N/A,TRUE,"9-Account Radar";#N/A,#N/A,TRUE,"10-Skills Expertise"}</definedName>
    <definedName name="wrn.Default._5" localSheetId="4" hidden="1">{#N/A,#N/A,TRUE,"1-Executive Summary";#N/A,#N/A,TRUE,"2-Operations Summary";#N/A,#N/A,TRUE,"3-Account Detail";#N/A,#N/A,TRUE,"4-DU Detail";#N/A,#N/A,TRUE,"5-Account Metrics";#N/A,#N/A,TRUE,"6-CM Detail";#N/A,#N/A,TRUE,"7-Discounts ";#N/A,#N/A,TRUE,"8-Resource Summary";#N/A,#N/A,TRUE,"9-Account Radar";#N/A,#N/A,TRUE,"10-Skills Expertise"}</definedName>
    <definedName name="wrn.dep." localSheetId="4" hidden="1">{"dep. full detail",#N/A,FALSE,"annex";"3cd annex",#N/A,FALSE,"annex";"co. dep.",#N/A,FALSE,"annex"}</definedName>
    <definedName name="wrn.Depreciation." localSheetId="4" hidden="1">{"DE_asfiled",#N/A,TRUE,"Amort.";"IRS_addl",#N/A,TRUE,"Amort."}</definedName>
    <definedName name="wrn.detail." localSheetId="4"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localSheetId="4" hidden="1">{#N/A,#N/A,FALSE,"Detail"}</definedName>
    <definedName name="wrn.Detail_Projection." localSheetId="4" hidden="1">{#N/A,#N/A,FALSE,"Detail YTD"}</definedName>
    <definedName name="wrn.Detailed._.P._.and._.L." localSheetId="4" hidden="1">{"P and L Detail Page 1",#N/A,FALSE,"Data";"P and L Detail Page 2",#N/A,FALSE,"Data"}</definedName>
    <definedName name="wrn.devdeal." localSheetId="4" hidden="1">{"top",#N/A,TRUE,"Detail";"next",#N/A,TRUE,"Detail";"then",#N/A,TRUE,"Detail";"and",#N/A,TRUE,"Detail";"inaddition",#N/A,TRUE,"Detail";"finally",#N/A,TRUE,"Detail"}</definedName>
    <definedName name="wrn.Divisions._.and._.Company._.Plans." localSheetId="4" hidden="1">{#N/A,#N/A,FALSE,"Company Plan";#N/A,#N/A,FALSE,"Maintenance Plan";#N/A,#N/A,FALSE,"Product Plan";#N/A,#N/A,FALSE,"Subscribe Plan";#N/A,#N/A,FALSE,"Central Plan"}</definedName>
    <definedName name="wrn.document." localSheetId="4" hidden="1">{"consolidated",#N/A,FALSE,"Sheet1";"cms",#N/A,FALSE,"Sheet1";"fse",#N/A,FALSE,"Sheet1"}</definedName>
    <definedName name="wrn.Draft." localSheetId="4" hidden="1">{"Draft",#N/A,FALSE,"Feb-96"}</definedName>
    <definedName name="wrn.Drucken._.H.C.._.Starck." localSheetId="4" hidden="1">{#N/A,#N/A,FALSE,"Rohstoffnotierungen";#N/A,#N/A,FALSE,"ER HCST Erw. 99";#N/A,#N/A,FALSE,"ER HCST Plan 00";#N/A,#N/A,FALSE,"Umsatz KG";#N/A,#N/A,FALSE,"ER HCST";#N/A,#N/A,FALSE,"EA ST (2)";#N/A,#N/A,FALSE,"EA ST";#N/A,#N/A,FALSE,"EA ST (3)";#N/A,#N/A,FALSE,"EA ST (4)";#N/A,#N/A,FALSE,"KA ST  (2)";#N/A,#N/A,FALSE,"KA ST";#N/A,#N/A,FALSE,"KA ST  (3)";#N/A,#N/A,FALSE,"KA ST (4)"}</definedName>
    <definedName name="wrn.Economic._.Value._.Added._.Analysis." localSheetId="4" hidden="1">{"EVA",#N/A,FALSE,"EVA";"WACC",#N/A,FALSE,"WACC"}</definedName>
    <definedName name="wrn.Edutainment._.Priority._.List." localSheetId="4" hidden="1">{#N/A,#N/A,FALSE,"DI 2 YEAR MASTER SCHEDULE"}</definedName>
    <definedName name="wrn.EES_BUD_ACT_PY." localSheetId="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localSheetId="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localSheetId="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mg._.report." localSheetId="4" hidden="1">{#N/A,#N/A,FALSE,"Emerging Mkt Fund"}</definedName>
    <definedName name="wrn.EntitiesWithReclasses." localSheetId="4" hidden="1">{"page1",#N/A,FALSE,"EntitiesWithReclasses";"page2",#N/A,FALSE,"EntitiesWithReclasses";"page3",#N/A,FALSE,"EntitiesWithReclasses";"page4",#N/A,FALSE,"EntitiesWithReclasses";"page5",#N/A,FALSE,"EntitiesWithReclasses";"page6",#N/A,FALSE,"EntitiesWithReclasses"}</definedName>
    <definedName name="wrn.Equipment." localSheetId="4" hidden="1">{"PnL",#N/A,FALSE,"Equip P&amp;L";"Responsibility",#N/A,FALSE,"Equip P&amp;L";"Cost Control",#N/A,FALSE,"Equip P&amp;L"}</definedName>
    <definedName name="wrn.esl." localSheetId="4" hidden="1">{"Monthly6Q",#N/A,FALSE,"0614ESL"}</definedName>
    <definedName name="wrn.Europe." localSheetId="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W." localSheetId="4" hidden="1">{#N/A,#N/A,FALSE,"EW"}</definedName>
    <definedName name="wrn.EW._1" localSheetId="4" hidden="1">{#N/A,#N/A,FALSE,"EW"}</definedName>
    <definedName name="wrn.EW._2" localSheetId="4" hidden="1">{#N/A,#N/A,FALSE,"EW"}</definedName>
    <definedName name="wrn.EW._3" localSheetId="4" hidden="1">{#N/A,#N/A,FALSE,"EW"}</definedName>
    <definedName name="wrn.EW._4" localSheetId="4" hidden="1">{#N/A,#N/A,FALSE,"EW"}</definedName>
    <definedName name="wrn.Ex.._.A." localSheetId="4" hidden="1">{"Page 1",#N/A,TRUE,"Sheet1";"Page 2",#N/A,TRUE,"Sheet1"}</definedName>
    <definedName name="wrn.Exam._.Workpapers._.1." localSheetId="4"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hibits." localSheetId="4" hidden="1">{#N/A,#N/A,FALSE,"IS";#N/A,#N/A,FALSE,"BS";#N/A,#N/A,FALSE,"RMA";#N/A,#N/A,FALSE,"INCOME";#N/A,#N/A,FALSE,"DCF";#N/A,#N/A,FALSE,"MARKET"}</definedName>
    <definedName name="wrn.fc." localSheetId="4" hidden="1">{"letter",#N/A,FALSE,"Letter";"amort",#N/A,FALSE,"Amort"}</definedName>
    <definedName name="wrn.FCB." localSheetId="4" hidden="1">{"FCB_ALL",#N/A,FALSE,"FCB"}</definedName>
    <definedName name="wrn.fcb2" localSheetId="4" hidden="1">{"FCB_ALL",#N/A,FALSE,"FCB"}</definedName>
    <definedName name="wrn.File." localSheetId="4" hidden="1">{"Summary",#N/A,FALSE,"SUMMARYPP";"BS",#N/A,FALSE,"BS";"IS",#N/A,FALSE,"IS";"RMA",#N/A,FALSE,"RMA";"VL",#N/A,FALSE,"VL";#N/A,#N/A,FALSE,"WACC";"Adj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 localSheetId="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l." localSheetId="4" hidden="1">{"Final",#N/A,FALSE,"Feb-96"}</definedName>
    <definedName name="wrn.Financial._.Output." localSheetId="4" hidden="1">{"P and L",#N/A,FALSE,"Financial Output";"Cashflow",#N/A,FALSE,"Financial Output";"Balance Sheet",#N/A,FALSE,"Financial Output"}</definedName>
    <definedName name="wrn.Financials._.April._.02._.Rs._.000." localSheetId="4"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zbedarfsrechnung." localSheetId="4" hidden="1">{#N/A,#N/A,FALSE,"Finanzbedarfsrechnung"}</definedName>
    <definedName name="wrn.FIVE._.YEAR._.PROJECTION." localSheetId="4" hidden="1">{"FIVEYEAR",#N/A,TRUE,"SUMMARY";"FIVEYEAR",#N/A,TRUE,"Ratios";"FIVEYEAR",#N/A,TRUE,"Revenue";"FIVEYEAR",#N/A,TRUE,"DETAIL";"FIVEYEAR",#N/A,TRUE,"Payroll"}</definedName>
    <definedName name="wrn.Five._.Year._.Record." localSheetId="4" hidden="1">{"Five Year Record",#N/A,FALSE,"Front and Back"}</definedName>
    <definedName name="wrn.fixed." localSheetId="4" hidden="1">{#N/A,#N/A,FALSE,"Fmoh-Vmoh 2002";#N/A,#N/A,FALSE,"Fmoh-Vmoh 2002"}</definedName>
    <definedName name="wrn.FORM1." localSheetId="4" hidden="1">{#N/A,#N/A,FALSE,"COMP"}</definedName>
    <definedName name="wrn.FORNDV." localSheetId="4" hidden="1">{"FORNDV",#N/A,FALSE,"Sheet1"}</definedName>
    <definedName name="wrn.FREE." localSheetId="4" hidden="1">{#N/A,#N/A,FALSE,"FREE"}</definedName>
    <definedName name="wrn.FREE._1" localSheetId="4" hidden="1">{#N/A,#N/A,FALSE,"FREE"}</definedName>
    <definedName name="wrn.FREE._2" localSheetId="4" hidden="1">{#N/A,#N/A,FALSE,"FREE"}</definedName>
    <definedName name="wrn.FREE._3" localSheetId="4" hidden="1">{#N/A,#N/A,FALSE,"FREE"}</definedName>
    <definedName name="wrn.FREE._4" localSheetId="4" hidden="1">{#N/A,#N/A,FALSE,"FREE"}</definedName>
    <definedName name="wrn.Front._.Page." localSheetId="4" hidden="1">{"Front Page",#N/A,FALSE,"Front and Back"}</definedName>
    <definedName name="wrn.FTS." localSheetId="4" hidden="1">{"FTS",#N/A,FALSE,"E"}</definedName>
    <definedName name="wrn.FTS._.PLANT._.BREAKUP." localSheetId="4" hidden="1">{"PLANT BREAKUP",#N/A,FALSE,"E"}</definedName>
    <definedName name="wrn.Ful._.Set." localSheetId="4" hidden="1">{"Bsheet",#N/A,FALSE,"Details";"P&amp;L",#N/A,FALSE,"Details";"Schedule",#N/A,FALSE,"Details";"Details",#N/A,FALSE,"Details"}</definedName>
    <definedName name="wrn.full." localSheetId="4" hidden="1">{"balance",#N/A,FALSE,"Remedy-model";"calendar quarterly",#N/A,FALSE,"Remedy-model";"cash flow",#N/A,FALSE,"Remedy-model";"fiscal quarter",#N/A,FALSE,"Remedy-model";"income",#N/A,FALSE,"Remedy-model";"percentage",#N/A,FALSE,"Remedy-model"}</definedName>
    <definedName name="wrn.Full._.Financials." localSheetId="4" hidden="1">{#N/A,#N/A,TRUE,"Financials";#N/A,#N/A,TRUE,"Operating Statistics";#N/A,#N/A,TRUE,"Capex &amp; Depreciation";#N/A,#N/A,TRUE,"Debt"}</definedName>
    <definedName name="wrn.Full._.Report." localSheetId="4" hidden="1">{#N/A,#N/A,TRUE,"Front";#N/A,#N/A,TRUE,"Simple Letter";#N/A,#N/A,TRUE,"Inside";#N/A,#N/A,TRUE,"Contents";#N/A,#N/A,TRUE,"Basis";#N/A,#N/A,TRUE,"Inclusions";#N/A,#N/A,TRUE,"Exclusions";#N/A,#N/A,TRUE,"Areas";#N/A,#N/A,TRUE,"Summary";#N/A,#N/A,TRUE,"Detail"}</definedName>
    <definedName name="wrn.Full._.Report._1" localSheetId="4">{#N/A,#N/A,TRUE,"Front";#N/A,#N/A,TRUE,"Simple Letter";#N/A,#N/A,TRUE,"Inside";#N/A,#N/A,TRUE,"Contents";#N/A,#N/A,TRUE,"Basis";#N/A,#N/A,TRUE,"Inclusions";#N/A,#N/A,TRUE,"Exclusions";#N/A,#N/A,TRUE,"Areas";#N/A,#N/A,TRUE,"Summary";#N/A,#N/A,TRUE,"Detail"}</definedName>
    <definedName name="wrn.full._.reports" localSheetId="4" hidden="1">{#N/A,#N/A,TRUE,"Front";#N/A,#N/A,TRUE,"Simple Letter";#N/A,#N/A,TRUE,"Inside";#N/A,#N/A,TRUE,"Contents";#N/A,#N/A,TRUE,"Basis";#N/A,#N/A,TRUE,"Inclusions";#N/A,#N/A,TRUE,"Exclusions";#N/A,#N/A,TRUE,"Areas";#N/A,#N/A,TRUE,"Summary";#N/A,#N/A,TRUE,"Detail"}</definedName>
    <definedName name="wrn.Full._.Set." localSheetId="4" hidden="1">{"Bsheet",#N/A,FALSE,"Details";"P&amp;l",#N/A,FALSE,"Details";"Schedule",#N/A,FALSE,"Details";"Details",#N/A,FALSE,"Details";"Annexue II",#N/A,FALSE,"Details";"Branch Bs",#N/A,FALSE,"Details";"Branch PL",#N/A,FALSE,"Details"}</definedName>
    <definedName name="wrn.Full._.without._.data." localSheetId="4"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fin.1" localSheetId="4" hidden="1">{#N/A,#N/A,TRUE,"Financials";#N/A,#N/A,TRUE,"Operating Statistics";#N/A,#N/A,TRUE,"Capex &amp; Depreciation";#N/A,#N/A,TRUE,"Debt"}</definedName>
    <definedName name="wrn.FY00._.Summary." localSheetId="4" hidden="1">{"FY00",#N/A,FALSE,"Sheet1"}</definedName>
    <definedName name="wrn.FY01._.Target." localSheetId="4" hidden="1">{"FY01 TARGET",#N/A,FALSE,"Sheet1"}</definedName>
    <definedName name="wrn.FY96sbp99" localSheetId="4" hidden="1">{#N/A,#N/A,FALSE,"FY97";#N/A,#N/A,FALSE,"FY98";#N/A,#N/A,FALSE,"FY99";#N/A,#N/A,FALSE,"FY00";#N/A,#N/A,FALSE,"FY01"}</definedName>
    <definedName name="wrn.FY97SBP." localSheetId="4" hidden="1">{#N/A,#N/A,FALSE,"FY97";#N/A,#N/A,FALSE,"FY98";#N/A,#N/A,FALSE,"FY99";#N/A,#N/A,FALSE,"FY00";#N/A,#N/A,FALSE,"FY01"}</definedName>
    <definedName name="wrn.FY97SBP2" localSheetId="4" hidden="1">{#N/A,#N/A,FALSE,"FY97";#N/A,#N/A,FALSE,"FY98";#N/A,#N/A,FALSE,"FY99";#N/A,#N/A,FALSE,"FY00";#N/A,#N/A,FALSE,"FY01"}</definedName>
    <definedName name="wrn.G.C.P.L.." localSheetId="4" hidden="1">{#N/A,#N/A,FALSE,"gc (2)"}</definedName>
    <definedName name="wrn.GB._.99." localSheetId="4" hidden="1">{#N/A,#N/A,FALSE,"Umsatz 99";#N/A,#N/A,FALSE,"ER 99 "}</definedName>
    <definedName name="wrn.GB._.CH." localSheetId="4" hidden="1">{#N/A,#N/A,FALSE,"Umsatz CH";#N/A,#N/A,FALSE,"ER CH";#N/A,#N/A,FALSE,"EA CH (2) ";#N/A,#N/A,FALSE,"EA CH";#N/A,#N/A,FALSE,"EA CH (3) ";#N/A,#N/A,FALSE,"EA CH (4)";#N/A,#N/A,FALSE,"KA CH";#N/A,#N/A,FALSE,"KA CH  (2)";#N/A,#N/A,FALSE,"KA CH  (3)";#N/A,#N/A,FALSE,"KA CH (4)"}</definedName>
    <definedName name="wrn.GB._.EO." localSheetId="4" hidden="1">{#N/A,#N/A,FALSE,"Umsatz EO BP";#N/A,#N/A,FALSE,"Umsatz EO OP";#N/A,#N/A,FALSE,"ER EO BP";#N/A,#N/A,FALSE,"ER EO OP";#N/A,#N/A,FALSE,"EA EO (2)";#N/A,#N/A,FALSE,"EA EO";#N/A,#N/A,FALSE,"EA EO (3)";#N/A,#N/A,FALSE,"EA EO (4)";#N/A,#N/A,FALSE,"KA EO  (2)";#N/A,#N/A,FALSE,"KA EO";#N/A,#N/A,FALSE,"KA EO  (3)";#N/A,#N/A,FALSE,"KA EO (4)"}</definedName>
    <definedName name="wrn.GB._.HM." localSheetId="4" hidden="1">{#N/A,#N/A,FALSE,"Umsatz HM";#N/A,#N/A,FALSE,"ER HM";#N/A,#N/A,FALSE,"EA HM  (2)";#N/A,#N/A,FALSE,"EA HM ";#N/A,#N/A,FALSE,"EA HM  (4)";#N/A,#N/A,FALSE,"EA HM  (3)";#N/A,#N/A,FALSE,"KA HM  (2)";#N/A,#N/A,FALSE,"KA HM";#N/A,#N/A,FALSE,"KA HM  (3)";#N/A,#N/A,FALSE,"KA HM (4)"}</definedName>
    <definedName name="wrn.GB._.OK." localSheetId="4" hidden="1">{#N/A,#N/A,FALSE,"Umsatz OK";#N/A,#N/A,FALSE,"ER OK ";#N/A,#N/A,FALSE,"EA OK (2)";#N/A,#N/A,FALSE,"EA OK";#N/A,#N/A,FALSE,"EA OK (3)";#N/A,#N/A,FALSE,"EA OK (4)";#N/A,#N/A,FALSE,"KA OK  (2)";#N/A,#N/A,FALSE,"KA OK";#N/A,#N/A,FALSE,"KA OK  (3)";#N/A,#N/A,FALSE,"KA OK (4)"}</definedName>
    <definedName name="wrn.gb._hm." localSheetId="4" hidden="1">{#N/A,#N/A,FALSE,"Umsatz CH";#N/A,#N/A,FALSE,"ER CH";#N/A,#N/A,FALSE,"EA CH (2) ";#N/A,#N/A,FALSE,"EA CH";#N/A,#N/A,FALSE,"EA CH (3) ";#N/A,#N/A,FALSE,"EA CH (4)";#N/A,#N/A,FALSE,"KA CH";#N/A,#N/A,FALSE,"KA CH  (2)";#N/A,#N/A,FALSE,"KA CH  (3)";#N/A,#N/A,FALSE,"KA CH (4)"}</definedName>
    <definedName name="wrn.gb_lll" localSheetId="4" hidden="1">{#N/A,#N/A,FALSE,"Umsatz CH";#N/A,#N/A,FALSE,"ER CH";#N/A,#N/A,FALSE,"EA CH (2) ";#N/A,#N/A,FALSE,"EA CH";#N/A,#N/A,FALSE,"EA CH (3) ";#N/A,#N/A,FALSE,"EA CH (4)";#N/A,#N/A,FALSE,"KA CH";#N/A,#N/A,FALSE,"KA CH  (2)";#N/A,#N/A,FALSE,"KA CH  (3)";#N/A,#N/A,FALSE,"KA CH (4)"}</definedName>
    <definedName name="wrn.General._.OTC." localSheetId="4" hidden="1">{#N/A,#N/A,FALSE,"Title Page (3)";#N/A,#N/A,FALSE,"YTD - OTC";#N/A,#N/A,FALSE,"MTH - OTC"}</definedName>
    <definedName name="wrn.General._.Pharm." localSheetId="4" hidden="1">{#N/A,#N/A,FALSE,"Title Page (2)";#N/A,#N/A,FALSE,"YTD - Pharm";#N/A,#N/A,FALSE,"MTH - Pharm"}</definedName>
    <definedName name="wrn.General._.Total." localSheetId="4" hidden="1">{#N/A,#N/A,FALSE,"Title Page (4)";#N/A,#N/A,FALSE,"YTD - Total";#N/A,#N/A,FALSE,"MTH - Total"}</definedName>
    <definedName name="wrn.Geographic._.Trends." localSheetId="4" hidden="1">{"Geographic P1",#N/A,FALSE,"Division &amp; Geog"}</definedName>
    <definedName name="wrn.GRAPHS." localSheetId="4" hidden="1">{#N/A,#N/A,FALSE,"ACQ_GRAPHS";#N/A,#N/A,FALSE,"T_1 GRAPHS";#N/A,#N/A,FALSE,"T_2 GRAPHS";#N/A,#N/A,FALSE,"COMB_GRAPHS"}</definedName>
    <definedName name="wrn.Guidelines." localSheetId="4" hidden="1">{"Guidelines",#N/A,FALSE,"Guidelines"}</definedName>
    <definedName name="wrn.GuV." localSheetId="4" hidden="1">{#N/A,#N/A,FALSE,"Layout GuV"}</definedName>
    <definedName name="wrn.HELIUM._.PRICING." localSheetId="4" hidden="1">{"HELIUM PRICING",#N/A,FALSE,"HELIUM"}</definedName>
    <definedName name="wrn.HELIUM._.REVENUE." localSheetId="4" hidden="1">{"HELIUM REVENUE",#N/A,FALSE,"HELIUM"}</definedName>
    <definedName name="wrn.HELIUM._.VOLUME." localSheetId="4" hidden="1">{"HELIUM VOLUME",#N/A,FALSE,"HELIUM"}</definedName>
    <definedName name="wrn.ICD." localSheetId="4" hidden="1">{"ICD Details",#N/A,FALSE,"Current Yr";"ICD Details",#N/A,FALSE,"Budget";"ICD Details",#N/A,FALSE,"Prior Year"}</definedName>
    <definedName name="wrn.ICD._.Balance._.Sheet." localSheetId="4" hidden="1">{#N/A,"ICD",FALSE,"BSHIST.XLS";#N/A,"DMU",FALSE,"BSHIST.XLS";#N/A,"METHYL",FALSE,"BSHIST.XLS";#N/A,"HIGHER",FALSE,"BSHIST.XLS";#N/A,"SPEC",FALSE,"BSHIST.XLS";#N/A,"DERIV",FALSE,"BSHIST.XLS";#N/A,"AMM",FALSE,"BSHIST.XLS";#N/A,"CVT",FALSE,"BSHIST.XLS";#N/A,"MEOH",FALSE,"BSHIST.XLS";#N/A,"PINTER",FALSE,"BSHIST.XLS";#N/A,"NEWVEN",FALSE,"BSHIST.XLS"}</definedName>
    <definedName name="wrn.imprim." localSheetId="4"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4" hidden="1">{"income statement",#N/A,FALSE,"ATLAS-A"}</definedName>
    <definedName name="wrn.incomestmt." localSheetId="4"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fectious._.Diseases." localSheetId="4" hidden="1">{#N/A,#N/A,FALSE,"Anti";#N/A,#N/A,FALSE,"Cefa";#N/A,#N/A,FALSE,"Ceph";#N/A,#N/A,FALSE,"Cefp";#N/A,#N/A,FALSE,"Cefe";#N/A,#N/A,FALSE,"Pens";#N/A,#N/A,FALSE,"Ampi";#N/A,#N/A,FALSE,"Amox";#N/A,#N/A,FALSE,"Isox";#N/A,#N/A,FALSE,"Aztr";#N/A,#N/A,FALSE,"Videx";#N/A,#N/A,FALSE,"Zerit"}</definedName>
    <definedName name="wrn.input._.and._.output." localSheetId="4" hidden="1">{"EBITDA",#N/A,TRUE,"P&amp;L Net of Disc Ops";"output net of disc ops",#N/A,TRUE,"Revenue";"input",#N/A,TRUE,"Revenue";"output",#N/A,TRUE,"DC";"Input",#N/A,TRUE,"DC";"MTN and MCN",#N/A,TRUE,"Margin";"output detail line items",#N/A,TRUE,"SGA";"personnel by year",#N/A,TRUE,"Payroll";#N/A,#N/A,TRUE,"CapEx"}</definedName>
    <definedName name="wrn.ipo." localSheetId="4" hidden="1">{"assumptions",#N/A,FALSE,"Scenario 1";"valuation",#N/A,FALSE,"Scenario 1"}</definedName>
    <definedName name="wrn.IPO._.Valuation." localSheetId="4" hidden="1">{"assumptions",#N/A,FALSE,"Scenario 1";"valuation",#N/A,FALSE,"Scenario 1"}</definedName>
    <definedName name="wrn.ISBL." localSheetId="4" hidden="1">{#N/A,#N/A,FALSE,"ISBL"}</definedName>
    <definedName name="wrn.ISBL._1" localSheetId="4" hidden="1">{#N/A,#N/A,FALSE,"ISBL"}</definedName>
    <definedName name="wrn.ISBL._2" localSheetId="4" hidden="1">{#N/A,#N/A,FALSE,"ISBL"}</definedName>
    <definedName name="wrn.ISBL._3" localSheetId="4" hidden="1">{#N/A,#N/A,FALSE,"ISBL"}</definedName>
    <definedName name="wrn.ISBL._4" localSheetId="4" hidden="1">{#N/A,#N/A,FALSE,"ISBL"}</definedName>
    <definedName name="wrn.ISRAEL." localSheetId="4" hidden="1">{#N/A,#N/A,FALSE,"TECH CENTRE RXDU66";#N/A,#N/A,FALSE,"ASU VAAX66";#N/A,#N/A,FALSE,"TCM VAKX66"}</definedName>
    <definedName name="wrn.JANI._.REBATES." localSheetId="4" hidden="1">{"TOTAL",#N/A,FALSE,"A";"FISCAL94",#N/A,FALSE,"A";"FISCAL95",#N/A,FALSE,"A";"FISCAL96",#N/A,FALSE,"A";"misc page",#N/A,FALSE,"A"}</definedName>
    <definedName name="wrn.Japan_Capers_Ed._.Pub." localSheetId="4" hidden="1">{"Japan_Capers_Ed_Pub",#N/A,FALSE,"DI 2 YEAR MASTER SCHEDULE"}</definedName>
    <definedName name="wrn.jck94TAXRETURN." localSheetId="4"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KESPCal." localSheetId="4" hidden="1">{#N/A,#N/A,FALSE,"Cipta-All";#N/A,#N/A,FALSE,"Individual"}</definedName>
    <definedName name="wrn.Komplettausdruck." localSheetId="4" hidden="1">{#N/A,#N/A,FALSE,"Layout Aktiva";#N/A,#N/A,FALSE,"Layout Passiva";#N/A,#N/A,FALSE,"Layout GuV";#N/A,#N/A,FALSE,"Layout Cash Flow";#N/A,#N/A,FALSE,"Mittelherkunft";#N/A,#N/A,FALSE,"Mittelverwendung";#N/A,#N/A,FALSE,"Finanzbedarfsrechnung"}</definedName>
    <definedName name="wrn.LA._.SA." localSheetId="4" hidden="1">{"PnL",#N/A,FALSE,"Gas LA SA P&amp;L";"Responsibility",#N/A,FALSE,"Gas LA SA P&amp;L";"Cost Control",#N/A,FALSE,"Gas LA SA P&amp;L";"Program List",#N/A,FALSE,"Gas LA SA P&amp;L"}</definedName>
    <definedName name="wrn.LBO._.Summary." localSheetId="4" hidden="1">{"LBO Summary",#N/A,FALSE,"Summary"}</definedName>
    <definedName name="wrn.Lead._.Schedule." localSheetId="4" hidden="1">{#N/A,#N/A,FALSE,"BS";#N/A,#N/A,FALSE,"PL";#N/A,#N/A,FALSE,"A";#N/A,#N/A,FALSE,"B";#N/A,#N/A,FALSE,"B1";#N/A,#N/A,FALSE,"C";#N/A,#N/A,FALSE,"C1";#N/A,#N/A,FALSE,"C2";#N/A,#N/A,FALSE,"D";#N/A,#N/A,FALSE,"E";#N/A,#N/A,FALSE,"F";#N/A,#N/A,FALSE,"AA";#N/A,#N/A,FALSE,"BB";#N/A,#N/A,FALSE,"CC";#N/A,#N/A,FALSE,"DD";#N/A,#N/A,FALSE,"EE";#N/A,#N/A,FALSE,"FF";#N/A,#N/A,FALSE,"PL10";#N/A,#N/A,FALSE,"PL20";#N/A,#N/A,FALSE,"PL30"}</definedName>
    <definedName name="wrn.Level._.4." localSheetId="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JD._.Review._.1." localSheetId="4" hidden="1">{"LJD 1",#N/A,FALSE,"Master";"LJD 2",#N/A,FALSE,"Sheet2";"LJD 3",#N/A,FALSE,"Sheet1";"LJD 4",#N/A,FALSE,"Sheet3";"LJD 5",#N/A,FALSE,"Sheet4"}</definedName>
    <definedName name="wrn.LPNL." localSheetId="4" hidden="1">{"LPNL1",#N/A,FALSE,"EntitiesWithReclasses";"LPNL2",#N/A,FALSE,"EntitiesWithReclasses";"LPNL3",#N/A,FALSE,"EntitiesWithReclasses"}</definedName>
    <definedName name="wrn.LTCG." localSheetId="4" hidden="1">{"office ltcg",#N/A,FALSE,"gain01";"IT LTCG",#N/A,FALSE,"gain01"}</definedName>
    <definedName name="wrn.MANAGEMENT._.COSTS." localSheetId="4" hidden="1">{"MANAGEMENT COSTS",#N/A,FALSE,"C.CENTRE"}</definedName>
    <definedName name="wrn.Market._.Values." localSheetId="4" hidden="1">{#N/A,#N/A,TRUE,"10 Yr Hold";#N/A,#N/A,TRUE,"7 Yr Hold";#N/A,#N/A,TRUE,"5 Yr Hold";#N/A,#N/A,TRUE,"3 Yr Hold"}</definedName>
    <definedName name="wrn.Massimo." localSheetId="4"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DS1." localSheetI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F._.commentary._.on._.variance." localSheetId="4" hidden="1">{"Commentary",#N/A,FALSE,"May"}</definedName>
    <definedName name="wrn.MF._.with._.BA._.detail." localSheetId="4" hidden="1">{"BA detail",#N/A,FALSE,"Q3YTD "}</definedName>
    <definedName name="wrn.Mike._.070298." localSheetId="4" hidden="1">{#N/A,"Base 3-80-.8",FALSE,"Sheet1";#N/A,"Base 3-80-.95",FALSE,"Sheet1";#N/A,"Base 3-80-1",FALSE,"Sheet1";#N/A,"Greater 3-100-.8",FALSE,"Sheet1";#N/A,"Greater 3-100-.95",FALSE,"Sheet1";#N/A,"Greater 3-100-1",FALSE,"Sheet1";#N/A,"Greatest 3-80-.8",FALSE,"Sheet1";#N/A,"Greatest 3-80-.95",FALSE,"Sheet1";#N/A,"Greatest 3-80-1",FALSE,"Sheet1"}</definedName>
    <definedName name="wrn.model." localSheetId="4" hidden="1">{"basic",#N/A,FALSE,"BASIC"}</definedName>
    <definedName name="wrn.Model._.Level._.3." localSheetId="4" hidden="1">{"Income (All hidden)",#N/A,FALSE,"Income";"EPS (All Hidden)",#N/A,FALSE,"EPS";"EPS (All Hidden)",#N/A,FALSE,"CashFlow";"Quarterly (Last, Current and Next)",#N/A,FALSE,"Quarterly"}</definedName>
    <definedName name="wrn.Modelprint." localSheetId="4"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nthly." localSheetId="4" hidden="1">{#N/A,#N/A,FALSE,"cover";#N/A,#N/A,FALSE,"Balance Sheet";#N/A,#N/A,FALSE,"Comparatives";#N/A,#N/A,FALSE,"actuals"}</definedName>
    <definedName name="wrn.MTHLYGP." localSheetId="4" hidden="1">{"TXO2N2_GP",#N/A,FALSE,"MTHLYGP";"TXH2_GP",#N/A,FALSE,"MTHLYGP";"LOUIS_GP",#N/A,FALSE,"MTHLYGP";"H2_GP",#N/A,FALSE,"MTHLYGP";"O2N2_GP",#N/A,FALSE,"MTHLYGP";"PACKAGE_GP",#N/A,FALSE,"MTHLYGP";"OTHER_GP",#N/A,FALSE,"MTHLYGP"}</definedName>
    <definedName name="wrn.MTHLYSLES." localSheetId="4" hidden="1">{"TXO2N2_SLS",#N/A,FALSE,"MTHLYSLES";"TXH2_SLS",#N/A,FALSE,"MTHLYSLES";"LOUIS_SLS",#N/A,FALSE,"MTHLYSLES";"H2_SLS",#N/A,FALSE,"MTHLYSLES";"O2N2_SLS",#N/A,FALSE,"MTHLYSLES";"PACKAGE_SLS",#N/A,FALSE,"MTHLYSLES"}</definedName>
    <definedName name="wrn.MTHYLYVOL." localSheetId="4" hidden="1">{"TEXO2N2_VOL",#N/A,FALSE,"MTHLYVOL";"TEXH2_VOL",#N/A,FALSE,"MTHLYVOL";"LOUIS_VOL",#N/A,FALSE,"MTHLYVOL";"H2_VOL",#N/A,FALSE,"MTHLYVOL";"O2N2_VOL",#N/A,FALSE,"MTHLYVOL";"PACKAGE_VOL",#N/A,FALSE,"MTHLYVOL"}</definedName>
    <definedName name="wrn.mustax." localSheetId="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N.O.L.." localSheetId="4" hidden="1">{#N/A,#N/A,FALSE,"91NOLCB";#N/A,#N/A,FALSE,"92NOLCB";#N/A,#N/A,FALSE,"93NOLCB"}</definedName>
    <definedName name="wrn.NewRept.xls." localSheetId="4" hidden="1">{#N/A,#N/A,TRUE,"Sheet1";#N/A,#N/A,TRUE,"Sheet2";#N/A,#N/A,TRUE,"Sheet3";#N/A,#N/A,TRUE,"Sheet4";#N/A,#N/A,TRUE,"Sheet5";#N/A,#N/A,TRUE,"Sheet6";#N/A,#N/A,TRUE,"Sheet7"}</definedName>
    <definedName name="wrn.Nico." localSheetId="4" hidden="1">{#N/A,#N/A,TRUE,"Cover";#N/A,#N/A,TRUE,"Transaction Summary";#N/A,#N/A,TRUE,"Earnings Impact";#N/A,#N/A,TRUE,"accretion dilution"}</definedName>
    <definedName name="wrn.Non._.Div._.Balance._.Sheet." localSheetId="4" hidden="1">{#N/A,"NONDV",FALSE,"BSHIST.XLS"}</definedName>
    <definedName name="wrn.North._.America." localSheetId="4" hidden="1">{"PnL",#N/A,FALSE,"Gas NA P&amp;L";"Responsibility",#N/A,FALSE,"Gas NA P&amp;L";"Cost Control",#N/A,FALSE,"Gas NA P&amp;L";"Program List",#N/A,FALSE,"Gas NA P&amp;L"}</definedName>
    <definedName name="wrn.ntfinance." localSheetId="4" hidden="1">{"Rate",#N/A,TRUE,"SUMMARY";"Ratios",#N/A,TRUE,"Ratios";"BUDGETREVENUE",#N/A,TRUE,"Revenue";"TOTALS",#N/A,TRUE,"DETAIL"}</definedName>
    <definedName name="wrn.Ocotober." localSheetId="4" hidden="1">{#N/A,#N/A,TRUE,"95FORSUM.XLS";#N/A,#N/A,TRUE,"95FORSUM.XLS";#N/A,#N/A,TRUE,"95FORSUM.XLS"}</definedName>
    <definedName name="wrn.oct_res_comm." localSheetId="4" hidden="1">{"oct_res_comm",#N/A,FALSE,"VarToBud"}</definedName>
    <definedName name="wrn.Oncology." localSheetId="4" hidden="1">{#N/A,#N/A,FALSE,"Onco";#N/A,#N/A,FALSE,"Taxol";#N/A,#N/A,FALSE,"UFT";#N/A,#N/A,FALSE,"Carb"}</definedName>
    <definedName name="wrn.one" localSheetId="4" hidden="1">{"page1",#N/A,FALSE,"A";"page2",#N/A,FALSE,"A"}</definedName>
    <definedName name="wrn.one." localSheetId="4" hidden="1">{"page1",#N/A,FALSE,"A";"page2",#N/A,FALSE,"A"}</definedName>
    <definedName name="wrn.One._.Pager._.plus._.Technicals." localSheetId="4" hidden="1">{#N/A,#N/A,FALSE,"One Pager";#N/A,#N/A,FALSE,"Technical"}</definedName>
    <definedName name="wrn.Ordered._.packet." localSheetId="4"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SBL." localSheetId="4" hidden="1">{#N/A,#N/A,FALSE,"OSBL"}</definedName>
    <definedName name="wrn.OSBL._1" localSheetId="4" hidden="1">{#N/A,#N/A,FALSE,"OSBL"}</definedName>
    <definedName name="wrn.OSBL._2" localSheetId="4" hidden="1">{#N/A,#N/A,FALSE,"OSBL"}</definedName>
    <definedName name="wrn.OSBL._3" localSheetId="4" hidden="1">{#N/A,#N/A,FALSE,"OSBL"}</definedName>
    <definedName name="wrn.OSBL._4" localSheetId="4" hidden="1">{#N/A,#N/A,FALSE,"OSBL"}</definedName>
    <definedName name="wrn.OTC._.Market._.Report." localSheetId="4" hidden="1">{#N/A,#N/A,FALSE,"Sales Graph";#N/A,#N/A,FALSE,"BUC Graph";#N/A,#N/A,FALSE,"P&amp;L - YTD"}</definedName>
    <definedName name="wrn.OTHER._.ADMIN._.COSTS." localSheetId="4" hidden="1">{"OTHER ADMIN COSTS",#N/A,FALSE,"C.CENTRE"}</definedName>
    <definedName name="wrn.Other._.Pharm." localSheetId="4" hidden="1">{#N/A,#N/A,FALSE,"Other";#N/A,#N/A,FALSE,"Ace";#N/A,#N/A,FALSE,"Derm"}</definedName>
    <definedName name="wrn.OTHER._.REVENUE." localSheetId="4" hidden="1">{"OTHER REVENUE",#N/A,FALSE,"OTHERS"}</definedName>
    <definedName name="wrn.Output." localSheetId="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 localSheetId="4" hidden="1">{#N/A,#N/A,FALSE,"1";#N/A,#N/A,FALSE,"2";#N/A,#N/A,FALSE,"16 - 17";#N/A,#N/A,FALSE,"18 - 19";#N/A,#N/A,FALSE,"26";#N/A,#N/A,FALSE,"27";#N/A,#N/A,FALSE,"28"}</definedName>
    <definedName name="wrn.PandLs." localSheetId="4"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BIT_DEV." localSheetId="4" hidden="1">{"QTR_ACT",#N/A,FALSE,"PROP_PBIT_DEV_Q3";"QTR_BUD",#N/A,FALSE,"PROP_PBIT_DEV_Q3";"YTD_BUD",#N/A,FALSE,"PROP_PBIT_DEV_Q3";"YTD_ACT",#N/A,FALSE,"PROP_PBIT_DEV_Q3";"FY95 SNAP3",#N/A,FALSE,"PROP_PBIT_DEV_Q3";"FY95_BUD",#N/A,FALSE,"PROP_PBIT_DEV_Q3";"FY96_BUD",#N/A,FALSE,"PROP_PBIT_DEV_Q3"}</definedName>
    <definedName name="wrn.Performance." localSheetId="4" hidden="1">{"Performance Details",#N/A,FALSE,"Current Yr";"Performance Details",#N/A,FALSE,"Budget";"Performance Details",#N/A,FALSE,"Prior Year"}</definedName>
    <definedName name="wrn.PFDBalance._.Sheet." localSheetId="4" hidden="1">{#N/A,"PURPER",FALSE,"BSHIST.XLS";#N/A,"PURADD",FALSE,"BSHIST.XLS";#N/A,"PURSPP",FALSE,"BSHIST.XLS";#N/A,"CTGIND",FALSE,"BSHIST.XLS";#N/A,"ANCHOR",FALSE,"BSHIST.XLS";#N/A,"SPADD",FALSE,"BSHIST.XLS"}</definedName>
    <definedName name="wrn.PGW." localSheetId="4" hidden="1">{#N/A,#N/A,FALSE,"PGW"}</definedName>
    <definedName name="wrn.PGW._1" localSheetId="4" hidden="1">{#N/A,#N/A,FALSE,"PGW"}</definedName>
    <definedName name="wrn.PGW._2" localSheetId="4" hidden="1">{#N/A,#N/A,FALSE,"PGW"}</definedName>
    <definedName name="wrn.PGW._3" localSheetId="4" hidden="1">{#N/A,#N/A,FALSE,"PGW"}</definedName>
    <definedName name="wrn.PGW._4" localSheetId="4" hidden="1">{#N/A,#N/A,FALSE,"PGW"}</definedName>
    <definedName name="wrn.Pharm._.Market._.Report." localSheetId="4" hidden="1">{#N/A,#N/A,FALSE,"Sales Graph";#N/A,#N/A,FALSE,"PSBM";#N/A,#N/A,FALSE,"BUC Graph";#N/A,#N/A,FALSE,"P&amp;L - YTD"}</definedName>
    <definedName name="wrn.Pharmaceuticals."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 localSheetId="4" hidden="1">{"20 Years",#N/A,FALSE,"P&amp;Ls";"2001",#N/A,FALSE,"P&amp;Ls"}</definedName>
    <definedName name="wrn.PL." localSheetId="4" hidden="1">{"20 Years",#N/A,FALSE,"P&amp;Ls";"2001",#N/A,FALSE,"P&amp;Ls"}</definedName>
    <definedName name="wrn.PLANNING." localSheetId="4" hidden="1">{"PLANNING",#N/A,FALSE,"A"}</definedName>
    <definedName name="wrn.Plannng." localSheetId="4" hidden="1">{#N/A,#N/A,FALSE,"Budegeted vs Actual"}</definedName>
    <definedName name="wrn.PM8._.table." localSheetId="4" hidden="1">{#N/A,#N/A,FALSE,"PM8 table"}</definedName>
    <definedName name="wrn.PMW._.Gruppe._.00_99." localSheetId="4" hidden="1">{#N/A,#N/A,FALSE,"PMW Gruppe 00_99";#N/A,#N/A,FALSE,"PMW KG 00_99";#N/A,#N/A,FALSE,"PMW Inc. 00_99";#N/A,#N/A,FALSE,"PMW VTECH 00_99";#N/A,#N/A,FALSE,"PMW Thail. 00_99";#N/A,#N/A,FALSE,"PMW Canada 00_99";#N/A,#N/A,FALSE,"Währungsabw. 00_99"}</definedName>
    <definedName name="wrn.PMW._.Gruppe._.99_98n." localSheetId="4" hidden="1">{#N/A,#N/A,FALSE,"PMW Gruppe 99_98";#N/A,#N/A,FALSE,"PMW KG 98_99";#N/A,#N/A,FALSE,"PMW Inc. 99_98";#N/A,#N/A,FALSE,"PMW VTECH 99_98";#N/A,#N/A,FALSE,"PMW Thail. 99_98";#N/A,#N/A,FALSE,"PMW Canada 99_98";#N/A,#N/A,FALSE,"Währungsabw. 99_98"}</definedName>
    <definedName name="wrn.Polymers." localSheetId="4" hidden="1">{"Polymers Details",#N/A,FALSE,"Current Yr";"Polymer Details",#N/A,FALSE,"Budget";"Polymer Details",#N/A,FALSE,"Prior Year"}</definedName>
    <definedName name="wrn.Polymers._.Balance._.Sheet." localSheetId="4" hidden="1">{#N/A,"POLY",FALSE,"BSHIST.XLS";#N/A,"EMUL",FALSE,"BSHIST.XLS";#N/A,"PVOH",FALSE,"BSHIST.XLS";#N/A,"ACET",FALSE,"BSHIST.XLS"}</definedName>
    <definedName name="wrn.polymwe." localSheetId="4" hidden="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p97schedules." localSheetId="4" hidden="1">{"plansummary",#N/A,FALSE,"PlanSummary";"sales",#N/A,FALSE,"Sales Rec";"productivity",#N/A,FALSE,"Productivity Rec";"capitalspending",#N/A,FALSE,"Capital Spending"}</definedName>
    <definedName name="wrn.ppp" localSheetId="4" hidden="1">{#N/A,#N/A,FALSE,"1";#N/A,#N/A,FALSE,"2";#N/A,#N/A,FALSE,"16 - 17";#N/A,#N/A,FALSE,"18 - 19";#N/A,#N/A,FALSE,"26";#N/A,#N/A,FALSE,"27";#N/A,#N/A,FALSE,"28"}</definedName>
    <definedName name="wrn.Presentation." localSheetId="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i." localSheetId="4" hidden="1">{"BS",#N/A,FALSE,"BS";"BS trend",#N/A,FALSE,"BS";"KPI",#N/A,FALSE,"KPI";"KPI trend",#N/A,FALSE,"KPI";"CF trend",#N/A,FALSE,"CF";"CF",#N/A,FALSE,"CF";"P&amp;LC",#N/A,FALSE,"P&amp;L";"P&amp;LC trend",#N/A,FALSE,"P&amp;L";"traffic",#N/A,FALSE,"Traffic";"P&amp;LR",#N/A,FALSE,"P&amp;L";"P&amp;LR trend",#N/A,FALSE,"P&amp;L";#N/A,#N/A,FALSE,"Variance";"Debtors",#N/A,FALSE,"Deb"}</definedName>
    <definedName name="wrn.Price_Effect." localSheetId="4" hidden="1">{"Comp_of_Price_Effect",#N/A,FALSE,"QTRDPVAR"}</definedName>
    <definedName name="wrn.prin2._.all." localSheetId="4" hidden="1">{#N/A,#N/A,FALSE,"Pharm";#N/A,#N/A,FALSE,"WWCM"}</definedName>
    <definedName name="wrn.prin3" localSheetId="4" hidden="1">{#N/A,#N/A,FALSE,"Pharm";#N/A,#N/A,FALSE,"WWCM"}</definedName>
    <definedName name="wrn.print" localSheetId="4" hidden="1">{"page1",#N/A,FALSE,"PROFORMA";"page2",#N/A,FALSE,"PROFORMA";"page3",#N/A,FALSE,"PROFORMA";"page4",#N/A,FALSE,"PROFORMA";"page5",#N/A,FALSE,"PROFORMA";"page6",#N/A,FALSE,"PROFORMA";"page7",#N/A,FALSE,"PROFORMA";"page8",#N/A,FALSE,"PROFORMA"}</definedName>
    <definedName name="wrn.PRINT." localSheetId="4" hidden="1">{"PAGE 1",#N/A,FALSE,"ES-01-XX";"PAGE 2",#N/A,FALSE,"ES-01-XX"}</definedName>
    <definedName name="wrn.PRINT._.ALL." localSheetId="4" hidden="1">{#N/A,#N/A,FALSE,"Pharm";#N/A,#N/A,FALSE,"WWCM"}</definedName>
    <definedName name="wrn.Print._.All._.Pages." localSheetId="4" hidden="1">{"LBO Summary",#N/A,FALSE,"Summary";"Income Statement",#N/A,FALSE,"Model";"Cash Flow",#N/A,FALSE,"Model";"Balance Sheet",#N/A,FALSE,"Model";"Working Capital",#N/A,FALSE,"Model";"Pro Forma Balance Sheets",#N/A,FALSE,"PFBS";"Debt Balances",#N/A,FALSE,"Model";"Fee Schedules",#N/A,FALSE,"Model"}</definedName>
    <definedName name="wrn.PRINT._.ALL.2" localSheetId="4" hidden="1">{#N/A,#N/A,FALSE,"Pharm";#N/A,#N/A,FALSE,"WWCM"}</definedName>
    <definedName name="wrn.Print._.All_2" localSheetId="4" hidden="1">{"Geo - Detail Detail",#N/A,FALSE,"Geo View";"Geo - Detail",#N/A,FALSE,"Geo View";"Dept - Detail Detail",#N/A,FALSE,"Dept View";"Dept - Detail",#N/A,FALSE,"Dept View"}</definedName>
    <definedName name="WRN.PRINT._.ALL1" localSheetId="4" hidden="1">{"Geo - Detail Detail",#N/A,FALSE,"Geo View";"Geo - Detail",#N/A,FALSE,"Geo View";"Dept - Detail Detail",#N/A,FALSE,"Dept View";"Dept - Detail",#N/A,FALSE,"Dept View"}</definedName>
    <definedName name="wrn.print._.all2" localSheetId="4" hidden="1">{#N/A,#N/A,FALSE,"Pharm";#N/A,#N/A,FALSE,"WWCM"}</definedName>
    <definedName name="wrn.print._.graphs." localSheetId="4" hidden="1">{"cap_structure",#N/A,FALSE,"Graph-Mkt Cap";"price",#N/A,FALSE,"Graph-Price";"ebit",#N/A,FALSE,"Graph-EBITDA";"ebitda",#N/A,FALSE,"Graph-EBITDA"}</definedName>
    <definedName name="wrn.Print._.Model." localSheetId="4"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raw._.data._.entry." localSheetId="4" hidden="1">{"inputs raw data",#N/A,TRUE,"INPUT"}</definedName>
    <definedName name="wrn.print._.standalone." localSheetId="4" hidden="1">{"standalone1",#N/A,FALSE,"DCFBase";"standalone2",#N/A,FALSE,"DCFBase"}</definedName>
    <definedName name="wrn.print._.summary._.sheets." localSheetId="4" hidden="1">{"summary1",#N/A,TRUE,"Comps";"summary2",#N/A,TRUE,"Comps";"summary3",#N/A,TRUE,"Comps"}</definedName>
    <definedName name="wrn.Print._.the._.lot." localSheetId="4" hidden="1">{"First Page",#N/A,FALSE,"Surfactants LBO";"Second Page",#N/A,FALSE,"Surfactants LBO"}</definedName>
    <definedName name="wrn.Print._.whole._.Report." localSheetId="4"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localSheetId="4" hidden="1">{#N/A,#N/A,FALSE,"Pharm";#N/A,#N/A,FALSE,"WWCM"}</definedName>
    <definedName name="wrn.Print_all." localSheetId="4" hidden="1">{"APF",#N/A,FALSE,"Bfc98-1";"APG",#N/A,FALSE,"Bfc98-1";"APND",#N/A,FALSE,"Bfc98-1";"APSA",#N/A,FALSE,"Bfc98-1";"lhy",#N/A,FALSE,"Bfc98-1";"PEC",#N/A,FALSE,"Bfc98-1"}</definedName>
    <definedName name="wrn.Print_Buyer." localSheetId="4" hidden="1">{#N/A,"DR",FALSE,"increm pf";#N/A,"MAMSI",FALSE,"increm pf";#N/A,"MAXI",FALSE,"increm pf";#N/A,"PCAM",FALSE,"increm pf";#N/A,"PHSV",FALSE,"increm pf";#N/A,"SIE",FALSE,"increm pf"}</definedName>
    <definedName name="wrn.Print_Target." localSheetId="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2" localSheetId="4" hidden="1">{#N/A,#N/A,FALSE,"Pharm";#N/A,#N/A,FALSE,"WWCM"}</definedName>
    <definedName name="wrn.printac." localSheetId="4" hidden="1">{#N/A,#N/A,FALSE,"Op-BS";#N/A,#N/A,FALSE,"Assum";#N/A,#N/A,FALSE,"IS";#N/A,#N/A,FALSE,"Syn+Elim";#N/A,#N/A,FALSE,"BSCF";#N/A,#N/A,FALSE,"Blue_IS";#N/A,#N/A,FALSE,"Blue_BSCF";#N/A,#N/A,FALSE,"Ratings"}</definedName>
    <definedName name="wrn.Printall." localSheetId="4"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wrn.Printing._.Report." localSheetId="4"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out." localSheetId="4" hidden="1">{#N/A,#N/A,FALSE,"BANNERS";#N/A,#N/A,FALSE,"Market";#N/A,#N/A,FALSE,"# of POP MAN";#N/A,#N/A,FALSE,"Penet Input";#N/A,#N/A,FALSE,"Tel Rev";#N/A,#N/A,FALSE,"Invest";#N/A,#N/A,FALSE,"Op Cost1";#N/A,#N/A,FALSE,"Op Cost2";#N/A,#N/A,FALSE,"Oth_&amp;_Tot_Revenues";#N/A,#N/A,FALSE,"Fin Mod";#N/A,#N/A,FALSE,"P&amp;E Burocrat";#N/A,#N/A,FALSE,"cash flow"}</definedName>
    <definedName name="wrn.PRINTREP." localSheetId="4" hidden="1">{"PRINTREP",#N/A,FALSE,"Sheet1"}</definedName>
    <definedName name="wrn.Priority._.list." localSheetId="4" hidden="1">{#N/A,#N/A,FALSE,"DI 2 YEAR MASTER SCHEDULE"}</definedName>
    <definedName name="wrn.Prjcted._.Mnthly._.Qtys." localSheetId="4" hidden="1">{#N/A,#N/A,FALSE,"PRJCTED MNTHLY QTY's"}</definedName>
    <definedName name="wrn.Prjcted._.Qtrly._.Dollars." localSheetId="4" hidden="1">{#N/A,#N/A,FALSE,"PRJCTED QTRLY $'s"}</definedName>
    <definedName name="wrn.Prjcted._.Qtrly._.Qtys." localSheetId="4" hidden="1">{#N/A,#N/A,FALSE,"PRJCTED QTRLY QTY's"}</definedName>
    <definedName name="wrn.PRODUCTION._.COSTS." localSheetId="4" hidden="1">{"PRODUCTION COSTS",#N/A,FALSE,"C.CENTRE"}</definedName>
    <definedName name="wrn.Productivity." localSheetId="4" hidden="1">{#N/A,#N/A,FALSE,"Productivity"}</definedName>
    <definedName name="wrn.products" localSheetId="4" hidden="1">{#N/A,#N/A,FALSE,"1";#N/A,#N/A,FALSE,"2";#N/A,#N/A,FALSE,"16 - 17";#N/A,#N/A,FALSE,"18 - 19";#N/A,#N/A,FALSE,"26";#N/A,#N/A,FALSE,"27";#N/A,#N/A,FALSE,"28"}</definedName>
    <definedName name="wrn.Products." localSheetId="4" hidden="1">{#N/A,#N/A,FALSE,"1";#N/A,#N/A,FALSE,"2";#N/A,#N/A,FALSE,"16 - 17";#N/A,#N/A,FALSE,"18 - 19";#N/A,#N/A,FALSE,"26";#N/A,#N/A,FALSE,"27";#N/A,#N/A,FALSE,"28"}</definedName>
    <definedName name="wrn.Profile." localSheetId="4" hidden="1">{"Profile",#N/A,FALSE,"BXS"}</definedName>
    <definedName name="wrn.PROFIT._.LOSS._.AC." localSheetId="4" hidden="1">{"PROFIT LOSS AC",#N/A,FALSE,"P&amp;L FY97"}</definedName>
    <definedName name="wrn.Profitability." localSheetId="4" hidden="1">{#N/A,"Good",TRUE,"Sheet1";#N/A,"Normal",TRUE,"Sheet1";#N/A,"Bad",TRUE,"Sheet1"}</definedName>
    <definedName name="wrn.Proforma." localSheetId="4" hidden="1">{"icd","icd",FALSE,"PROFORMA.XLS";"poly","poly",FALSE,"PROFORMA.XLS";"purper","purper",FALSE,"PROFORMA.XLS";"tchem","tchem",FALSE,"PROFORMA.XLS"}</definedName>
    <definedName name="wrn.PROFORMA._.CHECK._.BY._.DIVISION." localSheetId="4" hidden="1">{"PROFORMA CHECK BY DIVISION",#N/A,FALSE,"BSALLNOW.XLS"}</definedName>
    <definedName name="wrn.Project._.Summary." localSheetId="4" hidden="1">{"Summary",#N/A,FALSE,"MICMULT";"Income Statement",#N/A,FALSE,"MICMULT";"Cash Flows",#N/A,FALSE,"MICMULT"}</definedName>
    <definedName name="wrn.projeng." localSheetId="4" hidden="1">{"Commits",#N/A,FALSE,"Year"}</definedName>
    <definedName name="wrn.pror" localSheetId="4" hidden="1">{#N/A,#N/A,FALSE,"Pharm";#N/A,#N/A,FALSE,"WWCM"}</definedName>
    <definedName name="wrn.prt._.all1" localSheetId="4" hidden="1">{"Geo - Detail Detail",#N/A,FALSE,"Geo View";"Geo - Detail",#N/A,FALSE,"Geo View";"Dept - Detail Detail",#N/A,FALSE,"Dept View";"Dept - Detail",#N/A,FALSE,"Dept View"}</definedName>
    <definedName name="wrn.PUCSPADD." localSheetId="4" hidden="1">{#N/A,"PURCHM",FALSE,"Business Analysis";#N/A,"SPADD",FALSE,"Business Analysis"}</definedName>
    <definedName name="wrn.PUCSPADD.2" localSheetId="4" hidden="1">{#N/A,"PURCHM",FALSE,"Business Analysis";#N/A,"SPADD",FALSE,"Business Analysis"}</definedName>
    <definedName name="wrn.pucspadd1" localSheetId="4" hidden="1">{#N/A,"PURCHM",FALSE,"Business Analysis";#N/A,"SPADD",FALSE,"Business Analysis"}</definedName>
    <definedName name="wrn.pucspadd10" localSheetId="4" hidden="1">{#N/A,"PURCHM",FALSE,"Business Analysis";#N/A,"SPADD",FALSE,"Business Analysis"}</definedName>
    <definedName name="wrn.pucspadd102" localSheetId="4" hidden="1">{#N/A,"PURCHM",FALSE,"Business Analysis";#N/A,"SPADD",FALSE,"Business Analysis"}</definedName>
    <definedName name="wrn.pucspadd11" localSheetId="4" hidden="1">{#N/A,"PURCHM",FALSE,"Business Analysis";#N/A,"SPADD",FALSE,"Business Analysis"}</definedName>
    <definedName name="wrn.pucspadd12" localSheetId="4" hidden="1">{#N/A,"PURCHM",FALSE,"Business Analysis";#N/A,"SPADD",FALSE,"Business Analysis"}</definedName>
    <definedName name="wrn.pucspadd31" localSheetId="4" hidden="1">{#N/A,"PURCHM",FALSE,"Business Analysis";#N/A,"SPADD",FALSE,"Business Analysis"}</definedName>
    <definedName name="wrn.Pucspadd34" localSheetId="4" hidden="1">{#N/A,"PURCHM",FALSE,"Business Analysis";#N/A,"SPADD",FALSE,"Business Analysis"}</definedName>
    <definedName name="wrn.PUCSPADD35" localSheetId="4" hidden="1">{#N/A,"PURCHM",FALSE,"Business Analysis";#N/A,"SPADD",FALSE,"Business Analysis"}</definedName>
    <definedName name="wrn.Pulp." localSheetId="4" hidden="1">{"Pulp Production",#N/A,FALSE,"Pulp";"Pulp Earnings",#N/A,FALSE,"Pulp"}</definedName>
    <definedName name="wrn.Pulp.2" localSheetId="4" hidden="1">{"Pulp Production",#N/A,FALSE,"Pulp";"Pulp Earnings",#N/A,FALSE,"Pulp"}</definedName>
    <definedName name="wrn.Pulp.3" localSheetId="4" hidden="1">{"Pulp Production",#N/A,FALSE,"Pulp";"Pulp Earnings",#N/A,FALSE,"Pulp"}</definedName>
    <definedName name="wrn.purchase._.register." localSheetId="4" hidden="1">{#N/A,#N/A,TRUE,"RM-June"}</definedName>
    <definedName name="wrn.Pyramid." localSheetId="4" hidden="1">{#N/A,#N/A,FALSE,"Pyramid"}</definedName>
    <definedName name="wrn.QTD." localSheetId="4" hidden="1">{"QTD",#N/A,FALSE,"SUM"}</definedName>
    <definedName name="wrn.QTD_ALL." localSheetId="4" hidden="1">{"QTD_LPO2N2",#N/A,FALSE,"QTD";"QTD_HYCO",#N/A,FALSE,"QTD";"QTD_LOUISIANA",#N/A,FALSE,"QTD";"QTD_GENERALH2",#N/A,FALSE,"QTD";"QTD_PACKAGE",#N/A,FALSE,"QTD";"QTD_PRS",#N/A,FALSE,"QTD";"QTD_OTHER",#N/A,FALSE,"QTD"}</definedName>
    <definedName name="wrn.QTD_GENERAL._.H2." localSheetId="4" hidden="1">{"QTD_GENERALH2",#N/A,FALSE,"QTD"}</definedName>
    <definedName name="wrn.QTD_HYCO." localSheetId="4" hidden="1">{"QTD_HYCO",#N/A,FALSE,"QTD"}</definedName>
    <definedName name="wrn.QTD_LOUISIANA." localSheetId="4" hidden="1">{"QTD_LOUISIANA",#N/A,FALSE,"QTD"}</definedName>
    <definedName name="wrn.QTD_LPTEO2N2." localSheetId="4" hidden="1">{"QTD_LPO2N2",#N/A,FALSE,"QTD"}</definedName>
    <definedName name="wrn.QTD_OTHER." localSheetId="4" hidden="1">{"QTD_OTHER",#N/A,FALSE,"QTD"}</definedName>
    <definedName name="wrn.QTD_PACKAGE." localSheetId="4" hidden="1">{"QTD_PACKAGE",#N/A,FALSE,"QTD"}</definedName>
    <definedName name="wrn.QTD_PRS." localSheetId="4" hidden="1">{"QTD_PRS",#N/A,FALSE,"QTD"}</definedName>
    <definedName name="wrn.quarterly." localSheetId="4" hidden="1">{"Calenquart",#N/A,FALSE,"Remedy-model";"fiscquarter",#N/A,FALSE,"Remedy-model"}</definedName>
    <definedName name="wrn.Quarterly._.Income._.Statement." localSheetId="4" hidden="1">{#N/A,#N/A,FALSE,"earnings"}</definedName>
    <definedName name="wrn.Quarterly._.revenue._.model." localSheetId="4" hidden="1">{#N/A,#N/A,FALSE,"earnings"}</definedName>
    <definedName name="wrn.Range._.Values." localSheetId="4" hidden="1">{"page1",#N/A,FALSE,"Range Value - Incl Reclasses";"page2",#N/A,FALSE,"Range Value - Incl Reclasses";"page3",#N/A,FALSE,"Range Value - Incl Reclasses"}</definedName>
    <definedName name="wrn.Receivables." localSheetId="4"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o." localSheetId="4" hidden="1">{#N/A,#N/A,FALSE,"Sheet2"}</definedName>
    <definedName name="wrn.RECS." localSheetId="4" hidden="1">{#N/A,#N/A,FALSE,"5000";#N/A,#N/A,FALSE,"5010";#N/A,#N/A,FALSE,"5150";#N/A,#N/A,FALSE,"5500";#N/A,#N/A,FALSE,"5530";#N/A,#N/A,FALSE,"6200";#N/A,#N/A,FALSE,"6202";#N/A,#N/A,FALSE,"6220";#N/A,#N/A,FALSE,"6222";#N/A,#N/A,FALSE,"6240";#N/A,#N/A,FALSE,"6242";#N/A,#N/A,FALSE,"7200";#N/A,#N/A,FALSE,"7210";#N/A,#N/A,FALSE,"7220";#N/A,#N/A,FALSE,"7230";#N/A,#N/A,FALSE,"7290";#N/A,#N/A,FALSE,"7310";#N/A,#N/A,FALSE,"7330";#N/A,#N/A,FALSE,"73403";#N/A,#N/A,FALSE,"73503";#N/A,#N/A,FALSE,"7360";#N/A,#N/A,FALSE,"7370";#N/A,#N/A,FALSE,"7380";#N/A,#N/A,FALSE,"7390";#N/A,#N/A,FALSE,"7570";#N/A,#N/A,FALSE,"9250";#N/A,#N/A,FALSE,"IDZDF"}</definedName>
    <definedName name="wrn.redo." localSheetId="4" hidden="1">{"overview",#N/A,FALSE,"summary";"net assets",#N/A,FALSE,"summary";"asset turnover",#N/A,FALSE,"summary";"orona",#N/A,FALSE,"summary"}</definedName>
    <definedName name="wrn.redo._.2." localSheetId="4" hidden="1">{"sales growth",#N/A,FALSE,"summary";"oper income",#N/A,FALSE,"summary";"oros rank",#N/A,FALSE,"summary";"net assets",#N/A,FALSE,"summary";"asset turnover",#N/A,FALSE,"summary";"orona",#N/A,FALSE,"summary"}</definedName>
    <definedName name="wrn.Report." localSheetId="4" hidden="1">{"ReportDetail",#N/A,FALSE,"Months";"ReportSummary",#N/A,FALSE,"Avg Qtr CC - Final";"ReportDetail",#N/A,FALSE,"Avg Qtr CC - Final"}</definedName>
    <definedName name="wrn.Report._.2." localSheetId="4" hidden="1">{#N/A,#N/A,TRUE,"Pivots-Employee";#N/A,"Scenerio2",TRUE,"Assumptions Summary"}</definedName>
    <definedName name="wrn.Report1." localSheetId="4" hidden="1">{#N/A,#N/A,FALSE,"IS";#N/A,#N/A,FALSE,"BS";#N/A,#N/A,FALSE,"CF";#N/A,#N/A,FALSE,"CE";#N/A,#N/A,FALSE,"Depr";#N/A,#N/A,FALSE,"APAL"}</definedName>
    <definedName name="wrn.reports." localSheetId="4" hidden="1">{#N/A,"1000-1000-6000",FALSE,"Sheet1";#N/A,"2000-2000-12000",FALSE,"Sheet1";#N/A,"3000-3000-18000",FALSE,"Sheet1";#N/A,"4000-4000-24000",FALSE,"Sheet1";#N/A,"5000-5000-30000",FALSE,"Sheet1";#N/A,"1000-3000-30000",FALSE,"Sheet1"}</definedName>
    <definedName name="wrn.repo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t." localSheetId="4" hidden="1">{#N/A,#N/A,FALSE,"Annex-XV";#N/A,#N/A,FALSE,"Annex-XVI";#N/A,#N/A,FALSE,"Annex-XVII (i)";#N/A,#N/A,FALSE,"Annex-XVII (ii)"}</definedName>
    <definedName name="wrn.RESULTS." localSheetId="4" hidden="1">{#N/A,#N/A,FALSE,"HMF";#N/A,#N/A,FALSE,"FACIL";#N/A,#N/A,FALSE,"HMFINANCE";#N/A,#N/A,FALSE,"HMEUROPE";#N/A,#N/A,FALSE,"HHAB CONSO";#N/A,#N/A,FALSE,"PAB";#N/A,#N/A,FALSE,"MMC";#N/A,#N/A,FALSE,"THAI";#N/A,#N/A,FALSE,"SINPA";#N/A,#N/A,FALSE,"POLAND"}</definedName>
    <definedName name="wrn.revised._.CEC._.slides." localSheetId="4" hidden="1">{#N/A,#N/A,FALSE,"Revised cover";#N/A,#N/A,FALSE,"Trends";"main view",#N/A,FALSE,"As Reported";#N/A,#N/A,FALSE,"delegations";#N/A,#N/A,FALSE,"(un) Commited"}</definedName>
    <definedName name="wrn.ROUGH." localSheetId="4" hidden="1">{#N/A,#N/A,FALSE,"ROA";#N/A,#N/A,FALSE,"ROI";#N/A,#N/A,FALSE,"EBIT";#N/A,#N/A,FALSE,"MULT X"}</definedName>
    <definedName name="wrn.rptexhibits." localSheetId="4" hidden="1">{#N/A,#N/A,FALSE,"BS";#N/A,#N/A,FALSE,"IS";#N/A,#N/A,FALSE,"RMA ";#N/A,#N/A,FALSE,"ADJ IS";#N/A,#N/A,FALSE,"DCF"}</definedName>
    <definedName name="wrn.RRDOMINION._.TOWER." localSheetId="4" hidden="1">{#N/A,#N/A,FALSE,"Title Pg.- Summary of Rent Roll";#N/A,#N/A,FALSE,"SUMMARY OF RENT ROLL";#N/A,#N/A,FALSE,"SUMMARY OF FLOOR AREAS";#N/A,#N/A,FALSE,"Title Pg. - Rent Roll";#N/A,#N/A,FALSE,"RETAIL SECTION";#N/A,#N/A,FALSE,"OFFICES";#N/A,#N/A,FALSE,"STORAGE";#N/A,#N/A,FALSE,"MISCELLANEOUS";#N/A,#N/A,FALSE,"Title Pg.Rental Income Analysis";#N/A,#N/A,FALSE,"RENTAL INCOME ANALYSIS";#N/A,#N/A,FALSE,"Title Pg.-Lease Expirations";#N/A,#N/A,FALSE,"LEASE EXPIRATIONS"}</definedName>
    <definedName name="wrn.SAA94TAX." localSheetId="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les." localSheetId="4" hidden="1">{"sales",#N/A,FALSE,"Sales";"sales existing",#N/A,FALSE,"Sales";"sales rd1",#N/A,FALSE,"Sales";"sales rd2",#N/A,FALSE,"Sales"}</definedName>
    <definedName name="wrn.Scenario._.Summary." localSheetId="4" hidden="1">{#N/A,#N/A,TRUE,"Summary";#N/A,"1",TRUE,"Summary";#N/A,"2",TRUE,"Summary";#N/A,"3",TRUE,"Summary";#N/A,"4",TRUE,"Summary";#N/A,"5",TRUE,"Summary";#N/A,"6",TRUE,"Summary";#N/A,"7",TRUE,"Summary";#N/A,"8",TRUE,"Summary";#N/A,"9",TRUE,"Summary";#N/A,"10",TRUE,"Summary";#N/A,"11",TRUE,"Summary"}</definedName>
    <definedName name="wrn.scenariosummary" localSheetId="4" hidden="1">{#N/A,#N/A,TRUE,"Summary";#N/A,"1",TRUE,"Summary";#N/A,"2",TRUE,"Summary";#N/A,"3",TRUE,"Summary";#N/A,"4",TRUE,"Summary";#N/A,"5",TRUE,"Summary";#N/A,"6",TRUE,"Summary";#N/A,"7",TRUE,"Summary";#N/A,"8",TRUE,"Summary";#N/A,"9",TRUE,"Summary";#N/A,"10",TRUE,"Summary";#N/A,"11",TRUE,"Summary"}</definedName>
    <definedName name="wrn.Schedules." localSheetId="4" hidden="1">{"S 1 2",#N/A,FALSE,"Accounts2002 New";"S 3 4",#N/A,FALSE,"Accounts2002 New";"S 6 7 8",#N/A,FALSE,"Accounts2002 New";"S 9 10 11 12 13",#N/A,FALSE,"Accounts2002 New";"S 14 15 16 17",#N/A,FALSE,"Accounts2002 New";"S 18 19",#N/A,FALSE,"Accounts2002 New"}</definedName>
    <definedName name="wrn.SCM_Report_Controlling." localSheetId="4" hidden="1">{"SCM_Detail",#N/A,FALSE,"SCM";"SCM_Top",#N/A,FALSE,"SCM"}</definedName>
    <definedName name="wrn.SKSCS1." localSheetId="4" hidden="1">{#N/A,#N/A,FALSE,"Antony Financials";#N/A,#N/A,FALSE,"Cowboy Financials";#N/A,#N/A,FALSE,"Combined";#N/A,#N/A,FALSE,"Valuematrix";#N/A,#N/A,FALSE,"DCFAntony";#N/A,#N/A,FALSE,"DCFCowboy";#N/A,#N/A,FALSE,"DCFCombined"}</definedName>
    <definedName name="wrn.Sonstige." localSheetId="4" hidden="1">{#N/A,#N/A,FALSE,"Produkte Erw.";#N/A,#N/A,FALSE,"Produkte Plan";#N/A,#N/A,FALSE,"Leistungen Erw.";#N/A,#N/A,FALSE,"Leistungen Plan";#N/A,#N/A,FALSE,"KA Allg.Kosten (2)";#N/A,#N/A,FALSE,"KA All.Kosten"}</definedName>
    <definedName name="wrn.SPEC._.GAS._.CYLS." localSheetId="4" hidden="1">{"SPEC GAS CYLS",#N/A,FALSE,"SPEC GAS"}</definedName>
    <definedName name="wrn.Staff._.cost1998." localSheetId="4" hidden="1">{#N/A,#N/A,TRUE,"Staffnos &amp; cost"}</definedName>
    <definedName name="wrn.Staff._.cost1998._1" localSheetId="4" hidden="1">{#N/A,#N/A,TRUE,"Staffnos &amp; cost"}</definedName>
    <definedName name="wrn.Staff._.cost1998.a" localSheetId="4" hidden="1">{#N/A,#N/A,TRUE,"Staffnos &amp; cost"}</definedName>
    <definedName name="wrn.Staffcost." localSheetId="4" hidden="1">{#N/A,#N/A,FALSE,"Staffnos &amp; cost"}</definedName>
    <definedName name="wrn.Staffcost._1" localSheetId="4" hidden="1">{#N/A,#N/A,FALSE,"Staffnos &amp; cost"}</definedName>
    <definedName name="wrn.staffcost.12545" localSheetId="4" hidden="1">{#N/A,#N/A,FALSE,"Staffnos &amp; cost"}</definedName>
    <definedName name="wrn.STAND_ALONE_BOTH." localSheetId="4" hidden="1">{"FCB_ALL",#N/A,FALSE,"FCB";"GREY_ALL",#N/A,FALSE,"GREY"}</definedName>
    <definedName name="wrn.Standard." localSheetId="4" hidden="1">{#N/A,#N/A,FALSE,"IS US";#N/A,#N/A,FALSE,"BS US";#N/A,#N/A,FALSE,"IS LOCAL";#N/A,#N/A,FALSE,"BS INPUT";#N/A,#N/A,FALSE,"EQUITY";#N/A,#N/A,FALSE,"LOCAL ADJ";#N/A,#N/A,FALSE,"GAAP ADJ"}</definedName>
    <definedName name="wrn.Standing._.data." localSheetId="4" hidden="1">{#N/A,#N/A,FALSE,"Standing data"}</definedName>
    <definedName name="wrn.Statements." localSheetId="4" hidden="1">{"Co1statements",#N/A,FALSE,"Cmpy1";"Co2statement",#N/A,FALSE,"Cmpy2";"co1pm",#N/A,FALSE,"Co1PM";"co2PM",#N/A,FALSE,"Co2PM";"value",#N/A,FALSE,"value";"opco",#N/A,FALSE,"NewSparkle";"adjusts",#N/A,FALSE,"Adjustments"}</definedName>
    <definedName name="wrn.statments" localSheetId="4" hidden="1">{"Co1statements",#N/A,FALSE,"Cmpy1";"Co2statement",#N/A,FALSE,"Cmpy2";"co1pm",#N/A,FALSE,"Co1PM";"co2PM",#N/A,FALSE,"Co2PM";"value",#N/A,FALSE,"value";"opco",#N/A,FALSE,"NewSparkle";"adjusts",#N/A,FALSE,"Adjustments"}</definedName>
    <definedName name="wrn.status." localSheetId="4" hidden="1">{#N/A,#N/A,TRUE,"Summary - 1";#N/A,#N/A,TRUE,"Summary - 2";#N/A,#N/A,TRUE,"Group Analysis";#N/A,#N/A,TRUE,"FM Analysis";#N/A,#N/A,TRUE,"T&amp;M-Onsite";#N/A,#N/A,TRUE,"FP-Onsite";#N/A,#N/A,TRUE,"NB-Onsite";#N/A,#N/A,TRUE,"T&amp;M-Offshore";#N/A,#N/A,TRUE,"FP-Offshore";#N/A,#N/A,TRUE,"Appendix-A";#N/A,#N/A,TRUE,"Appendix-B"}</definedName>
    <definedName name="wrn.summaries." localSheetId="4"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localSheetId="4" hidden="1">{"financials",#N/A,FALSE,"BASIC"}</definedName>
    <definedName name="wrn.SUMMARY._1" localSheetId="4" hidden="1">{#N/A,#N/A,FALSE,"SUMMARY";#N/A,#N/A,FALSE,"SUMMARY"}</definedName>
    <definedName name="wrn.SUMMARY._2" localSheetId="4" hidden="1">{#N/A,#N/A,FALSE,"SUMMARY";#N/A,#N/A,FALSE,"SUMMARY"}</definedName>
    <definedName name="wrn.SUMMARY._3" localSheetId="4" hidden="1">{#N/A,#N/A,FALSE,"SUMMARY";#N/A,#N/A,FALSE,"SUMMARY"}</definedName>
    <definedName name="wrn.SUMMARY._4" localSheetId="4" hidden="1">{#N/A,#N/A,FALSE,"SUMMARY";#N/A,#N/A,FALSE,"SUMMARY"}</definedName>
    <definedName name="wrn.SummaryPgs." localSheetId="4" hidden="1">{#N/A,#N/A,FALSE,"CreditStat";#N/A,#N/A,FALSE,"SPbrkup";#N/A,#N/A,FALSE,"MerSPsyn";#N/A,#N/A,FALSE,"MerSPwKCsyn";#N/A,#N/A,FALSE,"MerSPwKCsyn (2)";#N/A,#N/A,FALSE,"CreditStat (2)"}</definedName>
    <definedName name="wrn.Tableaux._.A." localSheetId="4" hidden="1">{#N/A,#N/A,FALSE,"Tabl. A1";#N/A,#N/A,FALSE,"Tabl. A1 b";#N/A,#N/A,FALSE,"Tabl. A2";#N/A,#N/A,FALSE,"Tabl. A2-1";#N/A,#N/A,FALSE,"Tabl. A2-2"}</definedName>
    <definedName name="wrn.Tableaux._.D." localSheetId="4" hidden="1">{#N/A,#N/A,FALSE,"Tabl. D1";#N/A,#N/A,FALSE,"Tabl. D1 b";#N/A,#N/A,FALSE,"Tabl. D2";#N/A,#N/A,FALSE,"Tabl. D2 b";#N/A,#N/A,FALSE,"Tabl. D3";#N/A,#N/A,FALSE,"Tabl. D4";#N/A,#N/A,FALSE,"Tabl. D5"}</definedName>
    <definedName name="wrn.Tableaux._.F." localSheetId="4" hidden="1">{#N/A,#N/A,FALSE,"Tabl. FB300";#N/A,#N/A,FALSE,"Tabl. FB350";#N/A,#N/A,FALSE,"Tabl. FB400";#N/A,#N/A,FALSE,"Tabl. FB500";#N/A,#N/A,FALSE,"Tabl. FS090"}</definedName>
    <definedName name="wrn.Tableaux._.G." localSheetId="4" hidden="1">{#N/A,#N/A,FALSE,"Tabl. G1";#N/A,#N/A,FALSE,"Tabl. G2"}</definedName>
    <definedName name="wrn.Tableaux._.H." localSheetId="4" hidden="1">{#N/A,#N/A,FALSE,"Tabl. H1";#N/A,#N/A,FALSE,"Tabl. H2"}</definedName>
    <definedName name="wrn.Target._.Summary." localSheetId="4" hidden="1">{"SUMMARY",#N/A,FALSE,"Sheet1"}</definedName>
    <definedName name="wrn.test." localSheetId="4" hidden="1">{"test2",#N/A,TRUE,"Prices"}</definedName>
    <definedName name="wrn.Tier._.I." localSheetId="4" hidden="1">{#N/A,#N/A,FALSE,"Part ABC"}</definedName>
    <definedName name="wrn.TMPL._.SALES." localSheetId="4" hidden="1">{#N/A,#N/A,TRUE,"Sheet1"}</definedName>
    <definedName name="wrn.Tota._.Division103a" localSheetId="4" hidden="1">{#N/A,"PURADD",FALSE,"Business Analysis";#N/A,"PURSPP",FALSE,"Business Analysis";#N/A,"CTGIND",FALSE,"Business Analysis";#N/A,"PURCHM",FALSE,"Business Analysis";#N/A,"SPADD",FALSE,"Business Analysis";#N/A,"EPOXY",FALSE,"Business Analysis";#N/A,"PURPER",FALSE,"Business Analysis"}</definedName>
    <definedName name="wrn.Tota._Division31" localSheetId="4" hidden="1">{#N/A,"PURADD",FALSE,"Business Analysis";#N/A,"PURSPP",FALSE,"Business Analysis";#N/A,"CTGIND",FALSE,"Business Analysis";#N/A,"PURCHM",FALSE,"Business Analysis";#N/A,"SPADD",FALSE,"Business Analysis";#N/A,"EPOXY",FALSE,"Business Analysis";#N/A,"PURPER",FALSE,"Business Analysis"}</definedName>
    <definedName name="wrn.TOTAL." localSheetId="4" hidden="1">{"SUMMARY",#N/A,TRUE,"Summary";"FULLSEAS",#N/A,TRUE,"Full &amp; Seas Emp";"TEMPS",#N/A,TRUE,"Temps";"CONTRACTORS",#N/A,TRUE,"Contractors";"CAPEXA",#N/A,TRUE,"Capital Expenditures";"CAPEXB",#N/A,TRUE,"Capital Expenditures"}</definedName>
    <definedName name="wrn.Total._.Business." localSheetId="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localSheetId="4" hidden="1">{#N/A,"TCHEM",FALSE,"BSHIST.XLS"}</definedName>
    <definedName name="wrn.Total._.Division" localSheetId="4" hidden="1">{#N/A,"PURADD",FALSE,"Business Analysis";#N/A,"PURSPP",FALSE,"Business Analysis";#N/A,"CTGIND",FALSE,"Business Analysis";#N/A,"PURCHM",FALSE,"Business Analysis";#N/A,"SPADD",FALSE,"Business Analysis";#N/A,"EPOXY",FALSE,"Business Analysis";#N/A,"PURPER",FALSE,"Business Analysis"}</definedName>
    <definedName name="wrn.Total._.Division." localSheetId="4" hidden="1">{#N/A,"PURADD",FALSE,"Business Analysis";#N/A,"PURSPP",FALSE,"Business Analysis";#N/A,"CTGIND",FALSE,"Business Analysis";#N/A,"PURCHM",FALSE,"Business Analysis";#N/A,"SPADD",FALSE,"Business Analysis";#N/A,"EPOXY",FALSE,"Business Analysis";#N/A,"PURPER",FALSE,"Business Analysis"}</definedName>
    <definedName name="wrn.Total._.Division.2" localSheetId="4" hidden="1">{#N/A,"PURADD",FALSE,"Business Analysis";#N/A,"PURSPP",FALSE,"Business Analysis";#N/A,"CTGIND",FALSE,"Business Analysis";#N/A,"PURCHM",FALSE,"Business Analysis";#N/A,"SPADD",FALSE,"Business Analysis";#N/A,"EPOXY",FALSE,"Business Analysis";#N/A,"PURPER",FALSE,"Business Analysis"}</definedName>
    <definedName name="wrn.Total._.Division12" localSheetId="4" hidden="1">{#N/A,"PURADD",FALSE,"Business Analysis";#N/A,"PURSPP",FALSE,"Business Analysis";#N/A,"CTGIND",FALSE,"Business Analysis";#N/A,"PURCHM",FALSE,"Business Analysis";#N/A,"SPADD",FALSE,"Business Analysis";#N/A,"EPOXY",FALSE,"Business Analysis";#N/A,"PURPER",FALSE,"Business Analysis"}</definedName>
    <definedName name="wrn.Total._.Division34" localSheetId="4" hidden="1">{#N/A,"PURADD",FALSE,"Business Analysis";#N/A,"PURSPP",FALSE,"Business Analysis";#N/A,"CTGIND",FALSE,"Business Analysis";#N/A,"PURCHM",FALSE,"Business Analysis";#N/A,"SPADD",FALSE,"Business Analysis";#N/A,"EPOXY",FALSE,"Business Analysis";#N/A,"PURPER",FALSE,"Business Analysis"}</definedName>
    <definedName name="wrn.Total._.Division35" localSheetId="4" hidden="1">{#N/A,"PURADD",FALSE,"Business Analysis";#N/A,"PURSPP",FALSE,"Business Analysis";#N/A,"CTGIND",FALSE,"Business Analysis";#N/A,"PURCHM",FALSE,"Business Analysis";#N/A,"SPADD",FALSE,"Business Analysis";#N/A,"EPOXY",FALSE,"Business Analysis";#N/A,"PURPER",FALSE,"Business Analysis"}</definedName>
    <definedName name="wrn.Total._.Divisiona1b" localSheetId="4" hidden="1">{#N/A,"PURADD",FALSE,"Business Analysis";#N/A,"PURSPP",FALSE,"Business Analysis";#N/A,"CTGIND",FALSE,"Business Analysis";#N/A,"PURCHM",FALSE,"Business Analysis";#N/A,"SPADD",FALSE,"Business Analysis";#N/A,"EPOXY",FALSE,"Business Analysis";#N/A,"PURPER",FALSE,"Business Analysis"}</definedName>
    <definedName name="wrn.Total._.Market._.Report." localSheetId="4" hidden="1">{#N/A,#N/A,FALSE,"Sales Graph";#N/A,#N/A,FALSE,"BUC Graph";#N/A,#N/A,FALSE,"P&amp;L - YTD"}</definedName>
    <definedName name="wrn.Total._.Print." localSheetId="4"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Division11" localSheetId="4" hidden="1">{#N/A,"PURADD",FALSE,"Business Analysis";#N/A,"PURSPP",FALSE,"Business Analysis";#N/A,"CTGIND",FALSE,"Business Analysis";#N/A,"PURCHM",FALSE,"Business Analysis";#N/A,"SPADD",FALSE,"Business Analysis";#N/A,"EPOXY",FALSE,"Business Analysis";#N/A,"PURPER",FALSE,"Business Analysis"}</definedName>
    <definedName name="wrn.total._Division32" localSheetId="4" hidden="1">{#N/A,"PURADD",FALSE,"Business Analysis";#N/A,"PURSPP",FALSE,"Business Analysis";#N/A,"CTGIND",FALSE,"Business Analysis";#N/A,"PURCHM",FALSE,"Business Analysis";#N/A,"SPADD",FALSE,"Business Analysis";#N/A,"EPOXY",FALSE,"Business Analysis";#N/A,"PURPER",FALSE,"Business Analysis"}</definedName>
    <definedName name="wrn.total_Divisionb2" localSheetId="4" hidden="1">{#N/A,"PURADD",FALSE,"Business Analysis";#N/A,"PURSPP",FALSE,"Business Analysis";#N/A,"CTGIND",FALSE,"Business Analysis";#N/A,"PURCHM",FALSE,"Business Analysis";#N/A,"SPADD",FALSE,"Business Analysis";#N/A,"EPOXY",FALSE,"Business Analysis";#N/A,"PURPER",FALSE,"Business Analysis"}</definedName>
    <definedName name="wrn.Total42" localSheetId="4" hidden="1">{#N/A,"PURADD",FALSE,"Business Analysis";#N/A,"PURSPP",FALSE,"Business Analysis";#N/A,"CTGIND",FALSE,"Business Analysis";#N/A,"PURCHM",FALSE,"Business Analysis";#N/A,"SPADD",FALSE,"Business Analysis";#N/A,"EPOXY",FALSE,"Business Analysis";#N/A,"PURPER",FALSE,"Business Analysis"}</definedName>
    <definedName name="wrn.totala4" localSheetId="4" hidden="1">{#N/A,"PURADD",FALSE,"Business Analysis";#N/A,"PURSPP",FALSE,"Business Analysis";#N/A,"CTGIND",FALSE,"Business Analysis";#N/A,"PURCHM",FALSE,"Business Analysis";#N/A,"SPADD",FALSE,"Business Analysis";#N/A,"EPOXY",FALSE,"Business Analysis";#N/A,"PURPER",FALSE,"Business Analysis"}</definedName>
    <definedName name="wrn.Tout._.Sauf._.BG." localSheetId="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WNSHIP." localSheetId="4" hidden="1">{#N/A,#N/A,FALSE,"TOWNSHIP"}</definedName>
    <definedName name="wrn.TOWNSHIP._1" localSheetId="4" hidden="1">{#N/A,#N/A,FALSE,"TOWNSHIP"}</definedName>
    <definedName name="wrn.TOWNSHIP._2" localSheetId="4" hidden="1">{#N/A,#N/A,FALSE,"TOWNSHIP"}</definedName>
    <definedName name="wrn.TOWNSHIP._3" localSheetId="4" hidden="1">{#N/A,#N/A,FALSE,"TOWNSHIP"}</definedName>
    <definedName name="wrn.TOWNSHIP._4" localSheetId="4" hidden="1">{#N/A,#N/A,FALSE,"TOWNSHIP"}</definedName>
    <definedName name="wrn.TRANSPORT._.COSTS." localSheetId="4" hidden="1">{"TRANSPORT COSTS",#N/A,FALSE,"C.CENTRE"}</definedName>
    <definedName name="wrn.Trial._.Balance." localSheetId="4" hidden="1">{#N/A,#N/A,TRUE,"constb"}</definedName>
    <definedName name="wrn.Tweety." localSheetId="4" hidden="1">{#N/A,#N/A,FALSE,"A&amp;E";#N/A,#N/A,FALSE,"HighTop";#N/A,#N/A,FALSE,"JG";#N/A,#N/A,FALSE,"RI";#N/A,#N/A,FALSE,"woHT";#N/A,#N/A,FALSE,"woHT&amp;JG"}</definedName>
    <definedName name="wrn.Typhoon." localSheetId="4" hidden="1">{"Agg Output",#N/A,FALSE,"Operational Drivers Output";"NW Output",#N/A,FALSE,"Operational Drivers Output";"South Output",#N/A,FALSE,"Operational Drivers Output";"Central Output",#N/A,FALSE,"Operational Drivers Output"}</definedName>
    <definedName name="wrn.upstairs." localSheetId="4" hidden="1">{"histincome",#N/A,FALSE,"hyfins";"closing balance",#N/A,FALSE,"hyfins"}</definedName>
    <definedName name="wrn.VALUATION." localSheetId="4" hidden="1">{#N/A,#N/A,FALSE,"Valuation Assumptions";#N/A,#N/A,FALSE,"Summary";#N/A,#N/A,FALSE,"DCF";#N/A,#N/A,FALSE,"Valuation";#N/A,#N/A,FALSE,"WACC";#N/A,#N/A,FALSE,"UBVH";#N/A,#N/A,FALSE,"Free Cash Flow"}</definedName>
    <definedName name="wrn.Valuation._.Summaries." localSheetId="4" hidden="1">{#N/A,#N/A,FALSE,"Cover Sheet";#N/A,#N/A,FALSE,"Financial Assumptions";#N/A,#N/A,FALSE,"DCFOverviewPower";#N/A,#N/A,FALSE,"DCFOverviewGas";#N/A,#N/A,FALSE,"DCFOverviewWater";#N/A,#N/A,FALSE,"DCFOverviewVersorgung"}</definedName>
    <definedName name="wrn.Variance." localSheetId="4" hidden="1">{"Act_vs_Budget",#N/A,FALSE,"QTRDPVAR";"Act_vs_Prior_Year",#N/A,FALSE,"QTRDPVAR"}</definedName>
    <definedName name="wrn.Versorgungs._.GmbH._.Data." localSheetId="4" hidden="1">{#N/A,#N/A,FALSE,"DCFCoverVersorgung";#N/A,#N/A,FALSE,"DCFOverviewVersorgung";#N/A,#N/A,FALSE,"PlanVersorgung";#N/A,#N/A,FALSE,"DCFVersorgung";#N/A,#N/A,FALSE,"ValueVersorgung";#N/A,#N/A,FALSE,"WaccVersorgung";#N/A,#N/A,FALSE,"WaccVersorgung";#N/A,#N/A,FALSE,"WaccCompVersorgung";#N/A,#N/A,FALSE,"MatrixVersorgung"}</definedName>
    <definedName name="wrn.Warranty._.Reserves." localSheetId="4" hidden="1">{"provision",#N/A,FALSE;"reserve analysis",#N/A,FALSE}</definedName>
    <definedName name="wrn.WORKPAPERS." localSheetId="4" hidden="1">{"SUMMARY - WORKPAPERS",#N/A,FALSE,"SUMMARY";"BS - WORKPAPERS",#N/A,FALSE,"BS";"IS - WORKPAPERS",#N/A,FALSE,"IS";"RMA",#N/A,FALSE,"RMA ";"RMAS1",#N/A,FALSE,"RMAS1";"RMAA1",#N/A,FALSE,"RMAA1";"RMAH1",#N/A,FALSE,"RMAH1";"ADJ IS - WORKPAPERS",#N/A,FALSE,"ADJ IS";"MARKET - WORKPAPERS",#N/A,FALSE,"MARKET";"DCF - WORKPAPERS",#N/A,FALSE,"DCF";"WACC",#N/A,FALSE,"WACC";#N/A,#N/A,FALSE,"WC";#N/A,#N/A,FALSE,"MTA";"REGRESSION",#N/A,FALSE,"REGRESSION";"VL",#N/A,FALSE,"VL";#N/A,#N/A,FALSE,"PREMIUMS 94-98";#N/A,#N/A,FALSE,"CONTROL 1998";"DISCOUNT",#N/A,FALSE,"DISCOUNT ";"REPORT",#N/A,FALSE,"REPORT"}</definedName>
    <definedName name="wrn.X140." localSheetId="4" hidden="1">{"page1",#N/A,FALSE,"X140withReclasses";"page2",#N/A,FALSE,"X140withReclasses";"page3",#N/A,FALSE,"X140withReclasses"}</definedName>
    <definedName name="wrn.xrates." localSheetId="4" hidden="1">{#N/A,#N/A,FALSE,"1996";#N/A,#N/A,FALSE,"1995";#N/A,#N/A,FALSE,"1994"}</definedName>
    <definedName name="wrn.XXX." localSheetId="4" hidden="1">{#N/A,#N/A,TRUE,"NII";#N/A,#N/A,TRUE,"NII";#N/A,#N/A,TRUE,"NII";#N/A,#N/A,TRUE,"NII";#N/A,#N/A,TRUE,"NII"}</definedName>
    <definedName name="wrn.Year._.to._.date._.overzicht." localSheetId="4" hidden="1">{"mndview",#N/A,TRUE,"Total 95";"vakview",#N/A,TRUE,"Total 95";#N/A,#N/A,TRUE,"Graphs"}</definedName>
    <definedName name="wrn.YTD." localSheetId="4" hidden="1">{"YTD",#N/A,FALSE,"SUM"}</definedName>
    <definedName name="wrn.YTD._.PACKAGE." localSheetId="4" hidden="1">{"YD PACKAGE",#N/A,FALSE,"YTD"}</definedName>
    <definedName name="wrn.YTD._.PRS." localSheetId="4" hidden="1">{"YD PRS",#N/A,FALSE,"YTD"}</definedName>
    <definedName name="wrn.YTD_ALL." localSheetId="4" hidden="1">{"YD LAPO2",#N/A,FALSE,"YTD";"YD LPH2",#N/A,FALSE,"YTD";"YD LOUISIANA",#N/A,FALSE,"YTD";"YD GENERALH2",#N/A,FALSE,"YTD";"YD PRS",#N/A,FALSE,"YTD";"YD PACKAGE",#N/A,FALSE,"YTD";"YD OTHER",#N/A,FALSE,"YTD"}</definedName>
    <definedName name="wrn.YTD_GENERALH2." localSheetId="4" hidden="1">{"YD GENERALH2",#N/A,FALSE,"YTD"}</definedName>
    <definedName name="wrn.YTD_LAPORTE_O2N2." localSheetId="4" hidden="1">{"YD LAPO2",#N/A,FALSE,"YTD"}</definedName>
    <definedName name="wrn.YTD_LOUISIANA." localSheetId="4" hidden="1">{"YD LOUISIANA",#N/A,FALSE,"YTD"}</definedName>
    <definedName name="wrn.YTD_OTHER." localSheetId="4" hidden="1">{"YD OTHER",#N/A,FALSE,"YTD"}</definedName>
    <definedName name="wrn.YTD_TEXAS._.HYCO." localSheetId="4" hidden="1">{"YD LPH2",#N/A,FALSE,"YTD"}</definedName>
    <definedName name="wrn.YTDvsBud." localSheetId="4" hidden="1">{"Pg1",#N/A,FALSE,"OpExYTDvsBud";"Pg2",#N/A,FALSE,"OpExYTDvsBud"}</definedName>
    <definedName name="wrn.YTDvsPY." localSheetId="4" hidden="1">{"Pa1",#N/A,FALSE,"OpExYTDvsPY";"Pa2",#N/A,FALSE,"OpExYTDvsPY"}</definedName>
    <definedName name="wrn.ZZZ." localSheetId="4" hidden="1">{#N/A,#N/A,FALSE,"NII"}</definedName>
    <definedName name="wrn.간단한세무조정계산서." localSheetId="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낙관적000112." localSheetId="4" hidden="1">{#N/A,#N/A,FALSE,"추정손익계산서";#N/A,#N/A,FALSE,"추정대차대조표";#N/A,#N/A,FALSE,"자금수지예상표";#N/A,#N/A,FALSE,"재무비율분석"}</definedName>
    <definedName name="wrn.세무조정계산서." localSheetId="4"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4"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조흥94세무."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1.Current._.Month._.Everything" localSheetId="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PRINT." localSheetId="4" hidden="1">{"DOWNLOAD",#N/A,FALSE,"GLDownload";"UPLOAD",#N/A,FALSE,"GLUpload"}</definedName>
    <definedName name="wrn1.repot" localSheetId="4"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4" hidden="1">{#N/A,#N/A,FALSE,"DCF";#N/A,#N/A,FALSE,"WACC";#N/A,#N/A,FALSE,"Sales_EBIT";#N/A,#N/A,FALSE,"Capex_Depreciation";#N/A,#N/A,FALSE,"WC";#N/A,#N/A,FALSE,"Interest";#N/A,#N/A,FALSE,"Assumptions"}</definedName>
    <definedName name="wrna.prod" localSheetId="4" hidden="1">{#N/A,#N/A,FALSE,"1";#N/A,#N/A,FALSE,"2";#N/A,#N/A,FALSE,"16 - 17";#N/A,#N/A,FALSE,"18 - 19";#N/A,#N/A,FALSE,"26";#N/A,#N/A,FALSE,"27";#N/A,#N/A,FALSE,"28"}</definedName>
    <definedName name="wrnaboth" localSheetId="4" hidden="1">{"detail",#N/A,FALSE,"mfg";"summary",#N/A,FALSE,"mfg"}</definedName>
    <definedName name="wrnats" localSheetId="4" hidden="1">{#N/A,"PURADD",FALSE,"Business Analysis";#N/A,"PURSPP",FALSE,"Business Analysis";#N/A,"CTGIND",FALSE,"Business Analysis";#N/A,"PURCHM",FALSE,"Business Analysis";#N/A,"SPADD",FALSE,"Business Analysis";#N/A,"EPOXY",FALSE,"Business Analysis";#N/A,"PURPER",FALSE,"Business Analysis"}</definedName>
    <definedName name="wrnavboth" localSheetId="4" hidden="1">{"detail",#N/A,FALSE,"mfg";"summary",#N/A,FALSE,"mfg"}</definedName>
    <definedName name="wrnavpucspadd" localSheetId="4" hidden="1">{#N/A,"PURCHM",FALSE,"Business Analysis";#N/A,"SPADD",FALSE,"Business Analysis"}</definedName>
    <definedName name="wrnb213" localSheetId="4" hidden="1">{"detail",#N/A,FALSE,"mfg";"summary",#N/A,FALSE,"mfg"}</definedName>
    <definedName name="wrnb412" localSheetId="4" hidden="1">{"detail",#N/A,FALSE,"mfg";"summary",#N/A,FALSE,"mfg"}</definedName>
    <definedName name="wrnboth14a" localSheetId="4" hidden="1">{"detail",#N/A,FALSE,"mfg";"summary",#N/A,FALSE,"mfg"}</definedName>
    <definedName name="wrnfy97" localSheetId="4" hidden="1">{#N/A,#N/A,FALSE,"FY97";#N/A,#N/A,FALSE,"FY98";#N/A,#N/A,FALSE,"FY99";#N/A,#N/A,FALSE,"FY00";#N/A,#N/A,FALSE,"FY01"}</definedName>
    <definedName name="WRNP41" localSheetId="4" hidden="1">{#N/A,"PURCHM",FALSE,"Business Analysis";#N/A,"SPADD",FALSE,"Business Analysis"}</definedName>
    <definedName name="wrnp61" localSheetId="4" hidden="1">{#N/A,"PURCHM",FALSE,"Business Analysis";#N/A,"SPADD",FALSE,"Business Analysis"}</definedName>
    <definedName name="wrnpav" localSheetId="4" hidden="1">{#N/A,"PURCHM",FALSE,"Business Analysis";#N/A,"SPADD",FALSE,"Business Analysis"}</definedName>
    <definedName name="wrnpuc213" localSheetId="4" hidden="1">{#N/A,"PURCHM",FALSE,"Business Analysis";#N/A,"SPADD",FALSE,"Business Analysis"}</definedName>
    <definedName name="wrnpuc2412" localSheetId="4" hidden="1">{#N/A,"PURCHM",FALSE,"Business Analysis";#N/A,"SPADD",FALSE,"Business Analysis"}</definedName>
    <definedName name="wrnpuc412" localSheetId="4" hidden="1">{#N/A,"PURCHM",FALSE,"Business Analysis";#N/A,"SPADD",FALSE,"Business Analysis"}</definedName>
    <definedName name="wrnpucs213" localSheetId="4" hidden="1">{#N/A,"PURCHM",FALSE,"Business Analysis";#N/A,"SPADD",FALSE,"Business Analysis"}</definedName>
    <definedName name="wrnpucspadd32" localSheetId="4" hidden="1">{#N/A,"PURCHM",FALSE,"Business Analysis";#N/A,"SPADD",FALSE,"Business Analysis"}</definedName>
    <definedName name="wrnpucspaddza103" localSheetId="4" hidden="1">{#N/A,"PURCHM",FALSE,"Business Analysis";#N/A,"SPADD",FALSE,"Business Analysis"}</definedName>
    <definedName name="wrnpucspvd" localSheetId="4" hidden="1">{#N/A,"PURCHM",FALSE,"Business Analysis";#N/A,"SPADD",FALSE,"Business Analysis"}</definedName>
    <definedName name="wrnpvcs" localSheetId="4" hidden="1">{#N/A,"PURCHM",FALSE,"Business Analysis";#N/A,"SPADD",FALSE,"Business Analysis"}</definedName>
    <definedName name="wrnt51" localSheetId="4" hidden="1">{#N/A,"PURADD",FALSE,"Business Analysis";#N/A,"PURSPP",FALSE,"Business Analysis";#N/A,"CTGIND",FALSE,"Business Analysis";#N/A,"PURCHM",FALSE,"Business Analysis";#N/A,"SPADD",FALSE,"Business Analysis";#N/A,"EPOXY",FALSE,"Business Analysis";#N/A,"PURPER",FALSE,"Business Analysis"}</definedName>
    <definedName name="wrnt61" localSheetId="4" hidden="1">{#N/A,"PURADD",FALSE,"Business Analysis";#N/A,"PURSPP",FALSE,"Business Analysis";#N/A,"CTGIND",FALSE,"Business Analysis";#N/A,"PURCHM",FALSE,"Business Analysis";#N/A,"SPADD",FALSE,"Business Analysis";#N/A,"EPOXY",FALSE,"Business Analysis";#N/A,"PURPER",FALSE,"Business Analysis"}</definedName>
    <definedName name="wrnt71" localSheetId="4" hidden="1">{#N/A,"PURADD",FALSE,"Business Analysis";#N/A,"PURSPP",FALSE,"Business Analysis";#N/A,"CTGIND",FALSE,"Business Analysis";#N/A,"PURCHM",FALSE,"Business Analysis";#N/A,"SPADD",FALSE,"Business Analysis";#N/A,"EPOXY",FALSE,"Business Analysis";#N/A,"PURPER",FALSE,"Business Analysis"}</definedName>
    <definedName name="WRNTOT41" localSheetId="4" hidden="1">{#N/A,"PURADD",FALSE,"Business Analysis";#N/A,"PURSPP",FALSE,"Business Analysis";#N/A,"CTGIND",FALSE,"Business Analysis";#N/A,"PURCHM",FALSE,"Business Analysis";#N/A,"SPADD",FALSE,"Business Analysis";#N/A,"EPOXY",FALSE,"Business Analysis";#N/A,"PURPER",FALSE,"Business Analysis"}</definedName>
    <definedName name="wrntot412" localSheetId="4" hidden="1">{#N/A,"PURADD",FALSE,"Business Analysis";#N/A,"PURSPP",FALSE,"Business Analysis";#N/A,"CTGIND",FALSE,"Business Analysis";#N/A,"PURCHM",FALSE,"Business Analysis";#N/A,"SPADD",FALSE,"Business Analysis";#N/A,"EPOXY",FALSE,"Business Analysis";#N/A,"PURPER",FALSE,"Business Analysis"}</definedName>
    <definedName name="wrntotal213" localSheetId="4" hidden="1">{#N/A,"PURADD",FALSE,"Business Analysis";#N/A,"PURSPP",FALSE,"Business Analysis";#N/A,"CTGIND",FALSE,"Business Analysis";#N/A,"PURCHM",FALSE,"Business Analysis";#N/A,"SPADD",FALSE,"Business Analysis";#N/A,"EPOXY",FALSE,"Business Analysis";#N/A,"PURPER",FALSE,"Business Analysis"}</definedName>
    <definedName name="wrntotax" localSheetId="4" hidden="1">{#N/A,"PURADD",FALSE,"Business Analysis";#N/A,"PURSPP",FALSE,"Business Analysis";#N/A,"CTGIND",FALSE,"Business Analysis";#N/A,"PURCHM",FALSE,"Business Analysis";#N/A,"SPADD",FALSE,"Business Analysis";#N/A,"EPOXY",FALSE,"Business Analysis";#N/A,"PURPER",FALSE,"Business Analysis"}</definedName>
    <definedName name="wrntotdiv213" localSheetId="4" hidden="1">{#N/A,"PURADD",FALSE,"Business Analysis";#N/A,"PURSPP",FALSE,"Business Analysis";#N/A,"CTGIND",FALSE,"Business Analysis";#N/A,"PURCHM",FALSE,"Business Analysis";#N/A,"SPADD",FALSE,"Business Analysis";#N/A,"EPOXY",FALSE,"Business Analysis";#N/A,"PURPER",FALSE,"Business Analysis"}</definedName>
    <definedName name="wrntotdiv412" localSheetId="4" hidden="1">{#N/A,"PURADD",FALSE,"Business Analysis";#N/A,"PURSPP",FALSE,"Business Analysis";#N/A,"CTGIND",FALSE,"Business Analysis";#N/A,"PURCHM",FALSE,"Business Analysis";#N/A,"SPADD",FALSE,"Business Analysis";#N/A,"EPOXY",FALSE,"Business Analysis";#N/A,"PURPER",FALSE,"Business Analysis"}</definedName>
    <definedName name="WRR" localSheetId="4" hidden="1">{#N/A,#N/A,FALSE,"Pharm";#N/A,#N/A,FALSE,"WWCM"}</definedName>
    <definedName name="wrre" localSheetId="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localSheetId="4" hidden="1">{#N/A,#N/A,FALSE,"REPORT"}</definedName>
    <definedName name="wrwer" localSheetId="4" hidden="1">{#N/A,#N/A,FALSE,"Umsatz 99";#N/A,#N/A,FALSE,"ER 99 "}</definedName>
    <definedName name="wrxave" localSheetId="4" hidden="1">{#N/A,"PURADD",FALSE,"Business Analysis";#N/A,"PURSPP",FALSE,"Business Analysis";#N/A,"CTGIND",FALSE,"Business Analysis";#N/A,"PURCHM",FALSE,"Business Analysis";#N/A,"SPADD",FALSE,"Business Analysis";#N/A,"EPOXY",FALSE,"Business Analysis";#N/A,"PURPER",FALSE,"Business Analysis"}</definedName>
    <definedName name="wry" localSheetId="4" hidden="1">{"YD LAPO2",#N/A,FALSE,"YTD"}</definedName>
    <definedName name="wt" localSheetId="4" hidden="1">{#N/A,#N/A,FALSE,"FY97";#N/A,#N/A,FALSE,"FY98";#N/A,#N/A,FALSE,"FY99";#N/A,#N/A,FALSE,"FY00";#N/A,#N/A,FALSE,"FY01"}</definedName>
    <definedName name="wtwertwt" localSheetId="4" hidden="1">{"'August 2000'!$A$1:$J$101"}</definedName>
    <definedName name="wv" localSheetId="4" hidden="1">{#N/A,#N/A,FALSE,"Pharm";#N/A,#N/A,FALSE,"WWCM"}</definedName>
    <definedName name="wvbub"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busarea."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persView." localSheetId="4" hidden="1">{TRUE,TRUE,-2.75,-17,772.5,449.25,FALSE,TRUE,TRUE,TRUE,0,19,#N/A,30,#N/A,7.04065040650407,10.9795918367347,1,FALSE,FALSE,3,FALSE,1,FALSE,100,"Swvu.CapersView.","ACwvu.CapersView.",#N/A,FALSE,FALSE,0,0,0,0,2,"","&amp;R&amp;""Arial,Bold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sh." localSheetId="4" hidden="1">{TRUE,TRUE,-1.25,-15.5,456.75,279.75,FALSE,FALSE,TRUE,TRUE,0,1,18,1,199,6,3,4,TRUE,TRUE,3,TRUE,1,TRUE,100,"Swvu.cash.","ACwvu.cash.",1,FALSE,FALSE,0.511811023622047,0.511811023622047,0.511811023622047,0.511811023622047,1,"","",FALSE,FALSE,FALSE,FALSE,1,#N/A,1,1,#DIV/0!,FALSE,"Rwvu.cash.",#N/A,FALSE,FALSE}</definedName>
    <definedName name="wvu.FAX." localSheetId="4" hidden="1">{TRUE,TRUE,-1.25,-15.5,480.75,272.25,FALSE,TRUE,TRUE,TRUE,0,1,#N/A,1,#N/A,13.1904761904762,23.5384615384615,1,FALSE,FALSE,3,TRUE,1,FALSE,75,"Swvu.FAX.","ACwvu.FAX.",#N/A,FALSE,FALSE,0.25,0.25,1,1,1,"","",TRUE,FALSE,FALSE,TRUE,1,#N/A,1,1,"=R1C1:R16C13",FALSE,#N/A,#N/A,FALSE,FALSE,FALSE,9,300,300,FALSE,FALSE,TRUE,TRUE,TRUE}</definedName>
    <definedName name="wvu.inputs._.raw._.data." localSheetId="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 localSheetId="4" hidden="1">{TRUE,TRUE,-2.75,-17,772.5,449.25,FALSE,TRUE,TRUE,TRUE,0,18,#N/A,1,#N/A,80.75,104.2,1,FALSE,FALSE,3,FALSE,1,FALSE,10,"Swvu.Japan_Capers_Ed_Pub.","ACwvu.Japan_Capers_Ed_Pub.",#N/A,FALSE,FALSE,0,0,0,0,2,"","&amp;R&amp;""Arial,Bold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 localSheetId="4" hidden="1">{TRUE,TRUE,-2.75,-17,964.5,641.25,FALSE,TRUE,TRUE,TRUE,0,18,#N/A,11,#N/A,22.5227272727273,72.25,1,FALSE,FALSE,3,TRUE,1,FALSE,40,"Swvu.KJP_CC.","ACwvu.KJP_CC.",#N/A,FALSE,FALSE,0,0,0,0,2,"&amp;C&amp;""Arial,Bold""&amp;72Actual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otr."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wvu.Presentation." localSheetId="4" hidden="1">{TRUE,TRUE,-1.25,-15.5,604.5,369.75,FALSE,TRUE,TRUE,FALSE,1,1,3,13,22,2,1,4,TRUE,TRUE,3,TRUE,1,TRUE,100,"Swvu.Presentation.","ACwvu.Presentation.",1,FALSE,FALSE,0,0,2,0.8,2,"&amp;C&amp;""Helvetica""&amp;18&amp;BDELL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INT._.AREA." localSheetId="4" hidden="1">{TRUE,TRUE,-1.25,-15.5,484.5,272.25,FALSE,TRUE,TRUE,TRUE,0,1,#N/A,1,#N/A,13.3095238095238,23.5384615384615,1,FALSE,FALSE,3,TRUE,1,FALSE,75,"Swvu.PRINT._.AREA.","ACwvu.PRINT._.AREA.",#N/A,FALSE,FALSE,0.25,0.25,1,1,1,"","",TRUE,FALSE,FALSE,TRUE,1,#N/A,1,1,FALSE,FALSE,#N/A,#N/A,FALSE,FALSE,FALSE,9,300,300,FALSE,FALSE,TRUE,TRUE,TRUE}</definedName>
    <definedName name="wvu.profits." localSheetId="4" hidden="1">{TRUE,TRUE,-1.25,-15.5,456.75,279.75,FALSE,FALSE,TRUE,TRUE,0,1,21,1,127,6,3,4,TRUE,TRUE,3,TRUE,1,TRUE,100,"Swvu.profits.","ACwvu.profits.",1,FALSE,FALSE,0.511811023622047,0.511811023622047,0.511811023622047,0.511811023622047,1,"","",FALSE,FALSE,FALSE,FALSE,1,#N/A,1,1,#DIV/0!,FALSE,"Rwvu.profits.",#N/A,FALSE,FALSE}</definedName>
    <definedName name="wvu.provision." localSheetId="4" hidden="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 localSheetId="4" hidden="1">{TRUE,TRUE,-1.25,-15.5,604.5,369.75,FALSE,TRUE,TRUE,TRUE,0,1,#N/A,24,#N/A,36.96875,22.9411764705882,1,FALSE,FALSE,3,TRUE,1,FALSE,100,"Swvu.reserve._.analysis.","ACwvu.reserve._.analysis.",1,FALSE,FALSE,0.75,0.75,2.21,1,2,"&amp;C&amp;""Helvetica""&amp;18&amp;BDELL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summary1." localSheetId="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localSheetId="4" hidden="1">{TRUE,TRUE,-1.25,-15.5,456.75,279.75,FALSE,FALSE,TRUE,TRUE,0,1,8,1,4,6,3,4,TRUE,TRUE,3,TRUE,1,TRUE,100,"Swvu.turnover.","ACwvu.turnover.",1,FALSE,FALSE,0.511811023622047,0.511811023622047,0.511811023622047,0.511811023622047,1,"","",FALSE,FALSE,FALSE,FALSE,1,#N/A,1,1,#DIV/0!,FALSE,"Rwvu.turnover.",#N/A,FALSE,FALSE}</definedName>
    <definedName name="wvu.Wty._.accrual._.summary." localSheetId="4" hidden="1">{TRUE,TRUE,-1.25,-15.5,604.5,369.75,FALSE,TRUE,TRUE,FALSE,1,1,25,13,15,2,1,4,TRUE,TRUE,3,TRUE,1,TRUE,100,"Swvu.Wty._.accrual._.summary.","ACwvu.Wty._.accrual._.summary.",1,FALSE,FALSE,0,0,2.1,1,2,"&amp;C&amp;""Helvetica""&amp;18&amp;BDELL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vub412"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 localSheetId="4" hidden="1">{#N/A,#N/A,FALSE,"INPUTS";#N/A,#N/A,FALSE,"PROFORMA BSHEET";#N/A,#N/A,FALSE,"COMBINED";#N/A,#N/A,FALSE,"ACQUIROR";#N/A,#N/A,FALSE,"TARGET 1";#N/A,#N/A,FALSE,"TARGET 2";#N/A,#N/A,FALSE,"HIGH YIELD";#N/A,#N/A,FALSE,"OVERFUND"}</definedName>
    <definedName name="wwe.kkjk" localSheetId="4" hidden="1">{#N/A,#N/A,FALSE,"Umsatz CH";#N/A,#N/A,FALSE,"ER CH";#N/A,#N/A,FALSE,"EA CH (2) ";#N/A,#N/A,FALSE,"EA CH";#N/A,#N/A,FALSE,"EA CH (3) ";#N/A,#N/A,FALSE,"EA CH (4)";#N/A,#N/A,FALSE,"KA CH";#N/A,#N/A,FALSE,"KA CH  (2)";#N/A,#N/A,FALSE,"KA CH  (3)";#N/A,#N/A,FALSE,"KA CH (4)"}</definedName>
    <definedName name="wwt" localSheetId="4" hidden="1">{"YD LAPO2",#N/A,FALSE,"YTD"}</definedName>
    <definedName name="www" localSheetId="4" hidden="1">{#N/A,"PURCHM",FALSE,"Business Analysis";#N/A,"SPADD",FALSE,"Business Analysis"}</definedName>
    <definedName name="wwww" localSheetId="4" hidden="1">{#N/A,#N/A,FALSE,"Produkte Erw.";#N/A,#N/A,FALSE,"Produkte Plan";#N/A,#N/A,FALSE,"Leistungen Erw.";#N/A,#N/A,FALSE,"Leistungen Plan";#N/A,#N/A,FALSE,"KA Allg.Kosten (2)";#N/A,#N/A,FALSE,"KA All.Kosten"}</definedName>
    <definedName name="wwwwwwwww" localSheetId="4" hidden="1">{"YTD",#N/A,FALSE,"SUM"}</definedName>
    <definedName name="wwwwwwwwwww" localSheetId="4" hidden="1">{"YD PACKAGE",#N/A,FALSE,"YTD"}</definedName>
    <definedName name="wwwwwwwwwwwwww" localSheetId="4" hidden="1">{"detail",#N/A,FALSE,"mfg";"summary",#N/A,FALSE,"mfg"}</definedName>
    <definedName name="wx" localSheetId="4" hidden="1">{#N/A,#N/A,FALSE,"Pharm";#N/A,#N/A,FALSE,"WWCM"}</definedName>
    <definedName name="wxyz" localSheetId="4" hidden="1">{#N/A,#N/A,FALSE,"Staffnos &amp; cost"}</definedName>
    <definedName name="wyh" localSheetId="4" hidden="1">{#N/A,#N/A,FALSE,"Summary";#N/A,#N/A,FALSE,"Fed.State Prov";#N/A,#N/A,FALSE,"Foreign Prov";#N/A,#N/A,FALSE,"Thera Fgrn";#N/A,#N/A,FALSE,"CCD Fgrn";#N/A,#N/A,FALSE,"Biocine Fgrn";#N/A,#N/A,FALSE,"Vision Fgrn";#N/A,#N/A,FALSE,"Frgn vs Dom"}</definedName>
    <definedName name="x" localSheetId="4" hidden="1">{#N/A,#N/A,FALSE,"REPORT"}</definedName>
    <definedName name="xb" localSheetId="4" hidden="1">{"BA detail",#N/A,FALSE,"Q3YTD "}</definedName>
    <definedName name="xbchjbdckjnbxzkjcnb" localSheetId="4" hidden="1">{"'7'!$B$15:$D$32"}</definedName>
    <definedName name="xc" localSheetId="4" hidden="1">{"ICD Details",#N/A,FALSE,"Current Yr";"ICD Details",#N/A,FALSE,"Budget";"ICD Details",#N/A,FALSE,"Prior Year"}</definedName>
    <definedName name="xcft" localSheetId="4" hidden="1">{#N/A,#N/A,FALSE,"PGW"}</definedName>
    <definedName name="xcft_2" localSheetId="4" hidden="1">{#N/A,#N/A,FALSE,"PGW"}</definedName>
    <definedName name="xcft_3" localSheetId="4" hidden="1">{#N/A,#N/A,FALSE,"PGW"}</definedName>
    <definedName name="xcft_4" localSheetId="4" hidden="1">{#N/A,#N/A,FALSE,"PGW"}</definedName>
    <definedName name="xcv" localSheetId="4" hidden="1">{#N/A,#N/A,FALSE,"Pharm";#N/A,#N/A,FALSE,"WWCM"}</definedName>
    <definedName name="XCVBN" localSheetId="4" hidden="1">{#N/A,#N/A,FALSE,"Tabl. G1";#N/A,#N/A,FALSE,"Tabl. G2"}</definedName>
    <definedName name="xcvbxcvbcx" localSheetId="4" hidden="1">{#N/A,#N/A,FALSE,"Umsatz EO BP";#N/A,#N/A,FALSE,"Umsatz EO OP";#N/A,#N/A,FALSE,"ER EO BP";#N/A,#N/A,FALSE,"ER EO OP";#N/A,#N/A,FALSE,"EA EO (2)";#N/A,#N/A,FALSE,"EA EO";#N/A,#N/A,FALSE,"EA EO (3)";#N/A,#N/A,FALSE,"EA EO (4)";#N/A,#N/A,FALSE,"KA EO  (2)";#N/A,#N/A,FALSE,"KA EO";#N/A,#N/A,FALSE,"KA EO  (3)";#N/A,#N/A,FALSE,"KA EO (4)"}</definedName>
    <definedName name="xcvg" localSheetId="4" hidden="1">{#N/A,#N/A,FALSE,"SUMMARY";#N/A,#N/A,FALSE,"SUMMARY"}</definedName>
    <definedName name="xcvg_2" localSheetId="4" hidden="1">{#N/A,#N/A,FALSE,"SUMMARY";#N/A,#N/A,FALSE,"SUMMARY"}</definedName>
    <definedName name="xcvg_3" localSheetId="4" hidden="1">{#N/A,#N/A,FALSE,"SUMMARY";#N/A,#N/A,FALSE,"SUMMARY"}</definedName>
    <definedName name="xcvg_4" localSheetId="4" hidden="1">{#N/A,#N/A,FALSE,"SUMMARY";#N/A,#N/A,FALSE,"SUMMARY"}</definedName>
    <definedName name="xcxc" localSheetId="4" hidden="1">{"QTR_ACT",#N/A,FALSE,"PROP_PBIT_DEV_Q3";"QTR_BUD",#N/A,FALSE,"PROP_PBIT_DEV_Q3";"YTD_BUD",#N/A,FALSE,"PROP_PBIT_DEV_Q3";"YTD_ACT",#N/A,FALSE,"PROP_PBIT_DEV_Q3";"FY95 SNAP3",#N/A,FALSE,"PROP_PBIT_DEV_Q3";"FY95_BUD",#N/A,FALSE,"PROP_PBIT_DEV_Q3";"FY96_BUD",#N/A,FALSE,"PROP_PBIT_DEV_Q3"}</definedName>
    <definedName name="xczx" localSheetId="4">City&amp;" "&amp;State</definedName>
    <definedName name="xd" localSheetId="4" hidden="1">{#N/A,#N/A,FALSE,"PMTABB";#N/A,#N/A,FALSE,"PMTABB"}</definedName>
    <definedName name="xd_2" localSheetId="4" hidden="1">{#N/A,#N/A,FALSE,"PMTABB";#N/A,#N/A,FALSE,"PMTABB"}</definedName>
    <definedName name="xd_3" localSheetId="4" hidden="1">{#N/A,#N/A,FALSE,"PMTABB";#N/A,#N/A,FALSE,"PMTABB"}</definedName>
    <definedName name="xd_4" localSheetId="4" hidden="1">{#N/A,#N/A,FALSE,"PMTABB";#N/A,#N/A,FALSE,"PMTABB"}</definedName>
    <definedName name="xdft" localSheetId="4" hidden="1">{#N/A,#N/A,FALSE,"ISBL"}</definedName>
    <definedName name="xdft_2" localSheetId="4" hidden="1">{#N/A,#N/A,FALSE,"ISBL"}</definedName>
    <definedName name="xdft_3" localSheetId="4" hidden="1">{#N/A,#N/A,FALSE,"ISBL"}</definedName>
    <definedName name="xdft_4" localSheetId="4" hidden="1">{#N/A,#N/A,FALSE,"ISBL"}</definedName>
    <definedName name="xdrt" localSheetId="4" hidden="1">{#N/A,#N/A,FALSE,"Aging Summary";#N/A,#N/A,FALSE,"Ratio Analysis";#N/A,#N/A,FALSE,"Test 120 Day Accts";#N/A,#N/A,FALSE,"Tickmarks"}</definedName>
    <definedName name="xdrt_2" localSheetId="4" hidden="1">{#N/A,#N/A,FALSE,"Aging Summary";#N/A,#N/A,FALSE,"Ratio Analysis";#N/A,#N/A,FALSE,"Test 120 Day Accts";#N/A,#N/A,FALSE,"Tickmarks"}</definedName>
    <definedName name="xdrt_3" localSheetId="4" hidden="1">{#N/A,#N/A,FALSE,"Aging Summary";#N/A,#N/A,FALSE,"Ratio Analysis";#N/A,#N/A,FALSE,"Test 120 Day Accts";#N/A,#N/A,FALSE,"Tickmarks"}</definedName>
    <definedName name="xdrt_4" localSheetId="4" hidden="1">{#N/A,#N/A,FALSE,"Aging Summary";#N/A,#N/A,FALSE,"Ratio Analysis";#N/A,#N/A,FALSE,"Test 120 Day Accts";#N/A,#N/A,FALSE,"Tickmarks"}</definedName>
    <definedName name="XFDG" localSheetId="4" hidden="1">{TRUE,TRUE,-1.25,-15.5,456.75,279.75,FALSE,FALSE,TRUE,TRUE,0,1,18,1,199,6,3,4,TRUE,TRUE,3,TRUE,1,TRUE,100,"Swvu.cash.","ACwvu.cash.",1,FALSE,FALSE,0.511811023622047,0.511811023622047,0.511811023622047,0.511811023622047,1,"","",FALSE,FALSE,FALSE,FALSE,1,#N/A,1,1,#DIV/0!,FALSE,"Rwvu.cash.",#N/A,FALSE,FALSE}</definedName>
    <definedName name="xlx" localSheetId="4" hidden="1">{#N/A,#N/A,FALSE,"PMW Gruppe 99_98";#N/A,#N/A,FALSE,"PMW KG 98_99";#N/A,#N/A,FALSE,"PMW Inc. 99_98";#N/A,#N/A,FALSE,"PMW VTECH 99_98";#N/A,#N/A,FALSE,"PMW Thail. 99_98";#N/A,#N/A,FALSE,"PMW Canada 99_98";#N/A,#N/A,FALSE,"Währungsabw. 99_98"}</definedName>
    <definedName name="xn" localSheetId="4" hidden="1">{"oct_res_comm",#N/A,FALSE,"VarToBud"}</definedName>
    <definedName name="xrt" localSheetId="4" hidden="1">{#N/A,#N/A,FALSE,"OSBL"}</definedName>
    <definedName name="xrt_2" localSheetId="4" hidden="1">{#N/A,#N/A,FALSE,"OSBL"}</definedName>
    <definedName name="xrt_3" localSheetId="4" hidden="1">{#N/A,#N/A,FALSE,"OSBL"}</definedName>
    <definedName name="xrt_4" localSheetId="4" hidden="1">{#N/A,#N/A,FALSE,"OSBL"}</definedName>
    <definedName name="xs" localSheetId="4" hidden="1">{#N/A,"PURCHM",FALSE,"Business Analysis";#N/A,"SPADD",FALSE,"Business Analysis"}</definedName>
    <definedName name="xsd" localSheetId="4" hidden="1">{"detail",#N/A,FALSE,"mfg";"summary",#N/A,FALSE,"mfg"}</definedName>
    <definedName name="xsxa" localSheetId="4">{"'Sheet1'!$A$4386:$N$4591"}</definedName>
    <definedName name="xt" localSheetId="4" hidden="1">{#N/A,#N/A,FALSE,"PGW"}</definedName>
    <definedName name="xt_2" localSheetId="4" hidden="1">{#N/A,#N/A,FALSE,"PGW"}</definedName>
    <definedName name="xt_3" localSheetId="4" hidden="1">{#N/A,#N/A,FALSE,"PGW"}</definedName>
    <definedName name="xt_4" localSheetId="4" hidden="1">{#N/A,#N/A,FALSE,"PGW"}</definedName>
    <definedName name="xta" localSheetId="4" hidden="1">{"Page 1",#N/A,TRUE,"Sheet1";"Page 2",#N/A,TRUE,"Sheet1"}</definedName>
    <definedName name="xv" localSheetId="4" hidden="1">{"Commentary",#N/A,FALSE,"May"}</definedName>
    <definedName name="xvxgvxcgvxcv" localSheetId="4">{#N/A,#N/A,FALSE,"PMTABB";#N/A,#N/A,FALSE,"PMTABB"}</definedName>
    <definedName name="xx" localSheetId="4" hidden="1">{#N/A,#N/A,FALSE,"REPORT"}</definedName>
    <definedName name="xx_2" localSheetId="4" hidden="1">{#N/A,#N/A,FALSE,"PGW"}</definedName>
    <definedName name="xx_3" localSheetId="4" hidden="1">{#N/A,#N/A,FALSE,"PGW"}</definedName>
    <definedName name="xx_4" localSheetId="4" hidden="1">{#N/A,#N/A,FALSE,"PGW"}</definedName>
    <definedName name="xxcxc" localSheetId="4" hidden="1">{#N/A,#N/A,FALSE,"Umsatz CH";#N/A,#N/A,FALSE,"ER CH";#N/A,#N/A,FALSE,"EA CH (2) ";#N/A,#N/A,FALSE,"EA CH";#N/A,#N/A,FALSE,"EA CH (3) ";#N/A,#N/A,FALSE,"EA CH (4)";#N/A,#N/A,FALSE,"KA CH";#N/A,#N/A,FALSE,"KA CH  (2)";#N/A,#N/A,FALSE,"KA CH  (3)";#N/A,#N/A,FALSE,"KA CH (4)"}</definedName>
    <definedName name="xxnn" localSheetId="4" hidden="1">{#N/A,#N/A,FALSE,"Balance Sheets";#N/A,#N/A,FALSE,"96 Conservative";#N/A,#N/A,FALSE,"96 Possible"}</definedName>
    <definedName name="xxx" localSheetId="4" hidden="1">{#N/A,#N/A,FALSE,"ACQ_GRAPHS";#N/A,#N/A,FALSE,"T_1 GRAPHS";#N/A,#N/A,FALSE,"T_2 GRAPHS";#N/A,#N/A,FALSE,"COMB_GRAPHS"}</definedName>
    <definedName name="xxx.gb._Hm." localSheetId="4" hidden="1">{#N/A,#N/A,FALSE,"Umsatz HM";#N/A,#N/A,FALSE,"ER HM";#N/A,#N/A,FALSE,"EA HM  (2)";#N/A,#N/A,FALSE,"EA HM ";#N/A,#N/A,FALSE,"EA HM  (4)";#N/A,#N/A,FALSE,"EA HM  (3)";#N/A,#N/A,FALSE,"KA HM  (2)";#N/A,#N/A,FALSE,"KA HM";#N/A,#N/A,FALSE,"KA HM  (3)";#N/A,#N/A,FALSE,"KA HM (4)"}</definedName>
    <definedName name="xxx_1"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2"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3"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xxx2" localSheetId="4" hidden="1">{"oct_res_comm",#N/A,FALSE,"VarToBud"}</definedName>
    <definedName name="xxxx" localSheetId="4" hidden="1">{"detail",#N/A,FALSE,"mfg";"summary",#N/A,FALSE,"mfg"}</definedName>
    <definedName name="xxxxx" localSheetId="4" hidden="1">{#N/A,#N/A,FALSE,"Calc";#N/A,#N/A,FALSE,"Sensitivity";#N/A,#N/A,FALSE,"LT Earn.Dil.";#N/A,#N/A,FALSE,"Dil. AVP"}</definedName>
    <definedName name="XXXXXX" localSheetId="4" hidden="1">{#N/A,#N/A,FALSE,"CDA Plan"}</definedName>
    <definedName name="xys" localSheetId="4" hidden="1">{#N/A,#N/A,TRUE,"Staffnos &amp; cost"}</definedName>
    <definedName name="xyz" localSheetId="4" hidden="1">{"Income (All hidden)",#N/A,FALSE,"Income";"EPS (All Hidden)",#N/A,FALSE,"EPS";"EPS (All Hidden)",#N/A,FALSE,"CashFlow";"Quarterly (Last, Current and Next)",#N/A,FALSE,"Quarterly"}</definedName>
    <definedName name="xyzzzzz" localSheetId="4" hidden="1">{#N/A,#N/A,TRUE,"CIN-11";#N/A,#N/A,TRUE,"CIN-13";#N/A,#N/A,TRUE,"CIN-14";#N/A,#N/A,TRUE,"CIN-16";#N/A,#N/A,TRUE,"CIN-17";#N/A,#N/A,TRUE,"CIN-18";#N/A,#N/A,TRUE,"CIN Earnings To Fixed Charges";#N/A,#N/A,TRUE,"CIN Financial Ratios";#N/A,#N/A,TRUE,"CIN-IS";#N/A,#N/A,TRUE,"CIN-BS";#N/A,#N/A,TRUE,"CIN-CS";#N/A,#N/A,TRUE,"Invest In Unconsol Subs"}</definedName>
    <definedName name="xz" localSheetId="4" hidden="1">{#N/A,#N/A,TRUE,"Front";#N/A,#N/A,TRUE,"Simple Letter";#N/A,#N/A,TRUE,"Inside";#N/A,#N/A,TRUE,"Contents";#N/A,#N/A,TRUE,"Basis";#N/A,#N/A,TRUE,"Inclusions";#N/A,#N/A,TRUE,"Exclusions";#N/A,#N/A,TRUE,"Areas";#N/A,#N/A,TRUE,"Summary";#N/A,#N/A,TRUE,"Detail"}</definedName>
    <definedName name="xzxz" localSheetId="4" hidden="1">{#N/A,"PURCHM",FALSE,"Business Analysis";#N/A,"SPADD",FALSE,"Business Analysis"}</definedName>
    <definedName name="y" localSheetId="4" hidden="1">{#N/A,#N/A,FALSE,"Pharm";#N/A,#N/A,FALSE,"WWCM"}</definedName>
    <definedName name="Yahoo" localSheetId="4" hidden="1">{"SUMMARY",#N/A,FALSE,"Summary"}</definedName>
    <definedName name="YBN" localSheetId="4" hidden="1">{#N/A,#N/A,FALSE,"Tabl. A1";#N/A,#N/A,FALSE,"Tabl. A1 b";#N/A,#N/A,FALSE,"Tabl. A2";#N/A,#N/A,FALSE,"Tabl. A2-1";#N/A,#N/A,FALSE,"Tabl. A2-2"}</definedName>
    <definedName name="YES" localSheetId="4" hidden="1">{#N/A,#N/A,TRUE,"Front";#N/A,#N/A,TRUE,"Simple Letter";#N/A,#N/A,TRUE,"Inside";#N/A,#N/A,TRUE,"Contents";#N/A,#N/A,TRUE,"Basis";#N/A,#N/A,TRUE,"Inclusions";#N/A,#N/A,TRUE,"Exclusions";#N/A,#N/A,TRUE,"Areas";#N/A,#N/A,TRUE,"Summary";#N/A,#N/A,TRUE,"Detail"}</definedName>
    <definedName name="yeya" localSheetId="4" hidden="1">{#N/A,#N/A,FALSE,"PGW"}</definedName>
    <definedName name="yeya_1" localSheetId="4" hidden="1">{#N/A,#N/A,FALSE,"PGW"}</definedName>
    <definedName name="yeya_2" localSheetId="4" hidden="1">{#N/A,#N/A,FALSE,"PGW"}</definedName>
    <definedName name="yeya_3" localSheetId="4" hidden="1">{#N/A,#N/A,FALSE,"PGW"}</definedName>
    <definedName name="yeya_4" localSheetId="4" hidden="1">{#N/A,#N/A,FALSE,"PGW"}</definedName>
    <definedName name="yg" localSheetId="4" hidden="1">{"Polymers Details",#N/A,FALSE,"Current Yr";"Polymer Details",#N/A,FALSE,"Budget";"Polymer Details",#N/A,FALSE,"Prior Year"}</definedName>
    <definedName name="yh" localSheetId="4" hidden="1">{"Polymers Details",#N/A,FALSE,"Current Yr";"Polymer Details",#N/A,FALSE,"Budget";"Polymer Details",#N/A,FALSE,"Prior Year"}</definedName>
    <definedName name="yhn" localSheetId="4" hidden="1">{#N/A,#N/A,FALSE,"Model";#N/A,#N/A,FALSE,"Division"}</definedName>
    <definedName name="ym" localSheetId="4" hidden="1">{#N/A,"PURCHM",FALSE,"Business Analysis";#N/A,"SPADD",FALSE,"Business Analysis"}</definedName>
    <definedName name="yn" localSheetId="4" hidden="1">{"AS REP",#N/A,FALSE,"EEFSNAP2";"PROP",#N/A,FALSE,"EEFSNAP2";"RISKS",#N/A,FALSE,"EEFSNAP2";"VIEW ALL",#N/A,FALSE,"EEFSNAP2"}</definedName>
    <definedName name="Yogesh" localSheetId="4" hidden="1">{#N/A,#N/A,TRUE,"Summary";#N/A,"1",TRUE,"Summary";#N/A,"2",TRUE,"Summary";#N/A,"3",TRUE,"Summary";#N/A,"4",TRUE,"Summary";#N/A,"5",TRUE,"Summary";#N/A,"6",TRUE,"Summary";#N/A,"7",TRUE,"Summary";#N/A,"8",TRUE,"Summary";#N/A,"9",TRUE,"Summary";#N/A,"10",TRUE,"Summary";#N/A,"11",TRUE,"Summary"}</definedName>
    <definedName name="yp" localSheetId="4" hidden="1">{#N/A,"PURADD",FALSE,"Business Analysis";#N/A,"PURSPP",FALSE,"Business Analysis";#N/A,"CTGIND",FALSE,"Business Analysis";#N/A,"PURCHM",FALSE,"Business Analysis";#N/A,"SPADD",FALSE,"Business Analysis";#N/A,"EPOXY",FALSE,"Business Analysis";#N/A,"PURPER",FALSE,"Business Analysis"}</definedName>
    <definedName name="yq" localSheetId="4" hidden="1">{"QTR_ACT",#N/A,FALSE,"PROP_PBIT_DEV_Q3";"QTR_BUD",#N/A,FALSE,"PROP_PBIT_DEV_Q3";"YTD_BUD",#N/A,FALSE,"PROP_PBIT_DEV_Q3";"YTD_ACT",#N/A,FALSE,"PROP_PBIT_DEV_Q3";"FY95 SNAP3",#N/A,FALSE,"PROP_PBIT_DEV_Q3";"FY95_BUD",#N/A,FALSE,"PROP_PBIT_DEV_Q3";"FY96_BUD",#N/A,FALSE,"PROP_PBIT_DEV_Q3"}</definedName>
    <definedName name="ys.xls" localSheetId="4" hidden="1">{#N/A,#N/A,TRUE,"Summary";#N/A,"1",TRUE,"Summary";#N/A,"2",TRUE,"Summary";#N/A,"3",TRUE,"Summary";#N/A,"4",TRUE,"Summary";#N/A,"5",TRUE,"Summary";#N/A,"6",TRUE,"Summary";#N/A,"7",TRUE,"Summary";#N/A,"8",TRUE,"Summary";#N/A,"9",TRUE,"Summary";#N/A,"10",TRUE,"Summary";#N/A,"11",TRUE,"Summary"}</definedName>
    <definedName name="yt" localSheetId="4" hidden="1">{#N/A,#N/A,FALSE,"510";#N/A,#N/A,FALSE,"510-745";#N/A,#N/A,FALSE,"515";#N/A,#N/A,FALSE,"520";#N/A,#N/A,FALSE,"525";#N/A,#N/A,FALSE,"530";#N/A,#N/A,FALSE,"530-745";#N/A,#N/A,FALSE,"535";#N/A,#N/A,FALSE,"540";#N/A,#N/A,FALSE,"545";#N/A,#N/A,FALSE,"550";#N/A,#N/A,FALSE,"555";#N/A,#N/A,FALSE,"560";#N/A,#N/A,FALSE,"565";#N/A,#N/A,FALSE,"599";#N/A,#N/A,FALSE,"600-700";#N/A,#N/A,FALSE,"600-999";#N/A,#N/A,FALSE,"602";#N/A,#N/A,FALSE,"610";#N/A,#N/A,FALSE,"611";#N/A,#N/A,FALSE,"615";#N/A,#N/A,FALSE,"630";#N/A,#N/A,FALSE,"640";#N/A,#N/A,FALSE,"700";#N/A,#N/A,FALSE,"705";#N/A,#N/A,FALSE,"710";#N/A,#N/A,FALSE,"750";#N/A,#N/A,FALSE,"790";#N/A,#N/A,FALSE,"800-600";#N/A,#N/A,FALSE,"800-610";#N/A,#N/A,FALSE,"800-910";#N/A,#N/A,FALSE,"205";#N/A,#N/A,FALSE,"210";#N/A,#N/A,FALSE,"220";#N/A,#N/A,FALSE,"225";#N/A,#N/A,FALSE,"230";#N/A,#N/A,FALSE,"235";#N/A,#N/A,FALSE,"245";#N/A,#N/A,FALSE,"260";#N/A,#N/A,FALSE,"264";#N/A,#N/A,FALSE,"265";#N/A,#N/A,FALSE,"266";#N/A,#N/A,FALSE,"275";#N/A,#N/A,FALSE,"287";#N/A,#N/A,FALSE,"292";#N/A,#N/A,FALSE,"294";#N/A,#N/A,FALSE,"305";#N/A,#N/A,FALSE,"316";#N/A,#N/A,FALSE,"317";#N/A,#N/A,FALSE,"325";#N/A,#N/A,FALSE,"405";#N/A,#N/A,FALSE,"407";#N/A,#N/A,FALSE,"999-999-999"}</definedName>
    <definedName name="YTHBVFR" localSheetId="4" hidden="1">{#N/A,#N/A,FALSE,"Tabl. FB300";#N/A,#N/A,FALSE,"Tabl. FB350";#N/A,#N/A,FALSE,"Tabl. FB400";#N/A,#N/A,FALSE,"Tabl. FB500";#N/A,#N/A,FALSE,"Tabl. FS090"}</definedName>
    <definedName name="ytre" localSheetId="4" hidden="1">{"overview",#N/A,FALSE,"summary";"net assets",#N/A,FALSE,"summary";"asset turnover",#N/A,FALSE,"summary";"orona",#N/A,FALSE,"summary"}</definedName>
    <definedName name="YU" localSheetId="4" hidden="1">{#N/A,#N/A,TRUE,"Front";#N/A,#N/A,TRUE,"Simple Letter";#N/A,#N/A,TRUE,"Inside";#N/A,#N/A,TRUE,"Contents";#N/A,#N/A,TRUE,"Basis";#N/A,#N/A,TRUE,"Inclusions";#N/A,#N/A,TRUE,"Exclusions";#N/A,#N/A,TRUE,"Areas";#N/A,#N/A,TRUE,"Summary";#N/A,#N/A,TRUE,"Detail"}</definedName>
    <definedName name="YU87N" localSheetId="4" hidden="1">{#N/A,#N/A,FALSE,"Tabl. G1";#N/A,#N/A,FALSE,"Tabl. G2"}</definedName>
    <definedName name="YUC" localSheetId="4" hidden="1">{#N/A,#N/A,FALSE,"Tabl. H1";#N/A,#N/A,FALSE,"Tabl. H2"}</definedName>
    <definedName name="yui" localSheetId="4" hidden="1">{"Commentary",#N/A,FALSE,"May"}</definedName>
    <definedName name="yuio" localSheetId="4" hidden="1">{"oct_res_comm",#N/A,FALSE,"VarToBud"}</definedName>
    <definedName name="yuop" localSheetId="4" hidden="1">{"OTHER",#N/A,FALSE,"CM"}</definedName>
    <definedName name="yv" localSheetId="4" hidden="1">{"sales growth",#N/A,FALSE,"summary";"oper income",#N/A,FALSE,"summary";"oros rank",#N/A,FALSE,"summary";"net assets",#N/A,FALSE,"summary";"asset turnover",#N/A,FALSE,"summary";"orona",#N/A,FALSE,"summary"}</definedName>
    <definedName name="yx" localSheetId="4" hidden="1">{"overview",#N/A,FALSE,"summary";"net assets",#N/A,FALSE,"summary";"asset turnover",#N/A,FALSE,"summary";"orona",#N/A,FALSE,"summary"}</definedName>
    <definedName name="yxcxycxy" localSheetId="4" hidden="1">{#N/A,#N/A,FALSE,"Umsatz 99";#N/A,#N/A,FALSE,"ER 99 "}</definedName>
    <definedName name="yy" localSheetId="4" hidden="1">{"consolidated",#N/A,FALSE,"Sheet1";"cms",#N/A,FALSE,"Sheet1";"fse",#N/A,FALSE,"Sheet1"}</definedName>
    <definedName name="yy.7" localSheetId="4" hidden="1">{#N/A,#N/A,FALSE,"PMW Gruppe 00_99";#N/A,#N/A,FALSE,"PMW KG 00_99";#N/A,#N/A,FALSE,"PMW Inc. 00_99";#N/A,#N/A,FALSE,"PMW VTECH 00_99";#N/A,#N/A,FALSE,"PMW Thail. 00_99";#N/A,#N/A,FALSE,"PMW Canada 00_99";#N/A,#N/A,FALSE,"Währungsabw. 00_99"}</definedName>
    <definedName name="YYY" localSheetId="4"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yyy_1" localSheetId="4" hidden="1">{#N/A,#N/A,FALSE,"PGW"}</definedName>
    <definedName name="yyy_2" localSheetId="4" hidden="1">{#N/A,#N/A,FALSE,"PGW"}</definedName>
    <definedName name="yyy_3" localSheetId="4" hidden="1">{#N/A,#N/A,FALSE,"PGW"}</definedName>
    <definedName name="yyy_4" localSheetId="4" hidden="1">{#N/A,#N/A,FALSE,"PGW"}</definedName>
    <definedName name="z" localSheetId="4" hidden="1">{#N/A,#N/A,FALSE,"One Pager";#N/A,#N/A,FALSE,"Technical"}</definedName>
    <definedName name="z.l" localSheetId="4" hidden="1">{#N/A,#N/A,FALSE,"KA CH  (2)"}</definedName>
    <definedName name="z.xls" localSheetId="4" hidden="1">{#N/A,#N/A,FALSE,"CMN_FE"}</definedName>
    <definedName name="z_1" localSheetId="4">{#N/A,#N/A,TRUE,"Front";#N/A,#N/A,TRUE,"Simple Letter";#N/A,#N/A,TRUE,"Inside";#N/A,#N/A,TRUE,"Contents";#N/A,#N/A,TRUE,"Basis";#N/A,#N/A,TRUE,"Inclusions";#N/A,#N/A,TRUE,"Exclusions";#N/A,#N/A,TRUE,"Areas";#N/A,#N/A,TRUE,"Summary";#N/A,#N/A,TRUE,"Detail"}</definedName>
    <definedName name="za" localSheetId="4" hidden="1">{"detail",#N/A,FALSE,"mfg";"summary",#N/A,FALSE,"mfg"}</definedName>
    <definedName name="zaCQW" localSheetId="4" hidden="1">{"turnover",#N/A,FALSE;"profits",#N/A,FALSE;"cash",#N/A,FALSE}</definedName>
    <definedName name="zaq" localSheetId="4" hidden="1">{#N/A,#N/A,FALSE,"Calc";#N/A,#N/A,FALSE,"Sensitivity";#N/A,#N/A,FALSE,"LT Earn.Dil.";#N/A,#N/A,FALSE,"Dil. AVP"}</definedName>
    <definedName name="zaz" localSheetId="4" hidden="1">{#N/A,"PURCHM",FALSE,"Business Analysis";#N/A,"SPADD",FALSE,"Business Analysis"}</definedName>
    <definedName name="zc" localSheetId="4" hidden="1">{#N/A,#N/A,TRUE,"Front";#N/A,#N/A,TRUE,"Simple Letter";#N/A,#N/A,TRUE,"Inside";#N/A,#N/A,TRUE,"Contents";#N/A,#N/A,TRUE,"Basis";#N/A,#N/A,TRUE,"Inclusions";#N/A,#N/A,TRUE,"Exclusions";#N/A,#N/A,TRUE,"Areas";#N/A,#N/A,TRUE,"Summary";#N/A,#N/A,TRUE,"Detail"}</definedName>
    <definedName name="zccz" localSheetId="4">City&amp;" "&amp;State</definedName>
    <definedName name="zer" localSheetId="4" hidden="1">{#N/A,#N/A,FALSE,"Calc";#N/A,#N/A,FALSE,"Sensitivity";#N/A,#N/A,FALSE,"LT Earn.Dil.";#N/A,#N/A,FALSE,"Dil. AVP"}</definedName>
    <definedName name="zesewe" localSheetId="4" hidden="1">{#N/A,#N/A,FALSE,"FREE"}</definedName>
    <definedName name="zesewe_2" localSheetId="4" hidden="1">{#N/A,#N/A,FALSE,"FREE"}</definedName>
    <definedName name="zesewe_3" localSheetId="4" hidden="1">{#N/A,#N/A,FALSE,"FREE"}</definedName>
    <definedName name="zesewe_4" localSheetId="4" hidden="1">{#N/A,#N/A,FALSE,"FREE"}</definedName>
    <definedName name="zhu" localSheetId="4" hidden="1">{#N/A,#N/A,FALSE,"REPORT"}</definedName>
    <definedName name="zhutr" localSheetId="4" hidden="1">{#N/A,#N/A,FALSE,"REPORT"}</definedName>
    <definedName name="zioio" localSheetId="4" hidden="1">{#N/A,#N/A,FALSE,"Umsatz CH";#N/A,#N/A,FALSE,"ER CH";#N/A,#N/A,FALSE,"EA CH (2) ";#N/A,#N/A,FALSE,"EA CH";#N/A,#N/A,FALSE,"EA CH (3) ";#N/A,#N/A,FALSE,"EA CH (4)";#N/A,#N/A,FALSE,"KA CH";#N/A,#N/A,FALSE,"KA CH  (2)";#N/A,#N/A,FALSE,"KA CH  (3)";#N/A,#N/A,FALSE,"KA CH (4)"}</definedName>
    <definedName name="zl" localSheetId="4" hidden="1">{#N/A,"PURCHM",FALSE,"Business Analysis";#N/A,"SPADD",FALSE,"Business Analysis"}</definedName>
    <definedName name="ZSZ" localSheetId="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WX" localSheetId="4" hidden="1">{#N/A,#N/A,FALSE,"Tabl. A1";#N/A,#N/A,FALSE,"Tabl. A1 b";#N/A,#N/A,FALSE,"Tabl. A2";#N/A,#N/A,FALSE,"Tabl. A2-1";#N/A,#N/A,FALSE,"Tabl. A2-2"}</definedName>
    <definedName name="zxz" localSheetId="4">City&amp;" "&amp;State</definedName>
    <definedName name="zxzx" localSheetId="4" hidden="1">{"oct_res_comm",#N/A,FALSE,"VarToBud"}</definedName>
    <definedName name="zy" localSheetId="4" hidden="1">{#N/A,#N/A,FALSE,"CMN_FE"}</definedName>
    <definedName name="zyz" localSheetId="4" hidden="1">{#N/A,#N/A,FALSE,"CMN_FE"}</definedName>
    <definedName name="zz" localSheetId="4" hidden="1">{#N/A,#N/A,TRUE,"Front";#N/A,#N/A,TRUE,"Simple Letter";#N/A,#N/A,TRUE,"Inside";#N/A,#N/A,TRUE,"Contents";#N/A,#N/A,TRUE,"Basis";#N/A,#N/A,TRUE,"Inclusions";#N/A,#N/A,TRUE,"Exclusions";#N/A,#N/A,TRUE,"Areas";#N/A,#N/A,TRUE,"Summary";#N/A,#N/A,TRUE,"Detail"}</definedName>
    <definedName name="ZZ_4" localSheetId="4"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zza4pg" localSheetId="4" hidden="1">{#N/A,#N/A,FALSE,"REPORT"}</definedName>
    <definedName name="zzaxz" localSheetId="4" hidden="1">{"detail",#N/A,FALSE,"mfg";"summary",#N/A,FALSE,"mfg"}</definedName>
    <definedName name="zzee" localSheetId="4" hidden="1">{#N/A,#N/A,FALSE,"Pharm";#N/A,#N/A,FALSE,"WWCM"}</definedName>
    <definedName name="zzi.7" localSheetId="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xz" localSheetId="4" hidden="1">{#N/A,#N/A,FALSE,"COMP"}</definedName>
    <definedName name="zzz" localSheetId="4" hidden="1">{#N/A,#N/A,FALSE,"Umsatz CH";#N/A,#N/A,FALSE,"ER CH";#N/A,#N/A,FALSE,"EA CH (2) ";#N/A,#N/A,FALSE,"EA CH";#N/A,#N/A,FALSE,"EA CH (3) ";#N/A,#N/A,FALSE,"EA CH (4)";#N/A,#N/A,FALSE,"KA CH";#N/A,#N/A,FALSE,"KA CH  (2)";#N/A,#N/A,FALSE,"KA CH  (3)";#N/A,#N/A,FALSE,"KA CH (4)"}</definedName>
    <definedName name="ZZZ_3" localSheetId="4" hidden="1">{#N/A,#N/A,FALSE,"PGW"}</definedName>
    <definedName name="ZZZ_4" localSheetId="4" hidden="1">{#N/A,#N/A,FALSE,"PGW"}</definedName>
    <definedName name="zzzz" localSheetId="4" hidden="1">{#N/A,#N/A,FALSE,"CDA Plan"}</definedName>
    <definedName name="zzzzz" localSheetId="4" hidden="1">{#N/A,#N/A,FALSE,"REPORT"}</definedName>
    <definedName name="ZZZZZZZZZZZZZZZ" localSheetId="4" hidden="1">{#N/A,#N/A,FALSE,"Tabl. FB300";#N/A,#N/A,FALSE,"Tabl. FB350";#N/A,#N/A,FALSE,"Tabl. FB400";#N/A,#N/A,FALSE,"Tabl. FB500";#N/A,#N/A,FALSE,"Tabl. FS090"}</definedName>
    <definedName name="ㄱㄱㄱ" localSheetId="4" hidden="1">{"'7'!$B$15:$D$32"}</definedName>
    <definedName name="ㄱㄷㅈㄱ" localSheetId="4" hidden="1">{"'7'!$B$15:$D$32"}</definedName>
    <definedName name="고" localSheetId="4" hidden="1">{#N/A,#N/A,FALSE,"REPORT"}</definedName>
    <definedName name="김신희" localSheetId="4" hidden="1">{"'7'!$B$15:$D$32"}</definedName>
    <definedName name="김ㅈㅗㅊ리" localSheetId="4" hidden="1">{"'7'!$B$15:$D$32"}</definedName>
    <definedName name="ㄴㄴㄴ" localSheetId="4" hidden="1">{"'7'!$B$15:$D$32"}</definedName>
    <definedName name="ㄶㅇ노ㅗㄶ호" localSheetId="4" hidden="1">{#N/A,#N/A,FALSE,"REPORT"}</definedName>
    <definedName name="미애" localSheetId="4" hidden="1">{#N/A,#N/A,FALSE,"REPORT"}</definedName>
    <definedName name="ㅂㅁ" localSheetId="4" hidden="1">{#N/A,"PURCHM",FALSE,"Business Analysis";#N/A,"SPADD",FALSE,"Business Analysis"}</definedName>
    <definedName name="별지66" localSheetId="4"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상권" localSheetId="4" hidden="1">{"'7'!$B$15:$D$32"}</definedName>
    <definedName name="상품개발" localSheetId="4" hidden="1">{"'7'!$B$15:$D$32"}</definedName>
    <definedName name="손익계산서"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손익총괄표3" localSheetId="4" hidden="1">{"'7'!$B$15:$D$32"}</definedName>
    <definedName name="ㅇㄴㅇ" localSheetId="4" hidden="1">{"'7'!$B$15:$D$32"}</definedName>
    <definedName name="요" localSheetId="4" hidden="1">{"'7'!$B$15:$D$32"}</definedName>
    <definedName name="요약1" localSheetId="4" hidden="1">{"'7'!$B$15:$D$32"}</definedName>
    <definedName name="요약2" localSheetId="4" hidden="1">{"'7'!$B$15:$D$32"}</definedName>
    <definedName name="이" localSheetId="4" hidden="1">{"vol data",#N/A,FALSE,"Datasheet";"vol graph",#N/A,FALSE,"Volume";"price data",#N/A,FALSE,"Datasheet";"price graph",#N/A,FALSE,"Price";"dp data",#N/A,FALSE,"Datasheet";"dp graph",#N/A,FALSE,"DirectProfit"}</definedName>
    <definedName name="이쁘니" localSheetId="4"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조" localSheetId="4" hidden="1">{"'7'!$B$15:$D$32"}</definedName>
    <definedName name="총괄표"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나앙" localSheetId="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앙" localSheetId="4"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ㅏㅏ" localSheetId="4" hidden="1">{"'7'!$B$15:$D$32"}</definedName>
    <definedName name="ㅡㅡㅡㅡ" localSheetId="4" hidden="1">{"'7'!$B$15:$D$32"}</definedName>
    <definedName name="探测器及接口类部件GW" localSheetId="4">{"Client Name or Project Name"}</definedName>
    <definedName name="_xlnm.Print_Area" localSheetId="4">'Management commentary '!$A$1:$F$7</definedName>
    <definedName name="CIQWBGuid" localSheetId="6" hidden="1">"c9044bd8-fade-4d15-afa1-3de2f1c583a4"</definedName>
    <definedName name="_xlnm.Print_Area" localSheetId="6">'Comps'!$A$1:$R$9</definedName>
    <definedName name="_xlnm._FilterDatabase" localSheetId="9" hidden="1">'Key sectoral updates'!$B$3:$G$34</definedName>
    <definedName name="_xlnm.Print_Area" localSheetId="9">'Key sectoral updates'!$A$1:$F$9</definedName>
  </definedNames>
  <calcPr calcId="191028" fullCalcOnLoad="1" iterateDelta="0.0009999999999999445"/>
</workbook>
</file>

<file path=xl/styles.xml><?xml version="1.0" encoding="utf-8"?>
<styleSheet xmlns="http://schemas.openxmlformats.org/spreadsheetml/2006/main">
  <numFmts count="7">
    <numFmt numFmtId="164" formatCode="_(* #,##0_);_(* \(#,##0\);_(* &quot;-&quot;??_);_(@_)"/>
    <numFmt numFmtId="165" formatCode="0.0%"/>
    <numFmt numFmtId="166" formatCode="0.0\x"/>
    <numFmt numFmtId="167" formatCode="&quot;FY&quot;0"/>
    <numFmt numFmtId="168" formatCode="_ * #,##0.00_ ;_ * \-#,##0.00_ ;_ * &quot;-&quot;??_ ;_ @_ "/>
    <numFmt numFmtId="169" formatCode="0.00\x"/>
    <numFmt numFmtId="170" formatCode="#,##0&quot;*&quot;"/>
  </numFmts>
  <fonts count="41">
    <font>
      <name val="Calibri"/>
      <family val="2"/>
      <color theme="1"/>
      <sz val="11"/>
      <scheme val="minor"/>
    </font>
    <font>
      <name val="Calibri"/>
      <family val="2"/>
      <color theme="1"/>
      <sz val="11"/>
    </font>
    <font>
      <name val="Calibri"/>
      <family val="2"/>
      <color theme="1"/>
      <sz val="11"/>
    </font>
    <font>
      <name val="Calibri"/>
      <family val="2"/>
      <color theme="1"/>
      <sz val="11"/>
    </font>
    <font>
      <name val="Calibri"/>
      <family val="2"/>
      <b val="1"/>
      <color theme="0"/>
      <sz val="11"/>
      <scheme val="minor"/>
    </font>
    <font>
      <name val="Calibri"/>
      <family val="2"/>
      <b val="1"/>
      <color theme="1"/>
      <sz val="11"/>
      <scheme val="minor"/>
    </font>
    <font>
      <name val="Calibri"/>
      <family val="2"/>
      <i val="1"/>
      <color theme="1"/>
      <sz val="11"/>
      <scheme val="minor"/>
    </font>
    <font>
      <name val="Calibri"/>
      <family val="2"/>
      <color theme="1"/>
      <sz val="11"/>
      <scheme val="minor"/>
    </font>
    <font>
      <name val="Calibri"/>
      <family val="2"/>
      <b val="1"/>
      <color theme="1"/>
      <sz val="11"/>
      <u val="single"/>
      <scheme val="minor"/>
    </font>
    <font>
      <name val="Calibri"/>
      <family val="2"/>
      <color theme="1"/>
      <sz val="11"/>
      <u val="single"/>
      <scheme val="minor"/>
    </font>
    <font>
      <name val="Calibri"/>
      <family val="2"/>
      <b val="1"/>
      <i val="1"/>
      <color theme="1"/>
      <sz val="11"/>
      <scheme val="minor"/>
    </font>
    <font>
      <name val="Aptos Narrow"/>
      <family val="2"/>
      <color theme="1"/>
      <sz val="11"/>
    </font>
    <font>
      <name val="Aptos Narrow"/>
      <family val="2"/>
      <color rgb="FF000000"/>
      <sz val="11"/>
    </font>
    <font>
      <name val="Calibri"/>
      <family val="2"/>
      <color theme="0" tint="-0.499984740745262"/>
      <sz val="9"/>
      <scheme val="minor"/>
    </font>
    <font>
      <name val="Calibri"/>
      <family val="2"/>
      <color theme="0" tint="-0.3499862666707358"/>
      <sz val="11"/>
      <scheme val="minor"/>
    </font>
    <font>
      <name val="Calibri"/>
      <family val="2"/>
      <color theme="0"/>
      <sz val="11"/>
      <scheme val="minor"/>
    </font>
    <font>
      <name val="Calibri"/>
      <family val="2"/>
      <b val="1"/>
      <color theme="0"/>
      <sz val="10"/>
      <scheme val="minor"/>
    </font>
    <font>
      <name val="Calibri"/>
      <family val="2"/>
      <color theme="1"/>
      <sz val="10"/>
      <scheme val="minor"/>
    </font>
    <font>
      <name val="Calibri"/>
      <family val="2"/>
      <b val="1"/>
      <color rgb="FF1D1C1D"/>
      <sz val="10"/>
      <scheme val="minor"/>
    </font>
    <font>
      <name val="Calibri"/>
      <family val="2"/>
      <color rgb="FF1D1C1D"/>
      <sz val="10"/>
      <scheme val="minor"/>
    </font>
    <font>
      <name val="Calibri"/>
      <family val="2"/>
      <b val="1"/>
      <color theme="1"/>
      <sz val="10"/>
      <scheme val="minor"/>
    </font>
    <font>
      <name val="Calibri"/>
      <family val="2"/>
      <color rgb="FF006100"/>
      <sz val="11"/>
    </font>
    <font>
      <name val="Calibri"/>
      <family val="2"/>
      <color rgb="FF9C5700"/>
      <sz val="11"/>
    </font>
    <font>
      <name val="Calibri"/>
      <family val="2"/>
      <color rgb="FF9C0006"/>
      <sz val="11"/>
    </font>
    <font>
      <name val="Calibri"/>
      <family val="2"/>
      <color theme="10"/>
      <sz val="11"/>
      <u val="single"/>
      <scheme val="minor"/>
    </font>
    <font>
      <name val="Calibri"/>
      <family val="2"/>
      <sz val="11"/>
      <scheme val="minor"/>
    </font>
    <font>
      <name val="Calibri"/>
      <family val="2"/>
      <color theme="1"/>
      <sz val="10"/>
    </font>
    <font>
      <name val="Calibri"/>
      <family val="2"/>
      <b val="1"/>
      <color rgb="FFFFFFFF"/>
      <sz val="10"/>
    </font>
    <font>
      <name val="Calibri"/>
      <family val="2"/>
      <b val="1"/>
      <color rgb="FF000000"/>
      <sz val="10"/>
    </font>
    <font>
      <name val="Calibri"/>
      <family val="2"/>
      <color rgb="FF000000"/>
      <sz val="10"/>
    </font>
    <font>
      <name val="Calibri"/>
      <family val="2"/>
      <b val="1"/>
      <sz val="10"/>
    </font>
    <font>
      <name val="Calibri"/>
      <family val="2"/>
      <b val="1"/>
      <color theme="0"/>
      <sz val="11"/>
    </font>
    <font>
      <name val="Calibri"/>
      <family val="2"/>
      <b val="1"/>
      <color theme="1"/>
      <sz val="11"/>
    </font>
    <font>
      <name val="Calibri"/>
      <family val="2"/>
      <b val="1"/>
      <i val="1"/>
      <color rgb="FF000000"/>
      <sz val="10"/>
    </font>
    <font>
      <name val="Calibri"/>
      <family val="2"/>
      <b val="1"/>
      <sz val="11"/>
    </font>
    <font>
      <name val="Calibri"/>
      <family val="2"/>
      <sz val="11"/>
    </font>
    <font>
      <name val="Calibri"/>
      <family val="2"/>
      <b val="1"/>
      <i val="1"/>
      <sz val="11"/>
      <scheme val="minor"/>
    </font>
    <font>
      <name val="Calibri"/>
      <family val="2"/>
      <b val="1"/>
      <sz val="11"/>
      <scheme val="minor"/>
    </font>
    <font>
      <name val="Calibri"/>
      <family val="2"/>
      <b val="1"/>
      <color theme="0"/>
      <sz val="11"/>
      <u val="single"/>
      <scheme val="minor"/>
    </font>
    <font>
      <name val="Calibri"/>
      <family val="2"/>
      <i val="1"/>
      <color theme="1"/>
      <sz val="10"/>
      <scheme val="minor"/>
    </font>
    <font>
      <name val="Tahoma"/>
      <family val="2"/>
      <color indexed="81"/>
      <sz val="9"/>
    </font>
  </fonts>
  <fills count="20">
    <fill>
      <patternFill/>
    </fill>
    <fill>
      <patternFill patternType="gray125"/>
    </fill>
    <fill>
      <patternFill patternType="solid">
        <fgColor rgb="FF002060"/>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rgb="FF2A3061"/>
        <bgColor indexed="64"/>
      </patternFill>
    </fill>
    <fill>
      <patternFill patternType="solid">
        <fgColor theme="3" tint="0.8999908444471572"/>
        <bgColor indexed="64"/>
      </patternFill>
    </fill>
    <fill>
      <patternFill patternType="solid">
        <fgColor rgb="FFDAE9F8"/>
        <bgColor rgb="FF000000"/>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1A3061"/>
        <bgColor indexed="64"/>
      </patternFill>
    </fill>
    <fill>
      <patternFill patternType="solid">
        <fgColor rgb="FF00B0F0"/>
        <bgColor indexed="64"/>
      </patternFill>
    </fill>
    <fill>
      <patternFill patternType="solid">
        <fgColor rgb="FF0070C0"/>
        <bgColor indexed="64"/>
      </patternFill>
    </fill>
    <fill>
      <patternFill patternType="solid">
        <fgColor rgb="FF002060"/>
        <bgColor rgb="FF000000"/>
      </patternFill>
    </fill>
    <fill>
      <patternFill patternType="solid">
        <fgColor rgb="FFFFC000"/>
        <bgColor indexed="64"/>
      </patternFill>
    </fill>
    <fill>
      <patternFill patternType="solid">
        <fgColor rgb="FFFFFF00"/>
        <bgColor indexed="64"/>
      </patternFill>
    </fill>
    <fill>
      <patternFill patternType="solid">
        <fgColor rgb="FF1A3061"/>
      </patternFill>
    </fill>
    <fill>
      <patternFill patternType="solid">
        <fgColor theme="6" tint="-0.09997863704336681"/>
        <bgColor indexed="64"/>
      </patternFill>
    </fill>
  </fills>
  <borders count="30">
    <border>
      <left/>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auto="1"/>
      </left>
      <right/>
      <top/>
      <bottom/>
      <diagonal/>
    </border>
    <border>
      <left/>
      <right style="thin">
        <color indexed="64"/>
      </right>
      <top/>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diagonal/>
    </border>
    <border>
      <left style="thick">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auto="1"/>
      </left>
      <right/>
      <top/>
      <bottom style="thick">
        <color auto="1"/>
      </bottom>
      <diagonal/>
    </border>
    <border>
      <left/>
      <right/>
      <top/>
      <bottom style="thick">
        <color auto="1"/>
      </bottom>
      <diagonal/>
    </border>
    <border>
      <left style="thin">
        <color indexed="64"/>
      </left>
      <right style="thin">
        <color indexed="64"/>
      </right>
      <top style="thin">
        <color indexed="64"/>
      </top>
      <bottom/>
      <diagonal/>
    </border>
    <border>
      <left/>
      <right/>
      <top style="thin">
        <color theme="0" tint="-0.1499679555650502"/>
      </top>
      <bottom style="thin">
        <color theme="0" tint="-0.1499679555650502"/>
      </bottom>
      <diagonal/>
    </border>
    <border>
      <left/>
      <right/>
      <top style="thin">
        <color rgb="FFD9D9D9"/>
      </top>
      <bottom style="thin">
        <color rgb="FFD9D9D9"/>
      </bottom>
      <diagonal/>
    </border>
    <border>
      <left style="thin">
        <color indexed="64"/>
      </left>
      <right/>
      <top style="thin">
        <color theme="0" tint="-0.1499679555650502"/>
      </top>
      <bottom style="thin">
        <color theme="0" tint="-0.1499679555650502"/>
      </bottom>
      <diagonal/>
    </border>
    <border>
      <left style="thin">
        <color indexed="64"/>
      </left>
      <right/>
      <top style="thin">
        <color rgb="FFD9D9D9"/>
      </top>
      <bottom style="thin">
        <color rgb="FFD9D9D9"/>
      </bottom>
      <diagonal/>
    </border>
    <border>
      <left style="thin">
        <color indexed="64"/>
      </left>
      <right style="thin">
        <color indexed="64"/>
      </right>
      <top style="thin">
        <color rgb="FFD9D9D9"/>
      </top>
      <bottom style="thin">
        <color rgb="FFD9D9D9"/>
      </bottom>
      <diagonal/>
    </border>
    <border>
      <left style="thin">
        <color indexed="64"/>
      </left>
      <right style="thin">
        <color indexed="64"/>
      </right>
      <top style="thin">
        <color rgb="FFD9D9D9"/>
      </top>
      <bottom style="thin">
        <color indexed="64"/>
      </bottom>
      <diagonal/>
    </border>
    <border>
      <left style="thin">
        <color indexed="64"/>
      </left>
      <right/>
      <top style="thin">
        <color rgb="FFD9D9D9"/>
      </top>
      <bottom style="thin">
        <color indexed="64"/>
      </bottom>
      <diagonal/>
    </border>
    <border>
      <left/>
      <right/>
      <top style="thin">
        <color rgb="FFD9D9D9"/>
      </top>
      <bottom style="thin">
        <color indexed="64"/>
      </bottom>
      <diagonal/>
    </border>
  </borders>
  <cellStyleXfs count="17">
    <xf numFmtId="0" fontId="7" fillId="0" borderId="0"/>
    <xf numFmtId="9" fontId="7" fillId="0" borderId="0"/>
    <xf numFmtId="43" fontId="7" fillId="0" borderId="0"/>
    <xf numFmtId="0" fontId="3" fillId="0" borderId="0"/>
    <xf numFmtId="9" fontId="3" fillId="0" borderId="0"/>
    <xf numFmtId="43" fontId="7" fillId="0" borderId="0"/>
    <xf numFmtId="0" fontId="21" fillId="9" borderId="0"/>
    <xf numFmtId="0" fontId="22" fillId="11" borderId="0"/>
    <xf numFmtId="0" fontId="23" fillId="10" borderId="0"/>
    <xf numFmtId="0" fontId="24" fillId="0" borderId="0"/>
    <xf numFmtId="0" fontId="7" fillId="0" borderId="0"/>
    <xf numFmtId="0" fontId="3" fillId="0" borderId="0"/>
    <xf numFmtId="0" fontId="25" fillId="0" borderId="0"/>
    <xf numFmtId="9" fontId="7" fillId="0" borderId="0"/>
    <xf numFmtId="0" fontId="3" fillId="0" borderId="0"/>
    <xf numFmtId="43" fontId="7" fillId="0" borderId="0"/>
    <xf numFmtId="9" fontId="3" fillId="0" borderId="0"/>
  </cellStyleXfs>
  <cellXfs count="498">
    <xf numFmtId="0" fontId="0" fillId="0" borderId="0" pivotButton="0" quotePrefix="0" xfId="0"/>
    <xf numFmtId="0" fontId="5" fillId="0" borderId="0" pivotButton="0" quotePrefix="0" xfId="0"/>
    <xf numFmtId="0" fontId="0" fillId="0" borderId="0" applyAlignment="1" pivotButton="0" quotePrefix="0" xfId="0">
      <alignment wrapText="1"/>
    </xf>
    <xf numFmtId="9" fontId="0" fillId="0" borderId="0" pivotButton="0" quotePrefix="0" xfId="0"/>
    <xf numFmtId="0" fontId="8" fillId="0" borderId="0" pivotButton="0" quotePrefix="0" xfId="0"/>
    <xf numFmtId="164" fontId="0" fillId="0" borderId="0" applyAlignment="1" pivotButton="0" quotePrefix="0" xfId="2">
      <alignment horizontal="right"/>
    </xf>
    <xf numFmtId="9" fontId="0" fillId="0" borderId="0" applyAlignment="1" pivotButton="0" quotePrefix="0" xfId="1">
      <alignment horizontal="right"/>
    </xf>
    <xf numFmtId="165" fontId="6" fillId="0" borderId="4" applyAlignment="1" pivotButton="0" quotePrefix="0" xfId="1">
      <alignment horizontal="right"/>
    </xf>
    <xf numFmtId="165" fontId="6" fillId="0" borderId="0" applyAlignment="1" pivotButton="0" quotePrefix="0" xfId="1">
      <alignment horizontal="right"/>
    </xf>
    <xf numFmtId="164" fontId="0" fillId="0" borderId="0" applyAlignment="1" pivotButton="0" quotePrefix="0" xfId="2">
      <alignment horizontal="right"/>
    </xf>
    <xf numFmtId="0" fontId="0" fillId="3" borderId="0" pivotButton="0" quotePrefix="0" xfId="0"/>
    <xf numFmtId="164" fontId="4" fillId="2" borderId="7" applyAlignment="1" pivotButton="0" quotePrefix="0" xfId="2">
      <alignment horizontal="centerContinuous"/>
    </xf>
    <xf numFmtId="0" fontId="4" fillId="2" borderId="9" pivotButton="0" quotePrefix="0" xfId="0"/>
    <xf numFmtId="164" fontId="4" fillId="2" borderId="0" applyAlignment="1" pivotButton="0" quotePrefix="0" xfId="2">
      <alignment horizontal="right"/>
    </xf>
    <xf numFmtId="164" fontId="4" fillId="2" borderId="10" applyAlignment="1" pivotButton="0" quotePrefix="0" xfId="2">
      <alignment horizontal="right"/>
    </xf>
    <xf numFmtId="164" fontId="4" fillId="2" borderId="4" applyAlignment="1" pivotButton="0" quotePrefix="0" xfId="2">
      <alignment horizontal="right"/>
    </xf>
    <xf numFmtId="9" fontId="4" fillId="2" borderId="11" applyAlignment="1" pivotButton="0" quotePrefix="0" xfId="1">
      <alignment horizontal="right" wrapText="1"/>
    </xf>
    <xf numFmtId="164" fontId="4" fillId="2" borderId="12" applyAlignment="1" pivotButton="0" quotePrefix="0" xfId="2">
      <alignment horizontal="right"/>
    </xf>
    <xf numFmtId="164" fontId="4" fillId="2" borderId="13" applyAlignment="1" pivotButton="0" quotePrefix="0" xfId="2">
      <alignment horizontal="right"/>
    </xf>
    <xf numFmtId="0" fontId="0" fillId="0" borderId="9" pivotButton="0" quotePrefix="0" xfId="0"/>
    <xf numFmtId="164" fontId="0" fillId="0" borderId="4" applyAlignment="1" pivotButton="0" quotePrefix="0" xfId="2">
      <alignment horizontal="right"/>
    </xf>
    <xf numFmtId="9" fontId="0" fillId="0" borderId="11" applyAlignment="1" pivotButton="0" quotePrefix="0" xfId="1">
      <alignment horizontal="right"/>
    </xf>
    <xf numFmtId="0" fontId="5" fillId="0" borderId="14" pivotButton="0" quotePrefix="0" xfId="0"/>
    <xf numFmtId="164" fontId="5" fillId="0" borderId="15" applyAlignment="1" pivotButton="0" quotePrefix="0" xfId="2">
      <alignment horizontal="right"/>
    </xf>
    <xf numFmtId="164" fontId="5" fillId="0" borderId="17" applyAlignment="1" pivotButton="0" quotePrefix="0" xfId="2">
      <alignment horizontal="right"/>
    </xf>
    <xf numFmtId="9" fontId="5" fillId="0" borderId="18" applyAlignment="1" pivotButton="0" quotePrefix="0" xfId="1">
      <alignment horizontal="right"/>
    </xf>
    <xf numFmtId="9" fontId="0" fillId="3" borderId="0" pivotButton="0" quotePrefix="0" xfId="1"/>
    <xf numFmtId="0" fontId="6" fillId="0" borderId="0" pivotButton="0" quotePrefix="0" xfId="0"/>
    <xf numFmtId="0" fontId="6" fillId="0" borderId="9" pivotButton="0" quotePrefix="0" xfId="0"/>
    <xf numFmtId="9" fontId="6" fillId="0" borderId="11" applyAlignment="1" pivotButton="0" quotePrefix="0" xfId="1">
      <alignment horizontal="right"/>
    </xf>
    <xf numFmtId="0" fontId="0" fillId="4" borderId="9" pivotButton="0" quotePrefix="0" xfId="0"/>
    <xf numFmtId="164" fontId="0" fillId="4" borderId="0" applyAlignment="1" pivotButton="0" quotePrefix="0" xfId="2">
      <alignment horizontal="right"/>
    </xf>
    <xf numFmtId="164" fontId="0" fillId="4" borderId="4" applyAlignment="1" pivotButton="0" quotePrefix="0" xfId="2">
      <alignment horizontal="right"/>
    </xf>
    <xf numFmtId="9" fontId="0" fillId="4" borderId="11" applyAlignment="1" pivotButton="0" quotePrefix="0" xfId="1">
      <alignment horizontal="right"/>
    </xf>
    <xf numFmtId="9" fontId="6" fillId="0" borderId="0" applyAlignment="1" pivotButton="0" quotePrefix="0" xfId="1">
      <alignment horizontal="right"/>
    </xf>
    <xf numFmtId="9" fontId="6" fillId="0" borderId="4" applyAlignment="1" pivotButton="0" quotePrefix="0" xfId="1">
      <alignment horizontal="right"/>
    </xf>
    <xf numFmtId="0" fontId="6" fillId="3" borderId="0" pivotButton="0" quotePrefix="0" xfId="0"/>
    <xf numFmtId="0" fontId="5" fillId="0" borderId="9" pivotButton="0" quotePrefix="0" xfId="0"/>
    <xf numFmtId="164" fontId="5" fillId="0" borderId="0" applyAlignment="1" pivotButton="0" quotePrefix="0" xfId="2">
      <alignment horizontal="right"/>
    </xf>
    <xf numFmtId="164" fontId="5" fillId="0" borderId="4" applyAlignment="1" pivotButton="0" quotePrefix="0" xfId="2">
      <alignment horizontal="right"/>
    </xf>
    <xf numFmtId="9" fontId="5" fillId="0" borderId="11" applyAlignment="1" pivotButton="0" quotePrefix="0" xfId="1">
      <alignment horizontal="right"/>
    </xf>
    <xf numFmtId="0" fontId="5" fillId="3" borderId="0" pivotButton="0" quotePrefix="0" xfId="0"/>
    <xf numFmtId="165" fontId="6" fillId="0" borderId="9" pivotButton="0" quotePrefix="0" xfId="0"/>
    <xf numFmtId="165" fontId="6" fillId="0" borderId="11" applyAlignment="1" pivotButton="0" quotePrefix="0" xfId="1">
      <alignment horizontal="right"/>
    </xf>
    <xf numFmtId="165" fontId="6" fillId="3" borderId="0" pivotButton="0" quotePrefix="0" xfId="0"/>
    <xf numFmtId="165" fontId="0" fillId="0" borderId="9" pivotButton="0" quotePrefix="0" xfId="0"/>
    <xf numFmtId="165" fontId="0" fillId="0" borderId="0" applyAlignment="1" pivotButton="0" quotePrefix="0" xfId="1">
      <alignment horizontal="right"/>
    </xf>
    <xf numFmtId="165" fontId="0" fillId="0" borderId="4" applyAlignment="1" pivotButton="0" quotePrefix="0" xfId="1">
      <alignment horizontal="right"/>
    </xf>
    <xf numFmtId="165" fontId="0" fillId="0" borderId="11" applyAlignment="1" pivotButton="0" quotePrefix="0" xfId="1">
      <alignment horizontal="right"/>
    </xf>
    <xf numFmtId="165" fontId="0" fillId="3" borderId="0" pivotButton="0" quotePrefix="0" xfId="0"/>
    <xf numFmtId="165" fontId="0" fillId="0" borderId="0" pivotButton="0" quotePrefix="0" xfId="0"/>
    <xf numFmtId="165" fontId="10" fillId="0" borderId="9" pivotButton="0" quotePrefix="0" xfId="0"/>
    <xf numFmtId="165" fontId="10" fillId="0" borderId="0" applyAlignment="1" pivotButton="0" quotePrefix="0" xfId="1">
      <alignment horizontal="right"/>
    </xf>
    <xf numFmtId="165" fontId="10" fillId="0" borderId="4" applyAlignment="1" pivotButton="0" quotePrefix="0" xfId="1">
      <alignment horizontal="right"/>
    </xf>
    <xf numFmtId="165" fontId="10" fillId="0" borderId="11" applyAlignment="1" pivotButton="0" quotePrefix="0" xfId="1">
      <alignment horizontal="right"/>
    </xf>
    <xf numFmtId="165" fontId="10" fillId="3" borderId="0" pivotButton="0" quotePrefix="0" xfId="0"/>
    <xf numFmtId="165" fontId="0" fillId="0" borderId="0" applyAlignment="1" pivotButton="0" quotePrefix="0" xfId="1">
      <alignment horizontal="right"/>
    </xf>
    <xf numFmtId="9" fontId="0" fillId="0" borderId="0" applyAlignment="1" pivotButton="0" quotePrefix="0" xfId="1">
      <alignment horizontal="right"/>
    </xf>
    <xf numFmtId="9" fontId="0" fillId="0" borderId="4" applyAlignment="1" pivotButton="0" quotePrefix="0" xfId="1">
      <alignment horizontal="right"/>
    </xf>
    <xf numFmtId="164" fontId="0" fillId="0" borderId="0" applyAlignment="1" pivotButton="0" quotePrefix="0" xfId="2">
      <alignment horizontal="right"/>
    </xf>
    <xf numFmtId="9" fontId="0" fillId="0" borderId="11" applyAlignment="1" pivotButton="0" quotePrefix="0" xfId="1">
      <alignment horizontal="right"/>
    </xf>
    <xf numFmtId="164" fontId="0" fillId="0" borderId="4" applyAlignment="1" pivotButton="0" quotePrefix="0" xfId="2">
      <alignment horizontal="right"/>
    </xf>
    <xf numFmtId="166" fontId="6" fillId="0" borderId="0" applyAlignment="1" pivotButton="0" quotePrefix="0" xfId="2">
      <alignment horizontal="right"/>
    </xf>
    <xf numFmtId="166" fontId="6" fillId="0" borderId="4" applyAlignment="1" pivotButton="0" quotePrefix="0" xfId="2">
      <alignment horizontal="right"/>
    </xf>
    <xf numFmtId="166" fontId="6" fillId="0" borderId="11" applyAlignment="1" pivotButton="0" quotePrefix="0" xfId="1">
      <alignment horizontal="right"/>
    </xf>
    <xf numFmtId="165" fontId="0" fillId="0" borderId="4" applyAlignment="1" pivotButton="0" quotePrefix="0" xfId="1">
      <alignment horizontal="right"/>
    </xf>
    <xf numFmtId="165" fontId="0" fillId="0" borderId="11" applyAlignment="1" pivotButton="0" quotePrefix="0" xfId="1">
      <alignment horizontal="right"/>
    </xf>
    <xf numFmtId="0" fontId="0" fillId="0" borderId="19" pivotButton="0" quotePrefix="0" xfId="0"/>
    <xf numFmtId="9" fontId="0" fillId="0" borderId="20" applyAlignment="1" pivotButton="0" quotePrefix="0" xfId="1">
      <alignment horizontal="right"/>
    </xf>
    <xf numFmtId="165" fontId="0" fillId="0" borderId="20" applyAlignment="1" pivotButton="0" quotePrefix="0" xfId="1">
      <alignment horizontal="right"/>
    </xf>
    <xf numFmtId="164" fontId="0" fillId="0" borderId="0" applyAlignment="1" pivotButton="0" quotePrefix="0" xfId="2">
      <alignment horizontal="right"/>
    </xf>
    <xf numFmtId="9" fontId="0" fillId="0" borderId="0" applyAlignment="1" pivotButton="0" quotePrefix="0" xfId="1">
      <alignment horizontal="right"/>
    </xf>
    <xf numFmtId="0" fontId="0" fillId="0" borderId="0" pivotButton="0" quotePrefix="1" xfId="0"/>
    <xf numFmtId="0" fontId="0" fillId="0" borderId="0" applyAlignment="1" pivotButton="0" quotePrefix="0" xfId="0">
      <alignment horizontal="left"/>
    </xf>
    <xf numFmtId="3" fontId="7" fillId="6" borderId="0" applyAlignment="1" pivotButton="0" quotePrefix="0" xfId="2">
      <alignment vertical="center"/>
    </xf>
    <xf numFmtId="164" fontId="7" fillId="6" borderId="0" applyAlignment="1" pivotButton="0" quotePrefix="0" xfId="2">
      <alignment vertical="center"/>
    </xf>
    <xf numFmtId="164" fontId="5" fillId="0" borderId="15" applyAlignment="1" pivotButton="0" quotePrefix="0" xfId="2">
      <alignment vertical="center"/>
    </xf>
    <xf numFmtId="9" fontId="7" fillId="6" borderId="0" applyAlignment="1" pivotButton="0" quotePrefix="0" xfId="2">
      <alignment horizontal="right" vertical="center"/>
    </xf>
    <xf numFmtId="9" fontId="5" fillId="0" borderId="15" applyAlignment="1" pivotButton="0" quotePrefix="0" xfId="2">
      <alignment horizontal="right" vertical="center"/>
    </xf>
    <xf numFmtId="0" fontId="5" fillId="0" borderId="0" applyAlignment="1" pivotButton="0" quotePrefix="0" xfId="3">
      <alignment vertical="center"/>
    </xf>
    <xf numFmtId="0" fontId="7" fillId="0" borderId="0" applyAlignment="1" pivotButton="0" quotePrefix="0" xfId="3">
      <alignment vertical="center"/>
    </xf>
    <xf numFmtId="0" fontId="7" fillId="0" borderId="0" applyAlignment="1" pivotButton="0" quotePrefix="0" xfId="3">
      <alignment wrapText="1"/>
    </xf>
    <xf numFmtId="0" fontId="7" fillId="0" borderId="0" pivotButton="0" quotePrefix="0" xfId="3"/>
    <xf numFmtId="0" fontId="4" fillId="5" borderId="18" applyAlignment="1" pivotButton="0" quotePrefix="0" xfId="3">
      <alignment vertical="center" wrapText="1"/>
    </xf>
    <xf numFmtId="167" fontId="4" fillId="5" borderId="15" applyAlignment="1" pivotButton="0" quotePrefix="0" xfId="3">
      <alignment horizontal="right" vertical="center" wrapText="1"/>
    </xf>
    <xf numFmtId="0" fontId="4" fillId="5" borderId="16" applyAlignment="1" pivotButton="0" quotePrefix="0" xfId="3">
      <alignment horizontal="right" vertical="center" wrapText="1"/>
    </xf>
    <xf numFmtId="0" fontId="4" fillId="5" borderId="18" applyAlignment="1" pivotButton="0" quotePrefix="0" xfId="3">
      <alignment horizontal="right" vertical="center" wrapText="1"/>
    </xf>
    <xf numFmtId="0" fontId="7" fillId="6" borderId="11" applyAlignment="1" pivotButton="0" quotePrefix="0" xfId="3">
      <alignment vertical="center"/>
    </xf>
    <xf numFmtId="3" fontId="7" fillId="6" borderId="10" applyAlignment="1" pivotButton="0" quotePrefix="0" xfId="2">
      <alignment vertical="center"/>
    </xf>
    <xf numFmtId="9" fontId="7" fillId="6" borderId="10" applyAlignment="1" pivotButton="0" quotePrefix="0" xfId="3">
      <alignment vertical="center"/>
    </xf>
    <xf numFmtId="165" fontId="7" fillId="6" borderId="11" applyAlignment="1" pivotButton="0" quotePrefix="0" xfId="4">
      <alignment vertical="center"/>
    </xf>
    <xf numFmtId="0" fontId="7" fillId="0" borderId="11" pivotButton="0" quotePrefix="0" xfId="3"/>
    <xf numFmtId="3" fontId="7" fillId="0" borderId="0" pivotButton="0" quotePrefix="0" xfId="3"/>
    <xf numFmtId="3" fontId="7" fillId="0" borderId="10" pivotButton="0" quotePrefix="0" xfId="3"/>
    <xf numFmtId="9" fontId="7" fillId="0" borderId="10" pivotButton="0" quotePrefix="0" xfId="3"/>
    <xf numFmtId="165" fontId="7" fillId="0" borderId="11" pivotButton="0" quotePrefix="0" xfId="3"/>
    <xf numFmtId="0" fontId="5" fillId="0" borderId="18" pivotButton="0" quotePrefix="0" xfId="3"/>
    <xf numFmtId="3" fontId="5" fillId="0" borderId="15" pivotButton="0" quotePrefix="0" xfId="3"/>
    <xf numFmtId="3" fontId="5" fillId="0" borderId="16" pivotButton="0" quotePrefix="0" xfId="3"/>
    <xf numFmtId="9" fontId="5" fillId="0" borderId="16" pivotButton="0" quotePrefix="0" xfId="3"/>
    <xf numFmtId="165" fontId="5" fillId="0" borderId="18" pivotButton="0" quotePrefix="0" xfId="3"/>
    <xf numFmtId="9" fontId="7" fillId="6" borderId="11" applyAlignment="1" pivotButton="0" quotePrefix="0" xfId="3">
      <alignment vertical="center"/>
    </xf>
    <xf numFmtId="9" fontId="7" fillId="0" borderId="11" pivotButton="0" quotePrefix="0" xfId="3"/>
    <xf numFmtId="9" fontId="5" fillId="0" borderId="18" pivotButton="0" quotePrefix="0" xfId="3"/>
    <xf numFmtId="0" fontId="7" fillId="0" borderId="11" applyAlignment="1" pivotButton="0" quotePrefix="0" xfId="3">
      <alignment vertical="center"/>
    </xf>
    <xf numFmtId="164" fontId="7" fillId="0" borderId="0" applyAlignment="1" pivotButton="0" quotePrefix="0" xfId="2">
      <alignment vertical="center"/>
    </xf>
    <xf numFmtId="164" fontId="11" fillId="0" borderId="0" applyAlignment="1" pivotButton="0" quotePrefix="0" xfId="2">
      <alignment vertical="center"/>
    </xf>
    <xf numFmtId="165" fontId="7" fillId="0" borderId="11" applyAlignment="1" pivotButton="0" quotePrefix="0" xfId="3">
      <alignment vertical="center"/>
    </xf>
    <xf numFmtId="165" fontId="7" fillId="0" borderId="11" applyAlignment="1" pivotButton="0" quotePrefix="0" xfId="4">
      <alignment vertical="center"/>
    </xf>
    <xf numFmtId="164" fontId="7" fillId="0" borderId="0" applyAlignment="1" pivotButton="0" quotePrefix="0" xfId="2">
      <alignment vertical="center"/>
    </xf>
    <xf numFmtId="164" fontId="12" fillId="7" borderId="0" applyAlignment="1" pivotButton="0" quotePrefix="0" xfId="2">
      <alignment vertical="center"/>
    </xf>
    <xf numFmtId="165" fontId="7" fillId="6" borderId="11" applyAlignment="1" pivotButton="0" quotePrefix="0" xfId="3">
      <alignment vertical="center"/>
    </xf>
    <xf numFmtId="165" fontId="7" fillId="0" borderId="11" applyAlignment="1" pivotButton="0" quotePrefix="0" xfId="4">
      <alignment vertical="center"/>
    </xf>
    <xf numFmtId="165" fontId="7" fillId="0" borderId="11" applyAlignment="1" pivotButton="0" quotePrefix="0" xfId="4">
      <alignment horizontal="right" vertical="center"/>
    </xf>
    <xf numFmtId="0" fontId="5" fillId="0" borderId="18" applyAlignment="1" pivotButton="0" quotePrefix="0" xfId="3">
      <alignment vertical="center"/>
    </xf>
    <xf numFmtId="165" fontId="5" fillId="0" borderId="18" applyAlignment="1" pivotButton="0" quotePrefix="0" xfId="3">
      <alignment vertical="center"/>
    </xf>
    <xf numFmtId="165" fontId="5" fillId="0" borderId="18" applyAlignment="1" pivotButton="0" quotePrefix="0" xfId="4">
      <alignment vertical="center"/>
    </xf>
    <xf numFmtId="9" fontId="7" fillId="0" borderId="0" applyAlignment="1" pivotButton="0" quotePrefix="0" xfId="3">
      <alignment wrapText="1"/>
    </xf>
    <xf numFmtId="9" fontId="7" fillId="0" borderId="0" applyAlignment="1" pivotButton="0" quotePrefix="0" xfId="2">
      <alignment horizontal="right" vertical="center"/>
    </xf>
    <xf numFmtId="9" fontId="11" fillId="0" borderId="0" applyAlignment="1" pivotButton="0" quotePrefix="0" xfId="2">
      <alignment horizontal="right" vertical="center"/>
    </xf>
    <xf numFmtId="165" fontId="0" fillId="0" borderId="11" applyAlignment="1" pivotButton="0" quotePrefix="0" xfId="4">
      <alignment vertical="center"/>
    </xf>
    <xf numFmtId="9" fontId="7" fillId="0" borderId="0" applyAlignment="1" pivotButton="0" quotePrefix="0" xfId="2">
      <alignment horizontal="right" vertical="center"/>
    </xf>
    <xf numFmtId="9" fontId="12" fillId="7" borderId="0" applyAlignment="1" pivotButton="0" quotePrefix="0" xfId="2">
      <alignment horizontal="right" vertical="center"/>
    </xf>
    <xf numFmtId="0" fontId="4" fillId="5" borderId="0" applyAlignment="1" pivotButton="0" quotePrefix="0" xfId="3">
      <alignment horizontal="left" vertical="center"/>
    </xf>
    <xf numFmtId="0" fontId="3" fillId="0" borderId="0" pivotButton="0" quotePrefix="0" xfId="3"/>
    <xf numFmtId="164" fontId="11" fillId="6" borderId="0" applyAlignment="1" pivotButton="0" quotePrefix="0" xfId="2">
      <alignment vertical="center"/>
    </xf>
    <xf numFmtId="0" fontId="13" fillId="0" borderId="0" applyAlignment="1" pivotButton="0" quotePrefix="0" xfId="0">
      <alignment wrapText="1"/>
    </xf>
    <xf numFmtId="0" fontId="13" fillId="0" borderId="0" applyAlignment="1" pivotButton="0" quotePrefix="0" xfId="0">
      <alignment horizontal="right" wrapText="1"/>
    </xf>
    <xf numFmtId="14" fontId="13" fillId="0" borderId="0" applyAlignment="1" pivotButton="0" quotePrefix="0" xfId="0">
      <alignment wrapText="1"/>
    </xf>
    <xf numFmtId="0" fontId="13" fillId="0" borderId="0" pivotButton="0" quotePrefix="0" xfId="0"/>
    <xf numFmtId="0" fontId="14" fillId="0" borderId="0" applyAlignment="1" pivotButton="0" quotePrefix="0" xfId="0">
      <alignment wrapText="1"/>
    </xf>
    <xf numFmtId="3" fontId="0" fillId="0" borderId="4" applyAlignment="1" pivotButton="0" quotePrefix="0" xfId="0">
      <alignment horizontal="right" wrapText="1"/>
    </xf>
    <xf numFmtId="3" fontId="0" fillId="0" borderId="10" applyAlignment="1" pivotButton="0" quotePrefix="0" xfId="0">
      <alignment horizontal="right" wrapText="1"/>
    </xf>
    <xf numFmtId="3" fontId="0" fillId="0" borderId="0" applyAlignment="1" pivotButton="0" quotePrefix="0" xfId="0">
      <alignment horizontal="right" wrapText="1"/>
    </xf>
    <xf numFmtId="166" fontId="0" fillId="0" borderId="11" applyAlignment="1" pivotButton="0" quotePrefix="0" xfId="0">
      <alignment horizontal="right" wrapText="1"/>
    </xf>
    <xf numFmtId="166" fontId="0" fillId="0" borderId="4" applyAlignment="1" pivotButton="0" quotePrefix="0" xfId="0">
      <alignment wrapText="1"/>
    </xf>
    <xf numFmtId="3" fontId="0" fillId="0" borderId="5" applyAlignment="1" pivotButton="0" quotePrefix="0" xfId="0">
      <alignment horizontal="right" wrapText="1"/>
    </xf>
    <xf numFmtId="3" fontId="0" fillId="0" borderId="3" applyAlignment="1" pivotButton="0" quotePrefix="0" xfId="0">
      <alignment horizontal="right" wrapText="1"/>
    </xf>
    <xf numFmtId="3" fontId="0" fillId="0" borderId="6" applyAlignment="1" pivotButton="0" quotePrefix="0" xfId="0">
      <alignment horizontal="right" wrapText="1"/>
    </xf>
    <xf numFmtId="166" fontId="0" fillId="0" borderId="2" applyAlignment="1" pivotButton="0" quotePrefix="0" xfId="0">
      <alignment horizontal="right" wrapText="1"/>
    </xf>
    <xf numFmtId="166" fontId="0" fillId="0" borderId="5" applyAlignment="1" pivotButton="0" quotePrefix="0" xfId="0">
      <alignment wrapText="1"/>
    </xf>
    <xf numFmtId="9" fontId="7" fillId="0" borderId="0" pivotButton="0" quotePrefix="0" xfId="3"/>
    <xf numFmtId="168" fontId="7" fillId="0" borderId="0" pivotButton="0" quotePrefix="0" xfId="3"/>
    <xf numFmtId="9" fontId="7" fillId="6" borderId="10" applyAlignment="1" pivotButton="0" quotePrefix="0" xfId="2">
      <alignment vertical="center"/>
    </xf>
    <xf numFmtId="165" fontId="11" fillId="0" borderId="21" applyAlignment="1" pivotButton="0" quotePrefix="0" xfId="2">
      <alignment vertical="center"/>
    </xf>
    <xf numFmtId="165" fontId="11" fillId="0" borderId="11" applyAlignment="1" pivotButton="0" quotePrefix="0" xfId="2">
      <alignment vertical="center"/>
    </xf>
    <xf numFmtId="165" fontId="11" fillId="6" borderId="11" applyAlignment="1" pivotButton="0" quotePrefix="0" xfId="2">
      <alignment vertical="center"/>
    </xf>
    <xf numFmtId="165" fontId="5" fillId="0" borderId="18" applyAlignment="1" pivotButton="0" quotePrefix="0" xfId="2">
      <alignment vertical="center"/>
    </xf>
    <xf numFmtId="165" fontId="12" fillId="7" borderId="11" applyAlignment="1" pivotButton="0" quotePrefix="0" xfId="2">
      <alignment vertical="center"/>
    </xf>
    <xf numFmtId="9" fontId="7" fillId="6" borderId="11" applyAlignment="1" pivotButton="0" quotePrefix="0" xfId="2">
      <alignment vertical="center"/>
    </xf>
    <xf numFmtId="0" fontId="16" fillId="12" borderId="18" applyAlignment="1" pivotButton="0" quotePrefix="0" xfId="0">
      <alignment wrapText="1"/>
    </xf>
    <xf numFmtId="0" fontId="16" fillId="12" borderId="18" applyAlignment="1" pivotButton="0" quotePrefix="0" xfId="0">
      <alignment horizontal="center" wrapText="1"/>
    </xf>
    <xf numFmtId="0" fontId="17" fillId="0" borderId="0" pivotButton="0" quotePrefix="0" xfId="0"/>
    <xf numFmtId="0" fontId="18" fillId="0" borderId="18" applyAlignment="1" pivotButton="0" quotePrefix="0" xfId="0">
      <alignment vertical="center" wrapText="1"/>
    </xf>
    <xf numFmtId="0" fontId="17" fillId="0" borderId="18" applyAlignment="1" pivotButton="0" quotePrefix="1" xfId="0">
      <alignment wrapText="1"/>
    </xf>
    <xf numFmtId="0" fontId="17" fillId="0" borderId="18" applyAlignment="1" pivotButton="0" quotePrefix="0" xfId="0">
      <alignment wrapText="1"/>
    </xf>
    <xf numFmtId="0" fontId="19" fillId="0" borderId="18" applyAlignment="1" pivotButton="0" quotePrefix="0" xfId="0">
      <alignment horizontal="left" vertical="center" wrapText="1"/>
    </xf>
    <xf numFmtId="0" fontId="19" fillId="0" borderId="18" applyAlignment="1" pivotButton="0" quotePrefix="0" xfId="0">
      <alignment horizontal="left" vertical="top" wrapText="1"/>
    </xf>
    <xf numFmtId="0" fontId="18" fillId="0" borderId="0" applyAlignment="1" pivotButton="0" quotePrefix="0" xfId="0">
      <alignment vertical="center" wrapText="1"/>
    </xf>
    <xf numFmtId="0" fontId="19" fillId="0" borderId="0" applyAlignment="1" pivotButton="0" quotePrefix="0" xfId="0">
      <alignment horizontal="left" vertical="center" wrapText="1"/>
    </xf>
    <xf numFmtId="0" fontId="20" fillId="0" borderId="0" pivotButton="0" quotePrefix="0" xfId="0"/>
    <xf numFmtId="0" fontId="20" fillId="0" borderId="0" applyAlignment="1" pivotButton="0" quotePrefix="0" xfId="0">
      <alignment wrapText="1"/>
    </xf>
    <xf numFmtId="0" fontId="17" fillId="0" borderId="0" applyAlignment="1" pivotButton="0" quotePrefix="0" xfId="0">
      <alignment wrapText="1"/>
    </xf>
    <xf numFmtId="0" fontId="4" fillId="5" borderId="18" applyAlignment="1" pivotButton="0" quotePrefix="0" xfId="0">
      <alignment horizontal="center" vertical="center"/>
    </xf>
    <xf numFmtId="0" fontId="4" fillId="5" borderId="18" applyAlignment="1" pivotButton="0" quotePrefix="0" xfId="0">
      <alignment horizontal="left" vertical="center"/>
    </xf>
    <xf numFmtId="0" fontId="0" fillId="0" borderId="0" applyAlignment="1" pivotButton="0" quotePrefix="0" xfId="0">
      <alignment vertical="center"/>
    </xf>
    <xf numFmtId="0" fontId="4" fillId="0" borderId="0" applyAlignment="1" pivotButton="0" quotePrefix="0" xfId="0">
      <alignment horizontal="center"/>
    </xf>
    <xf numFmtId="15" fontId="0" fillId="0" borderId="0" applyAlignment="1" pivotButton="0" quotePrefix="0" xfId="0">
      <alignment horizontal="center"/>
    </xf>
    <xf numFmtId="164" fontId="0" fillId="0" borderId="0" applyAlignment="1" pivotButton="0" quotePrefix="0" xfId="2">
      <alignment horizontal="center"/>
    </xf>
    <xf numFmtId="9" fontId="0" fillId="0" borderId="0" applyAlignment="1" pivotButton="0" quotePrefix="0" xfId="1">
      <alignment horizontal="center"/>
    </xf>
    <xf numFmtId="0" fontId="0" fillId="0" borderId="18" applyAlignment="1" pivotButton="0" quotePrefix="0" xfId="0">
      <alignment horizontal="left"/>
    </xf>
    <xf numFmtId="15" fontId="0" fillId="0" borderId="18" applyAlignment="1" pivotButton="0" quotePrefix="0" xfId="0">
      <alignment horizontal="center"/>
    </xf>
    <xf numFmtId="15" fontId="21" fillId="9" borderId="18" applyAlignment="1" pivotButton="0" quotePrefix="0" xfId="6">
      <alignment horizontal="center"/>
    </xf>
    <xf numFmtId="164" fontId="0" fillId="0" borderId="18" applyAlignment="1" pivotButton="0" quotePrefix="0" xfId="2">
      <alignment horizontal="center"/>
    </xf>
    <xf numFmtId="9" fontId="21" fillId="9" borderId="18" applyAlignment="1" pivotButton="0" quotePrefix="0" xfId="6">
      <alignment horizontal="center"/>
    </xf>
    <xf numFmtId="15" fontId="22" fillId="11" borderId="18" applyAlignment="1" pivotButton="0" quotePrefix="0" xfId="7">
      <alignment horizontal="center"/>
    </xf>
    <xf numFmtId="164" fontId="0" fillId="0" borderId="18" applyAlignment="1" pivotButton="0" quotePrefix="0" xfId="2">
      <alignment horizontal="right"/>
    </xf>
    <xf numFmtId="15" fontId="23" fillId="10" borderId="18" applyAlignment="1" pivotButton="0" quotePrefix="0" xfId="8">
      <alignment horizontal="center"/>
    </xf>
    <xf numFmtId="0" fontId="5" fillId="3" borderId="18" applyAlignment="1" pivotButton="0" quotePrefix="0" xfId="0">
      <alignment horizontal="left"/>
    </xf>
    <xf numFmtId="15" fontId="5" fillId="3" borderId="18" applyAlignment="1" pivotButton="0" quotePrefix="0" xfId="0">
      <alignment horizontal="center"/>
    </xf>
    <xf numFmtId="164" fontId="5" fillId="3" borderId="18" applyAlignment="1" pivotButton="0" quotePrefix="0" xfId="2">
      <alignment horizontal="center"/>
    </xf>
    <xf numFmtId="9" fontId="5" fillId="3" borderId="18" applyAlignment="1" pivotButton="0" quotePrefix="0" xfId="1">
      <alignment horizontal="center"/>
    </xf>
    <xf numFmtId="9" fontId="23" fillId="10" borderId="18" applyAlignment="1" pivotButton="0" quotePrefix="0" xfId="8">
      <alignment horizontal="center"/>
    </xf>
    <xf numFmtId="164" fontId="0" fillId="0" borderId="18" applyAlignment="1" pivotButton="0" quotePrefix="0" xfId="2">
      <alignment horizontal="center" vertical="center"/>
    </xf>
    <xf numFmtId="0" fontId="15" fillId="0" borderId="0" applyAlignment="1" pivotButton="0" quotePrefix="0" xfId="0">
      <alignment horizontal="center"/>
    </xf>
    <xf numFmtId="164" fontId="7" fillId="0" borderId="0" pivotButton="0" quotePrefix="0" xfId="2"/>
    <xf numFmtId="0" fontId="0" fillId="0" borderId="18" applyAlignment="1" pivotButton="0" quotePrefix="0" xfId="0">
      <alignment horizontal="left" vertical="center"/>
    </xf>
    <xf numFmtId="0" fontId="4" fillId="12" borderId="18" applyAlignment="1" pivotButton="0" quotePrefix="0" xfId="0">
      <alignment horizontal="center"/>
    </xf>
    <xf numFmtId="0" fontId="4" fillId="12" borderId="18" applyAlignment="1" pivotButton="0" quotePrefix="0" xfId="0">
      <alignment horizontal="center" wrapText="1"/>
    </xf>
    <xf numFmtId="0" fontId="0" fillId="0" borderId="18" applyAlignment="1" pivotButton="0" quotePrefix="0" xfId="0">
      <alignment horizontal="center" vertical="center"/>
    </xf>
    <xf numFmtId="17" fontId="0" fillId="0" borderId="18" applyAlignment="1" pivotButton="0" quotePrefix="0" xfId="0">
      <alignment horizontal="center" vertical="center"/>
    </xf>
    <xf numFmtId="0" fontId="0" fillId="0" borderId="18" applyAlignment="1" pivotButton="0" quotePrefix="0" xfId="0">
      <alignment vertical="center" wrapText="1"/>
    </xf>
    <xf numFmtId="0" fontId="25" fillId="0" borderId="18" applyAlignment="1" pivotButton="0" quotePrefix="0" xfId="9">
      <alignment vertical="center" wrapText="1"/>
    </xf>
    <xf numFmtId="0" fontId="0" fillId="0" borderId="18" applyAlignment="1" pivotButton="0" quotePrefix="0" xfId="0">
      <alignment horizontal="center" vertical="center" wrapText="1"/>
    </xf>
    <xf numFmtId="15" fontId="0" fillId="0" borderId="18" applyAlignment="1" pivotButton="0" quotePrefix="0" xfId="0">
      <alignment vertical="center" wrapText="1"/>
    </xf>
    <xf numFmtId="0" fontId="0" fillId="0" borderId="0" applyAlignment="1" pivotButton="0" quotePrefix="0" xfId="0">
      <alignment vertical="center" wrapText="1"/>
    </xf>
    <xf numFmtId="166" fontId="0" fillId="0" borderId="6" applyAlignment="1" pivotButton="0" quotePrefix="0" xfId="0">
      <alignment wrapText="1"/>
    </xf>
    <xf numFmtId="0" fontId="0" fillId="0" borderId="4" pivotButton="0" quotePrefix="0" xfId="0"/>
    <xf numFmtId="0" fontId="0" fillId="0" borderId="5" pivotButton="0" quotePrefix="0" xfId="0"/>
    <xf numFmtId="0" fontId="2" fillId="0" borderId="0" pivotButton="0" quotePrefix="0" xfId="11"/>
    <xf numFmtId="15" fontId="2" fillId="0" borderId="4" pivotButton="0" quotePrefix="0" xfId="11"/>
    <xf numFmtId="3" fontId="2" fillId="0" borderId="0" pivotButton="0" quotePrefix="0" xfId="11"/>
    <xf numFmtId="9" fontId="2" fillId="0" borderId="10" pivotButton="0" quotePrefix="0" xfId="11"/>
    <xf numFmtId="15" fontId="2" fillId="0" borderId="5" pivotButton="0" quotePrefix="0" xfId="11"/>
    <xf numFmtId="3" fontId="2" fillId="0" borderId="6" pivotButton="0" quotePrefix="0" xfId="11"/>
    <xf numFmtId="9" fontId="2" fillId="0" borderId="3" pivotButton="0" quotePrefix="0" xfId="11"/>
    <xf numFmtId="0" fontId="31" fillId="8" borderId="17" applyAlignment="1" pivotButton="0" quotePrefix="0" xfId="11">
      <alignment horizontal="center" wrapText="1"/>
    </xf>
    <xf numFmtId="0" fontId="31" fillId="8" borderId="15" applyAlignment="1" pivotButton="0" quotePrefix="0" xfId="11">
      <alignment horizontal="center" wrapText="1"/>
    </xf>
    <xf numFmtId="0" fontId="31" fillId="8" borderId="16" applyAlignment="1" pivotButton="0" quotePrefix="0" xfId="11">
      <alignment horizontal="center" wrapText="1"/>
    </xf>
    <xf numFmtId="0" fontId="32" fillId="6" borderId="17" pivotButton="0" quotePrefix="0" xfId="11"/>
    <xf numFmtId="3" fontId="32" fillId="6" borderId="15" pivotButton="0" quotePrefix="0" xfId="11"/>
    <xf numFmtId="9" fontId="32" fillId="6" borderId="16" pivotButton="0" quotePrefix="0" xfId="11"/>
    <xf numFmtId="0" fontId="30" fillId="13" borderId="22" applyAlignment="1" pivotButton="0" quotePrefix="0" xfId="0">
      <alignment horizontal="right"/>
    </xf>
    <xf numFmtId="4" fontId="27" fillId="15" borderId="23" applyAlignment="1" pivotButton="0" quotePrefix="0" xfId="0">
      <alignment horizontal="right"/>
    </xf>
    <xf numFmtId="9" fontId="29" fillId="0" borderId="23" applyAlignment="1" pivotButton="0" quotePrefix="0" xfId="0">
      <alignment horizontal="right"/>
    </xf>
    <xf numFmtId="9" fontId="28" fillId="0" borderId="23" applyAlignment="1" pivotButton="0" quotePrefix="0" xfId="0">
      <alignment horizontal="right"/>
    </xf>
    <xf numFmtId="3" fontId="29" fillId="0" borderId="23" applyAlignment="1" pivotButton="0" quotePrefix="0" xfId="1">
      <alignment horizontal="right"/>
    </xf>
    <xf numFmtId="9" fontId="29" fillId="0" borderId="23" applyAlignment="1" pivotButton="0" quotePrefix="0" xfId="1">
      <alignment horizontal="right"/>
    </xf>
    <xf numFmtId="9" fontId="28" fillId="0" borderId="0" applyAlignment="1" pivotButton="0" quotePrefix="0" xfId="0">
      <alignment horizontal="right"/>
    </xf>
    <xf numFmtId="3" fontId="0" fillId="0" borderId="0" pivotButton="0" quotePrefix="0" xfId="0"/>
    <xf numFmtId="3" fontId="28" fillId="0" borderId="23" applyAlignment="1" pivotButton="0" quotePrefix="0" xfId="1">
      <alignment horizontal="right"/>
    </xf>
    <xf numFmtId="0" fontId="29" fillId="0" borderId="0" pivotButton="0" quotePrefix="0" xfId="0"/>
    <xf numFmtId="9" fontId="28" fillId="0" borderId="23" applyAlignment="1" pivotButton="0" quotePrefix="0" xfId="1">
      <alignment horizontal="right"/>
    </xf>
    <xf numFmtId="0" fontId="26" fillId="0" borderId="13" applyAlignment="1" pivotButton="0" quotePrefix="0" xfId="0">
      <alignment horizontal="right"/>
    </xf>
    <xf numFmtId="0" fontId="26" fillId="0" borderId="12" applyAlignment="1" pivotButton="0" quotePrefix="0" xfId="0">
      <alignment horizontal="right"/>
    </xf>
    <xf numFmtId="0" fontId="30" fillId="13" borderId="24" applyAlignment="1" pivotButton="0" quotePrefix="0" xfId="0">
      <alignment horizontal="right"/>
    </xf>
    <xf numFmtId="4" fontId="27" fillId="15" borderId="25" applyAlignment="1" pivotButton="0" quotePrefix="0" xfId="0">
      <alignment horizontal="right"/>
    </xf>
    <xf numFmtId="9" fontId="29" fillId="0" borderId="25" applyAlignment="1" pivotButton="0" quotePrefix="0" xfId="0">
      <alignment horizontal="right"/>
    </xf>
    <xf numFmtId="9" fontId="28" fillId="0" borderId="25" applyAlignment="1" pivotButton="0" quotePrefix="0" xfId="0">
      <alignment horizontal="right"/>
    </xf>
    <xf numFmtId="9" fontId="28" fillId="0" borderId="4" applyAlignment="1" pivotButton="0" quotePrefix="0" xfId="0">
      <alignment horizontal="right"/>
    </xf>
    <xf numFmtId="3" fontId="29" fillId="0" borderId="25" applyAlignment="1" pivotButton="0" quotePrefix="0" xfId="1">
      <alignment horizontal="right"/>
    </xf>
    <xf numFmtId="3" fontId="28" fillId="0" borderId="25" applyAlignment="1" pivotButton="0" quotePrefix="0" xfId="1">
      <alignment horizontal="right"/>
    </xf>
    <xf numFmtId="9" fontId="29" fillId="0" borderId="25" applyAlignment="1" pivotButton="0" quotePrefix="0" xfId="1">
      <alignment horizontal="right"/>
    </xf>
    <xf numFmtId="9" fontId="28" fillId="0" borderId="25" applyAlignment="1" pivotButton="0" quotePrefix="0" xfId="1">
      <alignment horizontal="right"/>
    </xf>
    <xf numFmtId="3" fontId="0" fillId="0" borderId="10" pivotButton="0" quotePrefix="0" xfId="0"/>
    <xf numFmtId="165" fontId="28" fillId="0" borderId="25" applyAlignment="1" pivotButton="0" quotePrefix="0" xfId="1">
      <alignment horizontal="right"/>
    </xf>
    <xf numFmtId="0" fontId="30" fillId="14" borderId="4" applyAlignment="1" pivotButton="0" quotePrefix="0" xfId="0">
      <alignment horizontal="right"/>
    </xf>
    <xf numFmtId="0" fontId="30" fillId="14" borderId="0" applyAlignment="1" pivotButton="0" quotePrefix="0" xfId="0">
      <alignment horizontal="right"/>
    </xf>
    <xf numFmtId="0" fontId="0" fillId="0" borderId="21" pivotButton="0" quotePrefix="0" xfId="0"/>
    <xf numFmtId="0" fontId="0" fillId="0" borderId="11" pivotButton="0" quotePrefix="0" xfId="0"/>
    <xf numFmtId="4" fontId="27" fillId="15" borderId="26" pivotButton="0" quotePrefix="0" xfId="0"/>
    <xf numFmtId="0" fontId="29" fillId="0" borderId="26" pivotButton="0" quotePrefix="0" xfId="0"/>
    <xf numFmtId="0" fontId="28" fillId="0" borderId="26" pivotButton="0" quotePrefix="0" xfId="0"/>
    <xf numFmtId="0" fontId="28" fillId="0" borderId="11" pivotButton="0" quotePrefix="0" xfId="0"/>
    <xf numFmtId="0" fontId="30" fillId="16" borderId="24" applyAlignment="1" pivotButton="0" quotePrefix="0" xfId="0">
      <alignment horizontal="right"/>
    </xf>
    <xf numFmtId="0" fontId="30" fillId="16" borderId="22" applyAlignment="1" pivotButton="0" quotePrefix="0" xfId="0">
      <alignment horizontal="right"/>
    </xf>
    <xf numFmtId="0" fontId="4" fillId="8" borderId="12" applyAlignment="1" pivotButton="0" quotePrefix="0" xfId="0">
      <alignment horizontal="right"/>
    </xf>
    <xf numFmtId="0" fontId="4" fillId="8" borderId="1" applyAlignment="1" pivotButton="0" quotePrefix="0" xfId="0">
      <alignment horizontal="right"/>
    </xf>
    <xf numFmtId="0" fontId="4" fillId="8" borderId="21" pivotButton="0" quotePrefix="0" xfId="0"/>
    <xf numFmtId="0" fontId="0" fillId="6" borderId="11" pivotButton="0" quotePrefix="0" xfId="0"/>
    <xf numFmtId="3" fontId="0" fillId="6" borderId="10" pivotButton="0" quotePrefix="0" xfId="0"/>
    <xf numFmtId="0" fontId="5" fillId="4" borderId="2" pivotButton="0" quotePrefix="0" xfId="0"/>
    <xf numFmtId="3" fontId="5" fillId="4" borderId="3" pivotButton="0" quotePrefix="0" xfId="0"/>
    <xf numFmtId="0" fontId="1" fillId="0" borderId="0" pivotButton="0" quotePrefix="0" xfId="0"/>
    <xf numFmtId="3" fontId="1" fillId="0" borderId="0" pivotButton="0" quotePrefix="0" xfId="0"/>
    <xf numFmtId="0" fontId="33" fillId="0" borderId="0" pivotButton="0" quotePrefix="0" xfId="0"/>
    <xf numFmtId="4" fontId="29" fillId="0" borderId="0" pivotButton="0" quotePrefix="0" xfId="0"/>
    <xf numFmtId="4" fontId="2" fillId="0" borderId="0" pivotButton="0" quotePrefix="0" xfId="11"/>
    <xf numFmtId="4" fontId="2" fillId="0" borderId="6" pivotButton="0" quotePrefix="0" xfId="11"/>
    <xf numFmtId="4" fontId="32" fillId="6" borderId="15" pivotButton="0" quotePrefix="0" xfId="11"/>
    <xf numFmtId="17" fontId="0" fillId="0" borderId="0" pivotButton="0" quotePrefix="0" xfId="0"/>
    <xf numFmtId="0" fontId="29" fillId="0" borderId="27" pivotButton="0" quotePrefix="0" xfId="0"/>
    <xf numFmtId="9" fontId="29" fillId="0" borderId="28" applyAlignment="1" pivotButton="0" quotePrefix="0" xfId="1">
      <alignment horizontal="right"/>
    </xf>
    <xf numFmtId="9" fontId="29" fillId="0" borderId="29" applyAlignment="1" pivotButton="0" quotePrefix="0" xfId="1">
      <alignment horizontal="right"/>
    </xf>
    <xf numFmtId="3" fontId="29" fillId="0" borderId="28" applyAlignment="1" pivotButton="0" quotePrefix="0" xfId="1">
      <alignment horizontal="right"/>
    </xf>
    <xf numFmtId="3" fontId="29" fillId="0" borderId="29" applyAlignment="1" pivotButton="0" quotePrefix="0" xfId="1">
      <alignment horizontal="right"/>
    </xf>
    <xf numFmtId="3" fontId="5" fillId="0" borderId="18" pivotButton="0" quotePrefix="0" xfId="0"/>
    <xf numFmtId="0" fontId="32" fillId="0" borderId="18" pivotButton="0" quotePrefix="0" xfId="11"/>
    <xf numFmtId="3" fontId="5" fillId="4" borderId="0" pivotButton="0" quotePrefix="0" xfId="0"/>
    <xf numFmtId="9" fontId="5" fillId="4" borderId="0" applyAlignment="1" pivotButton="0" quotePrefix="0" xfId="0">
      <alignment horizontal="right"/>
    </xf>
    <xf numFmtId="9" fontId="5" fillId="4" borderId="10" applyAlignment="1" pivotButton="0" quotePrefix="0" xfId="0">
      <alignment horizontal="right"/>
    </xf>
    <xf numFmtId="9" fontId="0" fillId="0" borderId="0" applyAlignment="1" pivotButton="0" quotePrefix="0" xfId="0">
      <alignment horizontal="right"/>
    </xf>
    <xf numFmtId="9" fontId="0" fillId="0" borderId="10" applyAlignment="1" pivotButton="0" quotePrefix="0" xfId="0">
      <alignment horizontal="right"/>
    </xf>
    <xf numFmtId="3" fontId="0" fillId="6" borderId="0" pivotButton="0" quotePrefix="0" xfId="0"/>
    <xf numFmtId="9" fontId="0" fillId="6" borderId="0" applyAlignment="1" pivotButton="0" quotePrefix="0" xfId="0">
      <alignment horizontal="right"/>
    </xf>
    <xf numFmtId="9" fontId="0" fillId="6" borderId="10" applyAlignment="1" pivotButton="0" quotePrefix="0" xfId="0">
      <alignment horizontal="right"/>
    </xf>
    <xf numFmtId="0" fontId="5" fillId="4" borderId="4" applyAlignment="1" pivotButton="0" quotePrefix="0" xfId="3">
      <alignment vertical="center"/>
    </xf>
    <xf numFmtId="0" fontId="7" fillId="0" borderId="4" applyAlignment="1" pivotButton="0" quotePrefix="0" xfId="3">
      <alignment vertical="center"/>
    </xf>
    <xf numFmtId="0" fontId="7" fillId="6" borderId="4" applyAlignment="1" pivotButton="0" quotePrefix="0" xfId="3">
      <alignment vertical="center"/>
    </xf>
    <xf numFmtId="0" fontId="0" fillId="0" borderId="4" applyAlignment="1" pivotButton="0" quotePrefix="0" xfId="3">
      <alignment vertical="center"/>
    </xf>
    <xf numFmtId="3" fontId="5" fillId="4" borderId="4" pivotButton="0" quotePrefix="0" xfId="0"/>
    <xf numFmtId="3" fontId="5" fillId="4" borderId="10" pivotButton="0" quotePrefix="0" xfId="0"/>
    <xf numFmtId="3" fontId="0" fillId="0" borderId="4" pivotButton="0" quotePrefix="0" xfId="0"/>
    <xf numFmtId="3" fontId="0" fillId="6" borderId="4" pivotButton="0" quotePrefix="0" xfId="0"/>
    <xf numFmtId="0" fontId="7" fillId="4" borderId="2" applyAlignment="1" pivotButton="0" quotePrefix="0" xfId="3">
      <alignment vertical="center"/>
    </xf>
    <xf numFmtId="3" fontId="0" fillId="4" borderId="5" pivotButton="0" quotePrefix="0" xfId="0"/>
    <xf numFmtId="3" fontId="0" fillId="4" borderId="6" pivotButton="0" quotePrefix="0" xfId="0"/>
    <xf numFmtId="3" fontId="0" fillId="4" borderId="3" pivotButton="0" quotePrefix="0" xfId="0"/>
    <xf numFmtId="9" fontId="0" fillId="4" borderId="6" applyAlignment="1" pivotButton="0" quotePrefix="0" xfId="0">
      <alignment horizontal="right"/>
    </xf>
    <xf numFmtId="9" fontId="0" fillId="4" borderId="3" applyAlignment="1" pivotButton="0" quotePrefix="0" xfId="0">
      <alignment horizontal="right"/>
    </xf>
    <xf numFmtId="0" fontId="4" fillId="8" borderId="2" applyAlignment="1" pivotButton="0" quotePrefix="0" xfId="3">
      <alignment vertical="center"/>
    </xf>
    <xf numFmtId="3" fontId="4" fillId="8" borderId="5" pivotButton="0" quotePrefix="0" xfId="0"/>
    <xf numFmtId="3" fontId="4" fillId="8" borderId="6" pivotButton="0" quotePrefix="0" xfId="0"/>
    <xf numFmtId="3" fontId="4" fillId="8" borderId="3" pivotButton="0" quotePrefix="0" xfId="0"/>
    <xf numFmtId="9" fontId="4" fillId="8" borderId="6" applyAlignment="1" pivotButton="0" quotePrefix="0" xfId="0">
      <alignment horizontal="right"/>
    </xf>
    <xf numFmtId="9" fontId="4" fillId="8" borderId="3" applyAlignment="1" pivotButton="0" quotePrefix="0" xfId="0">
      <alignment horizontal="right"/>
    </xf>
    <xf numFmtId="9" fontId="0" fillId="0" borderId="4" applyAlignment="1" pivotButton="0" quotePrefix="0" xfId="0">
      <alignment horizontal="right"/>
    </xf>
    <xf numFmtId="9" fontId="0" fillId="6" borderId="4" applyAlignment="1" pivotButton="0" quotePrefix="0" xfId="0">
      <alignment horizontal="right"/>
    </xf>
    <xf numFmtId="3" fontId="5" fillId="4" borderId="4" applyAlignment="1" pivotButton="0" quotePrefix="0" xfId="0">
      <alignment horizontal="right"/>
    </xf>
    <xf numFmtId="3" fontId="5" fillId="4" borderId="0" applyAlignment="1" pivotButton="0" quotePrefix="0" xfId="0">
      <alignment horizontal="right"/>
    </xf>
    <xf numFmtId="3" fontId="5" fillId="4" borderId="10" applyAlignment="1" pivotButton="0" quotePrefix="0" xfId="0">
      <alignment horizontal="right"/>
    </xf>
    <xf numFmtId="9" fontId="0" fillId="4" borderId="5" applyAlignment="1" pivotButton="0" quotePrefix="0" xfId="0">
      <alignment horizontal="right"/>
    </xf>
    <xf numFmtId="9" fontId="4" fillId="8" borderId="5" applyAlignment="1" pivotButton="0" quotePrefix="0" xfId="0">
      <alignment horizontal="right"/>
    </xf>
    <xf numFmtId="0" fontId="4" fillId="5" borderId="10" applyAlignment="1" pivotButton="0" quotePrefix="0" xfId="0">
      <alignment horizontal="center" vertical="center" wrapText="1"/>
    </xf>
    <xf numFmtId="0" fontId="4" fillId="5" borderId="18" applyAlignment="1" pivotButton="0" quotePrefix="0" xfId="0">
      <alignment horizontal="center" vertical="center" wrapText="1"/>
    </xf>
    <xf numFmtId="164" fontId="0" fillId="0" borderId="0" applyAlignment="1" pivotButton="0" quotePrefix="0" xfId="5">
      <alignment wrapText="1"/>
    </xf>
    <xf numFmtId="9" fontId="0" fillId="0" borderId="0" applyAlignment="1" pivotButton="0" quotePrefix="0" xfId="1">
      <alignment wrapText="1"/>
    </xf>
    <xf numFmtId="0" fontId="5" fillId="0" borderId="18" applyAlignment="1" pivotButton="0" quotePrefix="0" xfId="0">
      <alignment vertical="center" wrapText="1"/>
    </xf>
    <xf numFmtId="164" fontId="0" fillId="0" borderId="0" pivotButton="0" quotePrefix="0" xfId="5"/>
    <xf numFmtId="164" fontId="0" fillId="0" borderId="0" pivotButton="0" quotePrefix="0" xfId="0"/>
    <xf numFmtId="165" fontId="0" fillId="6" borderId="0" pivotButton="0" quotePrefix="0" xfId="0"/>
    <xf numFmtId="165" fontId="5" fillId="4" borderId="6" pivotButton="0" quotePrefix="0" xfId="0"/>
    <xf numFmtId="3" fontId="6" fillId="0" borderId="0" pivotButton="0" quotePrefix="0" xfId="0"/>
    <xf numFmtId="164" fontId="0" fillId="0" borderId="4" pivotButton="0" quotePrefix="0" xfId="5"/>
    <xf numFmtId="164" fontId="0" fillId="0" borderId="10" pivotButton="0" quotePrefix="0" xfId="5"/>
    <xf numFmtId="165" fontId="6" fillId="0" borderId="0" pivotButton="0" quotePrefix="0" xfId="0"/>
    <xf numFmtId="165" fontId="10" fillId="0" borderId="0" pivotButton="0" quotePrefix="0" xfId="0"/>
    <xf numFmtId="0" fontId="0" fillId="4" borderId="18" applyAlignment="1" pivotButton="0" quotePrefix="0" xfId="0">
      <alignment horizontal="center" vertical="center"/>
    </xf>
    <xf numFmtId="17" fontId="0" fillId="4" borderId="18" applyAlignment="1" pivotButton="0" quotePrefix="0" xfId="0">
      <alignment horizontal="center" vertical="center"/>
    </xf>
    <xf numFmtId="0" fontId="0" fillId="4" borderId="18" applyAlignment="1" pivotButton="0" quotePrefix="0" xfId="0">
      <alignment vertical="center" wrapText="1"/>
    </xf>
    <xf numFmtId="0" fontId="24" fillId="4" borderId="18" applyAlignment="1" pivotButton="0" quotePrefix="0" xfId="9">
      <alignment vertical="center" wrapText="1"/>
    </xf>
    <xf numFmtId="9" fontId="4" fillId="2" borderId="1" pivotButton="0" quotePrefix="0" xfId="1"/>
    <xf numFmtId="0" fontId="4" fillId="2" borderId="13" applyAlignment="1" pivotButton="0" quotePrefix="0" xfId="0">
      <alignment vertical="center"/>
    </xf>
    <xf numFmtId="0" fontId="4" fillId="2" borderId="4" applyAlignment="1" pivotButton="0" quotePrefix="0" xfId="0">
      <alignment vertical="center"/>
    </xf>
    <xf numFmtId="169" fontId="0" fillId="0" borderId="0" applyAlignment="1" pivotButton="0" quotePrefix="0" xfId="1">
      <alignment horizontal="right"/>
    </xf>
    <xf numFmtId="164" fontId="0" fillId="0" borderId="0" pivotButton="0" quotePrefix="0" xfId="5"/>
    <xf numFmtId="0" fontId="5" fillId="4" borderId="2" applyAlignment="1" pivotButton="0" quotePrefix="0" xfId="3">
      <alignment vertical="center"/>
    </xf>
    <xf numFmtId="3" fontId="5" fillId="4" borderId="5" pivotButton="0" quotePrefix="0" xfId="0"/>
    <xf numFmtId="3" fontId="5" fillId="4" borderId="6" pivotButton="0" quotePrefix="0" xfId="0"/>
    <xf numFmtId="9" fontId="5" fillId="4" borderId="6" applyAlignment="1" pivotButton="0" quotePrefix="0" xfId="0">
      <alignment horizontal="right"/>
    </xf>
    <xf numFmtId="9" fontId="5" fillId="4" borderId="3" applyAlignment="1" pivotButton="0" quotePrefix="0" xfId="0">
      <alignment horizontal="right"/>
    </xf>
    <xf numFmtId="164" fontId="4" fillId="2" borderId="8" pivotButton="0" quotePrefix="0" xfId="2"/>
    <xf numFmtId="3" fontId="7" fillId="0" borderId="3" pivotButton="0" quotePrefix="0" xfId="3"/>
    <xf numFmtId="165" fontId="0" fillId="17" borderId="0" applyAlignment="1" pivotButton="0" quotePrefix="0" xfId="1">
      <alignment horizontal="right"/>
    </xf>
    <xf numFmtId="164" fontId="29" fillId="0" borderId="23" applyAlignment="1" pivotButton="0" quotePrefix="0" xfId="5">
      <alignment horizontal="right"/>
    </xf>
    <xf numFmtId="164" fontId="29" fillId="0" borderId="29" applyAlignment="1" pivotButton="0" quotePrefix="0" xfId="5">
      <alignment horizontal="right"/>
    </xf>
    <xf numFmtId="10" fontId="0" fillId="0" borderId="0" pivotButton="0" quotePrefix="0" xfId="0"/>
    <xf numFmtId="165" fontId="10" fillId="0" borderId="0" applyAlignment="1" pivotButton="0" quotePrefix="0" xfId="1">
      <alignment horizontal="right"/>
    </xf>
    <xf numFmtId="0" fontId="27" fillId="18" borderId="0" applyAlignment="1" pivotButton="0" quotePrefix="0" xfId="0">
      <alignment vertical="top" wrapText="1"/>
    </xf>
    <xf numFmtId="0" fontId="27" fillId="18" borderId="18" applyAlignment="1" pivotButton="0" quotePrefix="0" xfId="0">
      <alignment vertical="top" wrapText="1"/>
    </xf>
    <xf numFmtId="0" fontId="34" fillId="0" borderId="18" applyAlignment="1" pivotButton="0" quotePrefix="0" xfId="0">
      <alignment vertical="top" wrapText="1"/>
    </xf>
    <xf numFmtId="0" fontId="35" fillId="0" borderId="18" applyAlignment="1" pivotButton="0" quotePrefix="0" xfId="0">
      <alignment vertical="top" wrapText="1"/>
    </xf>
    <xf numFmtId="0" fontId="34" fillId="0" borderId="0" applyAlignment="1" pivotButton="0" quotePrefix="0" xfId="0">
      <alignment vertical="top" wrapText="1"/>
    </xf>
    <xf numFmtId="0" fontId="35" fillId="0" borderId="0" applyAlignment="1" pivotButton="0" quotePrefix="0" xfId="0">
      <alignment vertical="top" wrapText="1"/>
    </xf>
    <xf numFmtId="10" fontId="5" fillId="0" borderId="0" pivotButton="0" quotePrefix="0" xfId="0"/>
    <xf numFmtId="10" fontId="25" fillId="0" borderId="0" pivotButton="0" quotePrefix="0" xfId="0"/>
    <xf numFmtId="165" fontId="5" fillId="0" borderId="9" pivotButton="0" quotePrefix="0" xfId="0"/>
    <xf numFmtId="165" fontId="25" fillId="0" borderId="4" applyAlignment="1" pivotButton="0" quotePrefix="0" xfId="1">
      <alignment horizontal="right"/>
    </xf>
    <xf numFmtId="165" fontId="25" fillId="0" borderId="0" applyAlignment="1" pivotButton="0" quotePrefix="0" xfId="1">
      <alignment horizontal="right"/>
    </xf>
    <xf numFmtId="165" fontId="36" fillId="0" borderId="0" applyAlignment="1" pivotButton="0" quotePrefix="0" xfId="1">
      <alignment horizontal="right"/>
    </xf>
    <xf numFmtId="165" fontId="25" fillId="0" borderId="4" applyAlignment="1" pivotButton="0" quotePrefix="0" xfId="1">
      <alignment horizontal="right" indent="1"/>
    </xf>
    <xf numFmtId="165" fontId="6" fillId="0" borderId="0" applyAlignment="1" pivotButton="0" quotePrefix="0" xfId="1">
      <alignment horizontal="right"/>
    </xf>
    <xf numFmtId="165" fontId="0" fillId="0" borderId="11" applyAlignment="1" pivotButton="0" quotePrefix="0" xfId="4">
      <alignment horizontal="right" vertical="center"/>
    </xf>
    <xf numFmtId="0" fontId="1" fillId="0" borderId="0" pivotButton="0" quotePrefix="0" xfId="14"/>
    <xf numFmtId="0" fontId="1" fillId="0" borderId="0" applyAlignment="1" pivotButton="0" quotePrefix="0" xfId="14">
      <alignment vertical="top" wrapText="1"/>
    </xf>
    <xf numFmtId="0" fontId="1" fillId="0" borderId="0" applyAlignment="1" pivotButton="0" quotePrefix="0" xfId="14">
      <alignment vertical="top"/>
    </xf>
    <xf numFmtId="0" fontId="1" fillId="0" borderId="0" pivotButton="0" quotePrefix="0" xfId="3"/>
    <xf numFmtId="9" fontId="7" fillId="0" borderId="0" applyAlignment="1" pivotButton="0" quotePrefix="0" xfId="1">
      <alignment vertical="center"/>
    </xf>
    <xf numFmtId="165" fontId="7" fillId="0" borderId="0" applyAlignment="1" pivotButton="0" quotePrefix="0" xfId="3">
      <alignment wrapText="1"/>
    </xf>
    <xf numFmtId="0" fontId="0" fillId="19" borderId="0" pivotButton="0" quotePrefix="0" xfId="0"/>
    <xf numFmtId="165" fontId="5" fillId="19" borderId="9" pivotButton="0" quotePrefix="0" xfId="0"/>
    <xf numFmtId="165" fontId="0" fillId="19" borderId="4" applyAlignment="1" pivotButton="0" quotePrefix="0" xfId="1">
      <alignment horizontal="right"/>
    </xf>
    <xf numFmtId="165" fontId="0" fillId="19" borderId="0" applyAlignment="1" pivotButton="0" quotePrefix="0" xfId="1">
      <alignment horizontal="right"/>
    </xf>
    <xf numFmtId="165" fontId="0" fillId="19" borderId="11" applyAlignment="1" pivotButton="0" quotePrefix="0" xfId="1">
      <alignment horizontal="right"/>
    </xf>
    <xf numFmtId="165" fontId="0" fillId="19" borderId="0" pivotButton="0" quotePrefix="0" xfId="0"/>
    <xf numFmtId="165" fontId="5" fillId="0" borderId="0" pivotButton="0" quotePrefix="0" xfId="0"/>
    <xf numFmtId="165" fontId="37" fillId="0" borderId="4" applyAlignment="1" pivotButton="0" quotePrefix="0" xfId="1">
      <alignment horizontal="right"/>
    </xf>
    <xf numFmtId="165" fontId="5" fillId="0" borderId="11" applyAlignment="1" pivotButton="0" quotePrefix="0" xfId="1">
      <alignment horizontal="right"/>
    </xf>
    <xf numFmtId="165" fontId="5" fillId="0" borderId="0" applyAlignment="1" pivotButton="0" quotePrefix="0" xfId="1">
      <alignment horizontal="right"/>
    </xf>
    <xf numFmtId="165" fontId="5" fillId="0" borderId="0" applyAlignment="1" pivotButton="0" quotePrefix="0" xfId="1">
      <alignment horizontal="right"/>
    </xf>
    <xf numFmtId="165" fontId="5" fillId="3" borderId="0" pivotButton="0" quotePrefix="0" xfId="0"/>
    <xf numFmtId="165" fontId="5" fillId="0" borderId="4" applyAlignment="1" pivotButton="0" quotePrefix="0" xfId="1">
      <alignment horizontal="right"/>
    </xf>
    <xf numFmtId="165" fontId="37" fillId="0" borderId="0" applyAlignment="1" pivotButton="0" quotePrefix="0" xfId="1">
      <alignment horizontal="right"/>
    </xf>
    <xf numFmtId="165" fontId="5" fillId="0" borderId="4" applyAlignment="1" pivotButton="0" quotePrefix="0" xfId="1">
      <alignment horizontal="right"/>
    </xf>
    <xf numFmtId="166" fontId="0" fillId="0" borderId="0" applyAlignment="1" pivotButton="0" quotePrefix="0" xfId="0">
      <alignment wrapText="1"/>
    </xf>
    <xf numFmtId="0" fontId="4" fillId="2" borderId="21" applyAlignment="1" pivotButton="0" quotePrefix="0" xfId="0">
      <alignment horizontal="center" vertical="center" wrapText="1"/>
    </xf>
    <xf numFmtId="0" fontId="4" fillId="2" borderId="0" applyAlignment="1" pivotButton="0" quotePrefix="0" xfId="0">
      <alignment horizontal="center" vertical="center" wrapText="1"/>
    </xf>
    <xf numFmtId="0" fontId="4" fillId="2" borderId="10"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4" applyAlignment="1" pivotButton="0" quotePrefix="0" xfId="0">
      <alignment horizontal="center" vertical="center" wrapText="1"/>
    </xf>
    <xf numFmtId="165" fontId="0" fillId="0" borderId="10" pivotButton="0" quotePrefix="0" xfId="1"/>
    <xf numFmtId="165" fontId="0" fillId="0" borderId="3" pivotButton="0" quotePrefix="0" xfId="1"/>
    <xf numFmtId="166" fontId="0" fillId="0" borderId="11" applyAlignment="1" pivotButton="0" quotePrefix="0" xfId="0">
      <alignment wrapText="1"/>
    </xf>
    <xf numFmtId="166" fontId="0" fillId="0" borderId="2" applyAlignment="1" pivotButton="0" quotePrefix="0" xfId="0">
      <alignment wrapText="1"/>
    </xf>
    <xf numFmtId="0" fontId="4" fillId="5" borderId="10" applyAlignment="1" pivotButton="0" quotePrefix="0" xfId="0">
      <alignment vertical="center" wrapText="1"/>
    </xf>
    <xf numFmtId="4" fontId="0" fillId="0" borderId="18" applyAlignment="1" pivotButton="0" quotePrefix="0" xfId="0">
      <alignment vertical="center"/>
    </xf>
    <xf numFmtId="0" fontId="4" fillId="5" borderId="18" applyAlignment="1" pivotButton="0" quotePrefix="0" xfId="0">
      <alignment vertical="center" wrapText="1"/>
    </xf>
    <xf numFmtId="170" fontId="6" fillId="0" borderId="4" applyAlignment="1" pivotButton="0" quotePrefix="0" xfId="0">
      <alignment horizontal="right" wrapText="1"/>
    </xf>
    <xf numFmtId="170" fontId="6" fillId="0" borderId="10" applyAlignment="1" pivotButton="0" quotePrefix="0" xfId="0">
      <alignment horizontal="right" wrapText="1"/>
    </xf>
    <xf numFmtId="0" fontId="39" fillId="0" borderId="4" pivotButton="0" quotePrefix="0" xfId="0"/>
    <xf numFmtId="0" fontId="0" fillId="0" borderId="0" applyAlignment="1" pivotButton="0" quotePrefix="0" xfId="0">
      <alignment horizontal="right" wrapText="1"/>
    </xf>
    <xf numFmtId="0" fontId="32" fillId="0" borderId="18" applyAlignment="1" pivotButton="0" quotePrefix="0" xfId="11">
      <alignment horizontal="center"/>
    </xf>
    <xf numFmtId="9" fontId="4" fillId="2" borderId="13" applyAlignment="1" pivotButton="0" quotePrefix="0" xfId="1">
      <alignment horizontal="center"/>
    </xf>
    <xf numFmtId="9" fontId="4" fillId="2" borderId="12" applyAlignment="1" pivotButton="0" quotePrefix="0" xfId="1">
      <alignment horizontal="center"/>
    </xf>
    <xf numFmtId="9" fontId="4" fillId="2" borderId="1" applyAlignment="1" pivotButton="0" quotePrefix="0" xfId="1">
      <alignment horizontal="center"/>
    </xf>
    <xf numFmtId="9" fontId="4" fillId="2" borderId="21" applyAlignment="1" pivotButton="0" quotePrefix="0" xfId="1">
      <alignment horizontal="center"/>
    </xf>
    <xf numFmtId="0" fontId="4" fillId="2" borderId="13" applyAlignment="1" pivotButton="0" quotePrefix="0" xfId="0">
      <alignment horizontal="left" vertical="center"/>
    </xf>
    <xf numFmtId="0" fontId="4" fillId="2" borderId="4" applyAlignment="1" pivotButton="0" quotePrefix="0" xfId="0">
      <alignment horizontal="left" vertical="center"/>
    </xf>
    <xf numFmtId="164" fontId="4" fillId="2" borderId="9" applyAlignment="1" pivotButton="0" quotePrefix="0" xfId="2">
      <alignment horizontal="center"/>
    </xf>
    <xf numFmtId="164" fontId="4" fillId="2" borderId="0" applyAlignment="1" pivotButton="0" quotePrefix="0" xfId="2">
      <alignment horizontal="center"/>
    </xf>
    <xf numFmtId="0" fontId="4" fillId="5" borderId="21" applyAlignment="1" pivotButton="0" quotePrefix="0" xfId="0">
      <alignment horizontal="center" vertical="center" wrapText="1"/>
    </xf>
    <xf numFmtId="0" fontId="4" fillId="5" borderId="2" applyAlignment="1" pivotButton="0" quotePrefix="0" xfId="0">
      <alignment horizontal="center" vertical="center" wrapText="1"/>
    </xf>
    <xf numFmtId="0" fontId="4" fillId="5" borderId="10" applyAlignment="1" pivotButton="0" quotePrefix="0" xfId="0">
      <alignment horizontal="center" vertical="center" wrapText="1"/>
    </xf>
    <xf numFmtId="0" fontId="4" fillId="5" borderId="1" applyAlignment="1" pivotButton="0" quotePrefix="0" xfId="0">
      <alignment horizontal="center" vertical="center" wrapText="1"/>
    </xf>
    <xf numFmtId="0" fontId="38" fillId="2" borderId="4" applyAlignment="1" pivotButton="0" quotePrefix="0" xfId="0">
      <alignment horizontal="center" vertical="center" wrapText="1"/>
    </xf>
    <xf numFmtId="0" fontId="38" fillId="2" borderId="0" applyAlignment="1" pivotButton="0" quotePrefix="0" xfId="0">
      <alignment horizontal="center" vertical="center" wrapText="1"/>
    </xf>
    <xf numFmtId="0" fontId="38" fillId="2" borderId="10" applyAlignment="1" pivotButton="0" quotePrefix="0" xfId="0">
      <alignment horizontal="center" vertical="center" wrapText="1"/>
    </xf>
    <xf numFmtId="0" fontId="4" fillId="2" borderId="21" applyAlignment="1" pivotButton="0" quotePrefix="0" xfId="0">
      <alignment horizontal="center" wrapText="1"/>
    </xf>
    <xf numFmtId="0" fontId="4" fillId="2" borderId="11" applyAlignment="1" pivotButton="0" quotePrefix="0" xfId="0">
      <alignment horizontal="center" wrapText="1"/>
    </xf>
    <xf numFmtId="0" fontId="4" fillId="2" borderId="13" applyAlignment="1" pivotButton="0" quotePrefix="0" xfId="0">
      <alignment horizontal="center" wrapText="1"/>
    </xf>
    <xf numFmtId="0" fontId="4" fillId="2" borderId="4" applyAlignment="1" pivotButton="0" quotePrefix="0" xfId="0">
      <alignment horizontal="center" wrapText="1"/>
    </xf>
    <xf numFmtId="0" fontId="4" fillId="2" borderId="1" applyAlignment="1" pivotButton="0" quotePrefix="0" xfId="0">
      <alignment horizontal="center" wrapText="1"/>
    </xf>
    <xf numFmtId="0" fontId="4" fillId="2" borderId="10" applyAlignment="1" pivotButton="0" quotePrefix="0" xfId="0">
      <alignment horizontal="center" wrapText="1"/>
    </xf>
    <xf numFmtId="0" fontId="4" fillId="2" borderId="21" applyAlignment="1" pivotButton="0" quotePrefix="0" xfId="0">
      <alignment horizontal="center" vertical="center" wrapText="1"/>
    </xf>
    <xf numFmtId="0" fontId="4" fillId="2" borderId="11" applyAlignment="1" pivotButton="0" quotePrefix="0" xfId="0">
      <alignment horizontal="center" vertical="center" wrapText="1"/>
    </xf>
    <xf numFmtId="0" fontId="4" fillId="2" borderId="13"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2" applyAlignment="1" pivotButton="0" quotePrefix="0" xfId="0">
      <alignment horizontal="center" vertical="center" wrapText="1"/>
    </xf>
    <xf numFmtId="15" fontId="4" fillId="8" borderId="15" applyAlignment="1" pivotButton="0" quotePrefix="0" xfId="0">
      <alignment horizontal="center"/>
    </xf>
    <xf numFmtId="167" fontId="4" fillId="5" borderId="15" applyAlignment="1" pivotButton="0" quotePrefix="0" xfId="3">
      <alignment horizontal="right" vertical="center" wrapText="1"/>
    </xf>
    <xf numFmtId="164" fontId="7" fillId="0" borderId="0" applyAlignment="1" pivotButton="0" quotePrefix="0" xfId="2">
      <alignment vertical="center"/>
    </xf>
    <xf numFmtId="164" fontId="11" fillId="0" borderId="0" applyAlignment="1" pivotButton="0" quotePrefix="0" xfId="2">
      <alignment vertical="center"/>
    </xf>
    <xf numFmtId="164" fontId="7" fillId="6" borderId="0" applyAlignment="1" pivotButton="0" quotePrefix="0" xfId="2">
      <alignment vertical="center"/>
    </xf>
    <xf numFmtId="164" fontId="12" fillId="7" borderId="0" applyAlignment="1" pivotButton="0" quotePrefix="0" xfId="2">
      <alignment vertical="center"/>
    </xf>
    <xf numFmtId="164" fontId="5" fillId="0" borderId="15" applyAlignment="1" pivotButton="0" quotePrefix="0" xfId="2">
      <alignment vertical="center"/>
    </xf>
    <xf numFmtId="168" fontId="7" fillId="0" borderId="0" pivotButton="0" quotePrefix="0" xfId="3"/>
    <xf numFmtId="164" fontId="11" fillId="6" borderId="0" applyAlignment="1" pivotButton="0" quotePrefix="0" xfId="2">
      <alignment vertical="center"/>
    </xf>
    <xf numFmtId="0" fontId="0" fillId="0" borderId="12" pivotButton="0" quotePrefix="0" xfId="0"/>
    <xf numFmtId="0" fontId="0" fillId="0" borderId="1" pivotButton="0" quotePrefix="0" xfId="0"/>
    <xf numFmtId="164" fontId="4" fillId="2" borderId="4" applyAlignment="1" pivotButton="0" quotePrefix="0" xfId="2">
      <alignment horizontal="right"/>
    </xf>
    <xf numFmtId="164" fontId="4" fillId="2" borderId="0" applyAlignment="1" pivotButton="0" quotePrefix="0" xfId="2">
      <alignment horizontal="right"/>
    </xf>
    <xf numFmtId="164" fontId="4" fillId="2" borderId="10" applyAlignment="1" pivotButton="0" quotePrefix="0" xfId="2">
      <alignment horizontal="right"/>
    </xf>
    <xf numFmtId="164" fontId="0" fillId="0" borderId="4" pivotButton="0" quotePrefix="0" xfId="5"/>
    <xf numFmtId="164" fontId="0" fillId="0" borderId="0" pivotButton="0" quotePrefix="0" xfId="5"/>
    <xf numFmtId="9" fontId="4" fillId="2" borderId="21" applyAlignment="1" pivotButton="0" quotePrefix="0" xfId="0">
      <alignment horizontal="center"/>
    </xf>
    <xf numFmtId="0" fontId="7" fillId="0" borderId="12" pivotButton="0" quotePrefix="0" xfId="0"/>
    <xf numFmtId="0" fontId="7" fillId="0" borderId="1" pivotButton="0" quotePrefix="0" xfId="0"/>
    <xf numFmtId="164" fontId="4" fillId="2" borderId="4" applyAlignment="1" pivotButton="0" quotePrefix="0" xfId="0">
      <alignment horizontal="right"/>
    </xf>
    <xf numFmtId="164" fontId="4" fillId="2" borderId="0" applyAlignment="1" pivotButton="0" quotePrefix="0" xfId="0">
      <alignment horizontal="right"/>
    </xf>
    <xf numFmtId="164" fontId="4" fillId="2" borderId="10" applyAlignment="1" pivotButton="0" quotePrefix="0" xfId="0">
      <alignment horizontal="right"/>
    </xf>
    <xf numFmtId="3" fontId="7" fillId="0" borderId="4" pivotButton="0" quotePrefix="0" xfId="0"/>
    <xf numFmtId="3" fontId="7" fillId="0" borderId="0" pivotButton="0" quotePrefix="0" xfId="0"/>
    <xf numFmtId="3" fontId="7" fillId="0" borderId="10" pivotButton="0" quotePrefix="0" xfId="0"/>
    <xf numFmtId="3" fontId="7" fillId="6" borderId="4" pivotButton="0" quotePrefix="0" xfId="0"/>
    <xf numFmtId="3" fontId="7" fillId="6" borderId="0" pivotButton="0" quotePrefix="0" xfId="0"/>
    <xf numFmtId="3" fontId="7" fillId="6" borderId="10" pivotButton="0" quotePrefix="0" xfId="0"/>
    <xf numFmtId="164" fontId="0" fillId="0" borderId="10" pivotButton="0" quotePrefix="0" xfId="5"/>
    <xf numFmtId="3" fontId="7" fillId="4" borderId="5" pivotButton="0" quotePrefix="0" xfId="0"/>
    <xf numFmtId="3" fontId="7" fillId="4" borderId="6" pivotButton="0" quotePrefix="0" xfId="0"/>
    <xf numFmtId="3" fontId="7" fillId="4" borderId="3" pivotButton="0" quotePrefix="0" xfId="0"/>
    <xf numFmtId="9" fontId="7" fillId="0" borderId="4" applyAlignment="1" pivotButton="0" quotePrefix="0" xfId="0">
      <alignment horizontal="right"/>
    </xf>
    <xf numFmtId="9" fontId="7" fillId="0" borderId="0" applyAlignment="1" pivotButton="0" quotePrefix="0" xfId="0">
      <alignment horizontal="right"/>
    </xf>
    <xf numFmtId="9" fontId="7" fillId="0" borderId="10" applyAlignment="1" pivotButton="0" quotePrefix="0" xfId="0">
      <alignment horizontal="right"/>
    </xf>
    <xf numFmtId="9" fontId="7" fillId="6" borderId="4" applyAlignment="1" pivotButton="0" quotePrefix="0" xfId="0">
      <alignment horizontal="right"/>
    </xf>
    <xf numFmtId="9" fontId="7" fillId="6" borderId="0" applyAlignment="1" pivotButton="0" quotePrefix="0" xfId="0">
      <alignment horizontal="right"/>
    </xf>
    <xf numFmtId="9" fontId="7" fillId="6" borderId="10" applyAlignment="1" pivotButton="0" quotePrefix="0" xfId="0">
      <alignment horizontal="right"/>
    </xf>
    <xf numFmtId="9" fontId="7" fillId="4" borderId="5" applyAlignment="1" pivotButton="0" quotePrefix="0" xfId="0">
      <alignment horizontal="right"/>
    </xf>
    <xf numFmtId="9" fontId="7" fillId="4" borderId="6" applyAlignment="1" pivotButton="0" quotePrefix="0" xfId="0">
      <alignment horizontal="right"/>
    </xf>
    <xf numFmtId="9" fontId="7" fillId="4" borderId="3" applyAlignment="1" pivotButton="0" quotePrefix="0" xfId="0">
      <alignment horizontal="right"/>
    </xf>
    <xf numFmtId="164" fontId="0" fillId="0" borderId="0" applyAlignment="1" pivotButton="0" quotePrefix="0" xfId="2">
      <alignment horizontal="right"/>
    </xf>
    <xf numFmtId="164" fontId="4" fillId="2" borderId="7" applyAlignment="1" pivotButton="0" quotePrefix="0" xfId="2">
      <alignment horizontal="centerContinuous"/>
    </xf>
    <xf numFmtId="164" fontId="4" fillId="2" borderId="8" pivotButton="0" quotePrefix="0" xfId="2"/>
    <xf numFmtId="164" fontId="4" fillId="2" borderId="9" applyAlignment="1" pivotButton="0" quotePrefix="0" xfId="2">
      <alignment horizontal="center"/>
    </xf>
    <xf numFmtId="164" fontId="4" fillId="2" borderId="13" applyAlignment="1" pivotButton="0" quotePrefix="0" xfId="2">
      <alignment horizontal="right"/>
    </xf>
    <xf numFmtId="164" fontId="4" fillId="2" borderId="12" applyAlignment="1" pivotButton="0" quotePrefix="0" xfId="2">
      <alignment horizontal="right"/>
    </xf>
    <xf numFmtId="164" fontId="0" fillId="0" borderId="4" applyAlignment="1" pivotButton="0" quotePrefix="0" xfId="2">
      <alignment horizontal="right"/>
    </xf>
    <xf numFmtId="164" fontId="5" fillId="0" borderId="17" applyAlignment="1" pivotButton="0" quotePrefix="0" xfId="2">
      <alignment horizontal="right"/>
    </xf>
    <xf numFmtId="164" fontId="5" fillId="0" borderId="15" applyAlignment="1" pivotButton="0" quotePrefix="0" xfId="2">
      <alignment horizontal="right"/>
    </xf>
    <xf numFmtId="164" fontId="0" fillId="4" borderId="4" applyAlignment="1" pivotButton="0" quotePrefix="0" xfId="2">
      <alignment horizontal="right"/>
    </xf>
    <xf numFmtId="164" fontId="0" fillId="4" borderId="0" applyAlignment="1" pivotButton="0" quotePrefix="0" xfId="2">
      <alignment horizontal="right"/>
    </xf>
    <xf numFmtId="164" fontId="5" fillId="0" borderId="4" applyAlignment="1" pivotButton="0" quotePrefix="0" xfId="2">
      <alignment horizontal="right"/>
    </xf>
    <xf numFmtId="164" fontId="5" fillId="0" borderId="0" applyAlignment="1" pivotButton="0" quotePrefix="0" xfId="2">
      <alignment horizontal="right"/>
    </xf>
    <xf numFmtId="166" fontId="6" fillId="0" borderId="4" applyAlignment="1" pivotButton="0" quotePrefix="0" xfId="2">
      <alignment horizontal="right"/>
    </xf>
    <xf numFmtId="166" fontId="6" fillId="0" borderId="0" applyAlignment="1" pivotButton="0" quotePrefix="0" xfId="2">
      <alignment horizontal="right"/>
    </xf>
    <xf numFmtId="166" fontId="6" fillId="0" borderId="11" applyAlignment="1" pivotButton="0" quotePrefix="0" xfId="1">
      <alignment horizontal="right"/>
    </xf>
    <xf numFmtId="164" fontId="0" fillId="0" borderId="18" applyAlignment="1" pivotButton="0" quotePrefix="0" xfId="2">
      <alignment horizontal="center"/>
    </xf>
    <xf numFmtId="0" fontId="0" fillId="0" borderId="10" pivotButton="0" quotePrefix="0" xfId="0"/>
    <xf numFmtId="164" fontId="0" fillId="0" borderId="18" applyAlignment="1" pivotButton="0" quotePrefix="0" xfId="2">
      <alignment horizontal="right"/>
    </xf>
    <xf numFmtId="164" fontId="5" fillId="3" borderId="18" applyAlignment="1" pivotButton="0" quotePrefix="0" xfId="2">
      <alignment horizontal="center"/>
    </xf>
    <xf numFmtId="164" fontId="0" fillId="0" borderId="0" applyAlignment="1" pivotButton="0" quotePrefix="0" xfId="2">
      <alignment horizontal="center"/>
    </xf>
    <xf numFmtId="164" fontId="0" fillId="0" borderId="18" applyAlignment="1" pivotButton="0" quotePrefix="0" xfId="2">
      <alignment horizontal="center" vertical="center"/>
    </xf>
    <xf numFmtId="164" fontId="7" fillId="0" borderId="0" pivotButton="0" quotePrefix="0" xfId="2"/>
    <xf numFmtId="0" fontId="0" fillId="0" borderId="2" pivotButton="0" quotePrefix="0" xfId="0"/>
    <xf numFmtId="0" fontId="38" fillId="2" borderId="11" applyAlignment="1" pivotButton="0" quotePrefix="0" xfId="0">
      <alignment horizontal="center" vertical="center" wrapText="1"/>
    </xf>
    <xf numFmtId="166" fontId="0" fillId="0" borderId="11" applyAlignment="1" pivotButton="0" quotePrefix="0" xfId="0">
      <alignment horizontal="right" wrapText="1"/>
    </xf>
    <xf numFmtId="166" fontId="0" fillId="0" borderId="4" applyAlignment="1" pivotButton="0" quotePrefix="0" xfId="0">
      <alignment wrapText="1"/>
    </xf>
    <xf numFmtId="166" fontId="0" fillId="0" borderId="0" applyAlignment="1" pivotButton="0" quotePrefix="0" xfId="0">
      <alignment wrapText="1"/>
    </xf>
    <xf numFmtId="166" fontId="0" fillId="0" borderId="11" applyAlignment="1" pivotButton="0" quotePrefix="0" xfId="0">
      <alignment wrapText="1"/>
    </xf>
    <xf numFmtId="166" fontId="0" fillId="0" borderId="2" applyAlignment="1" pivotButton="0" quotePrefix="0" xfId="0">
      <alignment horizontal="right" wrapText="1"/>
    </xf>
    <xf numFmtId="166" fontId="0" fillId="0" borderId="5" applyAlignment="1" pivotButton="0" quotePrefix="0" xfId="0">
      <alignment wrapText="1"/>
    </xf>
    <xf numFmtId="166" fontId="0" fillId="0" borderId="6" applyAlignment="1" pivotButton="0" quotePrefix="0" xfId="0">
      <alignment wrapText="1"/>
    </xf>
    <xf numFmtId="166" fontId="0" fillId="0" borderId="2" applyAlignment="1" pivotButton="0" quotePrefix="0" xfId="0">
      <alignment wrapText="1"/>
    </xf>
    <xf numFmtId="164" fontId="0" fillId="0" borderId="0" applyAlignment="1" pivotButton="0" quotePrefix="0" xfId="5">
      <alignment wrapText="1"/>
    </xf>
    <xf numFmtId="0" fontId="0" fillId="0" borderId="15" pivotButton="0" quotePrefix="0" xfId="0"/>
    <xf numFmtId="164" fontId="0" fillId="0" borderId="0" pivotButton="0" quotePrefix="0" xfId="0"/>
    <xf numFmtId="164" fontId="29" fillId="0" borderId="23" applyAlignment="1" pivotButton="0" quotePrefix="0" xfId="5">
      <alignment horizontal="right"/>
    </xf>
    <xf numFmtId="164" fontId="29" fillId="0" borderId="29" applyAlignment="1" pivotButton="0" quotePrefix="0" xfId="5">
      <alignment horizontal="right"/>
    </xf>
    <xf numFmtId="0" fontId="0" fillId="0" borderId="16" pivotButton="0" quotePrefix="0" xfId="0"/>
  </cellXfs>
  <cellStyles count="17">
    <cellStyle name="Normal" xfId="0" builtinId="0"/>
    <cellStyle name="Percent" xfId="1" builtinId="5"/>
    <cellStyle name="Comma 2" xfId="2"/>
    <cellStyle name="Normal 2" xfId="3"/>
    <cellStyle name="Percent 2" xfId="4"/>
    <cellStyle name="Comma" xfId="5" builtinId="3"/>
    <cellStyle name="Good 2" xfId="6"/>
    <cellStyle name="Neutral 2" xfId="7"/>
    <cellStyle name="Bad 2" xfId="8"/>
    <cellStyle name="Hyperlink" xfId="9" builtinId="8"/>
    <cellStyle name="Normal 3 2" xfId="10"/>
    <cellStyle name="Normal 3" xfId="11"/>
    <cellStyle name="Normal 4" xfId="12"/>
    <cellStyle name="Percent 3" xfId="13"/>
    <cellStyle name="Normal 2 2" xfId="14"/>
    <cellStyle name="Comma 2 2" xfId="15"/>
    <cellStyle name="Percent 2 2" xfId="1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externalLink" Target="/xl/externalLinks/externalLink1.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0" i="0" strike="noStrike" kern="1200" spc="0" baseline="0">
                <a:solidFill>
                  <a:sysClr val="windowText" lastClr="000000"/>
                </a:solidFill>
                <a:latin typeface="+mn-lt"/>
                <a:ea typeface="+mn-ea"/>
                <a:cs typeface="+mn-cs"/>
              </a:defRPr>
            </a:pPr>
            <a:r>
              <a:rPr lang="en-IN"/>
              <a:t>Niva Bupa</a:t>
            </a:r>
          </a:p>
        </rich>
      </tx>
      <overlay val="0"/>
      <spPr>
        <a:noFill/>
        <a:ln>
          <a:noFill/>
          <a:prstDash val="solid"/>
        </a:ln>
      </spPr>
      <txPr>
        <a:bodyPr rot="0" spcFirstLastPara="1" vertOverflow="ellipsis" vert="horz" wrap="square" anchor="ctr" anchorCtr="1"/>
        <a:lstStyle/>
        <a:p>
          <a:pPr>
            <a:defRPr sz="1400" b="0" i="0" strike="noStrike" kern="1200" spc="0" baseline="0">
              <a:solidFill>
                <a:sysClr val="windowText" lastClr="000000"/>
              </a:solidFill>
              <a:latin typeface="+mn-lt"/>
              <a:ea typeface="+mn-ea"/>
              <a:cs typeface="+mn-cs"/>
            </a:defRPr>
          </a:pPr>
          <a:r>
            <a:t/>
          </a:r>
          <a:endParaRPr lang="en-US"/>
        </a:p>
      </txPr>
    </title>
    <plotArea>
      <layout/>
      <barChart>
        <barDir val="col"/>
        <grouping val="clustered"/>
        <varyColors val="0"/>
        <ser>
          <idx val="1"/>
          <order val="0"/>
          <tx>
            <strRef>
              <f>'Historical Stock Movement'!$J$17</f>
              <strCache>
                <ptCount val="1"/>
                <pt idx="0">
                  <v>No.of Shares</v>
                </pt>
              </strCache>
            </strRef>
          </tx>
          <spPr>
            <a:solidFill>
              <a:schemeClr val="accent2"/>
            </a:solidFill>
            <a:ln>
              <a:noFill/>
              <a:prstDash val="solid"/>
            </a:ln>
          </spPr>
          <invertIfNegative val="0"/>
          <cat>
            <numRef>
              <f>'Historical Stock Movement'!$H$18:$H$26</f>
              <numCache>
                <formatCode>mmm\-yy</formatCode>
                <ptCount val="9"/>
                <pt idx="0">
                  <v>45597</v>
                </pt>
                <pt idx="1">
                  <v>45627</v>
                </pt>
                <pt idx="2">
                  <v>45658</v>
                </pt>
                <pt idx="3">
                  <v>45689</v>
                </pt>
                <pt idx="4">
                  <v>45717</v>
                </pt>
                <pt idx="5">
                  <v>45748</v>
                </pt>
                <pt idx="6">
                  <v>45778</v>
                </pt>
                <pt idx="7">
                  <v>45809</v>
                </pt>
                <pt idx="8">
                  <v>45839</v>
                </pt>
              </numCache>
            </numRef>
          </cat>
          <val>
            <numRef>
              <f>'Historical Stock Movement'!$J$18:$J$26</f>
              <numCache>
                <formatCode>#,##0</formatCode>
                <ptCount val="9"/>
                <pt idx="0">
                  <v>6142044</v>
                </pt>
                <pt idx="1">
                  <v>15031268</v>
                </pt>
                <pt idx="2">
                  <v>3935409</v>
                </pt>
                <pt idx="3">
                  <v>2332559</v>
                </pt>
                <pt idx="4">
                  <v>1207176</v>
                </pt>
                <pt idx="5">
                  <v>3136571</v>
                </pt>
                <pt idx="6">
                  <v>13644244</v>
                </pt>
                <pt idx="7">
                  <v>40932732</v>
                </pt>
                <pt idx="8">
                  <v>163681</v>
                </pt>
              </numCache>
            </numRef>
          </val>
        </ser>
        <ser>
          <idx val="2"/>
          <order val="1"/>
          <tx>
            <strRef>
              <f>'Historical Stock Movement'!$K$17</f>
              <strCache>
                <ptCount val="1"/>
                <pt idx="0">
                  <v>Deliverable Quantity</v>
                </pt>
              </strCache>
            </strRef>
          </tx>
          <spPr>
            <a:solidFill>
              <a:schemeClr val="accent3"/>
            </a:solidFill>
            <a:ln>
              <a:noFill/>
              <a:prstDash val="solid"/>
            </a:ln>
          </spPr>
          <invertIfNegative val="0"/>
          <cat>
            <numRef>
              <f>'Historical Stock Movement'!$H$18:$H$26</f>
              <numCache>
                <formatCode>mmm\-yy</formatCode>
                <ptCount val="9"/>
                <pt idx="0">
                  <v>45597</v>
                </pt>
                <pt idx="1">
                  <v>45627</v>
                </pt>
                <pt idx="2">
                  <v>45658</v>
                </pt>
                <pt idx="3">
                  <v>45689</v>
                </pt>
                <pt idx="4">
                  <v>45717</v>
                </pt>
                <pt idx="5">
                  <v>45748</v>
                </pt>
                <pt idx="6">
                  <v>45778</v>
                </pt>
                <pt idx="7">
                  <v>45809</v>
                </pt>
                <pt idx="8">
                  <v>45839</v>
                </pt>
              </numCache>
            </numRef>
          </cat>
          <val>
            <numRef>
              <f>'Historical Stock Movement'!$K$18:$K$26</f>
              <numCache>
                <formatCode>#,##0</formatCode>
                <ptCount val="9"/>
                <pt idx="0">
                  <v>3272801</v>
                </pt>
                <pt idx="1">
                  <v>5925358</v>
                </pt>
                <pt idx="2">
                  <v>1816424</v>
                </pt>
                <pt idx="3">
                  <v>1127766</v>
                </pt>
                <pt idx="4">
                  <v>632506</v>
                </pt>
                <pt idx="5">
                  <v>1052809</v>
                </pt>
                <pt idx="6">
                  <v>4971435</v>
                </pt>
                <pt idx="7">
                  <v>31628843.53054748</v>
                </pt>
                <pt idx="8">
                  <v>68756</v>
                </pt>
              </numCache>
            </numRef>
          </val>
        </ser>
        <dLbls>
          <showLegendKey val="0"/>
          <showVal val="0"/>
          <showCatName val="0"/>
          <showSerName val="0"/>
          <showPercent val="0"/>
          <showBubbleSize val="0"/>
        </dLbls>
        <gapWidth val="219"/>
        <axId val="666639343"/>
        <axId val="666630223"/>
      </barChart>
      <lineChart>
        <grouping val="standard"/>
        <varyColors val="0"/>
        <ser>
          <idx val="3"/>
          <order val="3"/>
          <tx>
            <strRef>
              <f>'Historical Stock Movement'!$I$17</f>
              <strCache>
                <ptCount val="1"/>
                <pt idx="0">
                  <v>Close Price</v>
                </pt>
              </strCache>
            </strRef>
          </tx>
          <spPr>
            <a:ln w="28575" cap="rnd">
              <a:solidFill>
                <a:schemeClr val="accent1"/>
              </a:solidFill>
              <a:prstDash val="solid"/>
              <a:round/>
            </a:ln>
          </spPr>
          <marker>
            <symbol val="none"/>
            <spPr>
              <a:ln>
                <a:prstDash val="solid"/>
              </a:ln>
            </spPr>
          </marker>
          <dLbls>
            <dLbl>
              <idx val="0"/>
              <dLblPos val="r"/>
              <showLegendKey val="0"/>
              <showVal val="1"/>
              <showCatName val="0"/>
              <showSerName val="0"/>
              <showPercent val="0"/>
              <showBubbleSize val="0"/>
            </dLbl>
            <dLbl>
              <idx val="3"/>
              <dLblPos val="r"/>
              <showLegendKey val="0"/>
              <showVal val="1"/>
              <showCatName val="0"/>
              <showSerName val="0"/>
              <showPercent val="0"/>
              <showBubbleSize val="0"/>
            </dLbl>
            <dLbl>
              <idx val="5"/>
              <dLblPos val="r"/>
              <showLegendKey val="0"/>
              <showVal val="1"/>
              <showCatName val="0"/>
              <showSerName val="0"/>
              <showPercent val="0"/>
              <showBubbleSize val="0"/>
            </dLbl>
            <dLbl>
              <idx val="7"/>
              <dLblPos val="r"/>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ysClr val="windowText" lastClr="000000"/>
                    </a:solidFill>
                    <a:latin typeface="+mn-lt"/>
                    <a:ea typeface="+mn-ea"/>
                    <a:cs typeface="+mn-cs"/>
                  </a:defRPr>
                </a:pPr>
                <a:r>
                  <a:t/>
                </a:r>
                <a:endParaRPr lang="en-US"/>
              </a:p>
            </txPr>
            <dLblPos val="t"/>
            <showLegendKey val="0"/>
            <showVal val="1"/>
            <showCatName val="0"/>
            <showSerName val="0"/>
            <showPercent val="0"/>
            <showBubbleSize val="0"/>
            <showLeaderLines val="0"/>
          </dLbls>
          <cat>
            <numRef>
              <f>'Historical Stock Movement'!$H$18:$H$26</f>
              <numCache>
                <formatCode>mmm\-yy</formatCode>
                <ptCount val="9"/>
                <pt idx="0">
                  <v>45597</v>
                </pt>
                <pt idx="1">
                  <v>45627</v>
                </pt>
                <pt idx="2">
                  <v>45658</v>
                </pt>
                <pt idx="3">
                  <v>45689</v>
                </pt>
                <pt idx="4">
                  <v>45717</v>
                </pt>
                <pt idx="5">
                  <v>45748</v>
                </pt>
                <pt idx="6">
                  <v>45778</v>
                </pt>
                <pt idx="7">
                  <v>45809</v>
                </pt>
                <pt idx="8">
                  <v>45839</v>
                </pt>
              </numCache>
            </numRef>
          </cat>
          <val>
            <numRef>
              <f>'Historical Stock Movement'!$I$18:$I$26</f>
              <numCache>
                <formatCode>General</formatCode>
                <ptCount val="9"/>
                <pt idx="0">
                  <v>75.34</v>
                </pt>
                <pt idx="1">
                  <v>83.84</v>
                </pt>
                <pt idx="2">
                  <v>81.15000000000001</v>
                </pt>
                <pt idx="3">
                  <v>73.01000000000001</v>
                </pt>
                <pt idx="4">
                  <v>78.01000000000001</v>
                </pt>
                <pt idx="5">
                  <v>81.45999999999999</v>
                </pt>
                <pt idx="6">
                  <v>92.28</v>
                </pt>
                <pt idx="7">
                  <v>81.81</v>
                </pt>
                <pt idx="8">
                  <v>82.02</v>
                </pt>
              </numCache>
            </numRef>
          </val>
          <smooth val="0"/>
        </ser>
        <dLbls>
          <showLegendKey val="0"/>
          <showVal val="0"/>
          <showCatName val="0"/>
          <showSerName val="0"/>
          <showPercent val="0"/>
          <showBubbleSize val="0"/>
        </dLbls>
        <marker val="1"/>
        <smooth val="0"/>
        <axId val="666635983"/>
        <axId val="666637423"/>
      </lineChart>
      <dateAx>
        <axId val="666639343"/>
        <scaling>
          <orientation val="minMax"/>
        </scaling>
        <delete val="1"/>
        <axPos val="b"/>
        <numFmt formatCode="mmm\-yy" sourceLinked="1"/>
        <majorTickMark val="out"/>
        <minorTickMark val="none"/>
        <tickLblPos val="nextTo"/>
        <crossAx val="666630223"/>
        <crosses val="autoZero"/>
        <lblOffset val="100"/>
        <baseTimeUnit val="months"/>
      </dateAx>
      <valAx>
        <axId val="666630223"/>
        <scaling>
          <orientation val="minMax"/>
        </scaling>
        <delete val="0"/>
        <axPos val="r"/>
        <numFmt formatCode="#,##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r>
              <a:t/>
            </a:r>
            <a:endParaRPr lang="en-US"/>
          </a:p>
        </txPr>
        <crossAx val="666639343"/>
        <crosses val="max"/>
        <crossBetween val="between"/>
        <dispUnits>
          <builtInUnit val="millions"/>
          <dispUnitsLbl>
            <layout>
              <manualLayout>
                <xMode val="edge"/>
                <yMode val="edge"/>
                <wMode val="factor"/>
                <hMode val="factor"/>
                <x val="0.9327637795275591"/>
                <y val="0.33375"/>
              </manualLayout>
            </layout>
            <spPr>
              <a:noFill/>
              <a:ln>
                <a:noFill/>
                <a:prstDash val="solid"/>
              </a:ln>
            </spPr>
            <txPr>
              <a:bodyPr rot="-5400000" spcFirstLastPara="1" vertOverflow="ellipsis" vert="horz" wrap="square" anchor="ctr" anchorCtr="1"/>
              <a:lstStyle/>
              <a:p>
                <a:pPr>
                  <a:defRPr sz="1000" b="0" i="0" strike="noStrike" kern="1200" baseline="0">
                    <a:solidFill>
                      <a:sysClr val="windowText" lastClr="000000"/>
                    </a:solidFill>
                    <a:latin typeface="+mn-lt"/>
                    <a:ea typeface="+mn-ea"/>
                    <a:cs typeface="+mn-cs"/>
                  </a:defRPr>
                </a:pPr>
                <a:r>
                  <a:t/>
                </a:r>
                <a:endParaRPr lang="en-US"/>
              </a:p>
            </txPr>
          </dispUnitsLbl>
        </dispUnits>
      </valAx>
      <dateAx>
        <axId val="666635983"/>
        <scaling>
          <orientation val="minMax"/>
        </scaling>
        <delete val="0"/>
        <axPos val="b"/>
        <numFmt formatCode="mmm\-yy" sourceLinked="1"/>
        <majorTickMark val="out"/>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r>
              <a:t/>
            </a:r>
            <a:endParaRPr lang="en-US"/>
          </a:p>
        </txPr>
        <crossAx val="666637423"/>
        <crosses val="autoZero"/>
        <lblOffset val="100"/>
        <baseTimeUnit val="months"/>
      </dateAx>
      <valAx>
        <axId val="666637423"/>
        <scaling>
          <orientation val="minMax"/>
          <min val="70"/>
        </scaling>
        <delete val="0"/>
        <axPos val="l"/>
        <numFmt formatCode="General"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r>
              <a:t/>
            </a:r>
            <a:endParaRPr lang="en-US"/>
          </a:p>
        </txPr>
        <crossAx val="666635983"/>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ysClr val="windowText" lastClr="000000"/>
              </a:solidFill>
              <a:latin typeface="+mn-lt"/>
              <a:ea typeface="+mn-ea"/>
              <a:cs typeface="+mn-cs"/>
            </a:defRPr>
          </a:pPr>
          <a:r>
            <a:t/>
          </a:r>
          <a:endParaRPr lang="en-US"/>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tc={38350067-E826-429B-B772-E24C68C730FF}</author>
    <author>tc={F97EA9E6-D403-484C-84FC-3A224521541D}</author>
    <author>tc={11066836-7B06-4D72-889F-B49F8E7E3889}</author>
  </authors>
  <commentList>
    <comment ref="B4" authorId="0" shapeId="0">
      <text>
        <t xml:space="preserve">[Threaded comment]
Your version of Excel allows you to read this threaded comment; however, any edits to it will get removed if the file is opened in a newer version of Excel. Learn more: https://go.microsoft.com/fwlink/?linkid=870924
Comment:
    IRDAI </t>
      </text>
    </comment>
    <comment ref="B11" authorId="1" shapeId="0">
      <text>
        <t>[Threaded comment]
Your version of Excel allows you to read this threaded comment; however, any edits to it will get removed if the file is opened in a newer version of Excel. Learn more: https://go.microsoft.com/fwlink/?linkid=870924
Comment:
    &lt;&lt; Niva Bupa, Star, Care, Manipal Cigna and Aditya Birla</t>
      </text>
    </comment>
    <comment ref="B13" authorId="2" shapeId="0">
      <text>
        <t>[Threaded comment]
Your version of Excel allows you to read this threaded comment; however, any edits to it will get removed if the file is opened in a newer version of Excel. Learn more: https://go.microsoft.com/fwlink/?linkid=870924
Comment:
    &lt;&lt; National Insurance, New India, Oriental and United India</t>
      </text>
    </comment>
  </commentList>
</comments>
</file>

<file path=xl/comments/comment2.xml><?xml version="1.0" encoding="utf-8"?>
<comments xmlns="http://schemas.openxmlformats.org/spreadsheetml/2006/main">
  <authors>
    <author>tc={D6F9CE0C-8A5F-4325-B962-AF01056E6C76}</author>
  </authors>
  <commentList>
    <comment ref="B1" authorId="0" shapeId="0">
      <text>
        <t>[Threaded comment]
Your version of Excel allows you to read this threaded comment; however, any edits to it will get removed if the file is opened in a newer version of Excel. Learn more: https://go.microsoft.com/fwlink/?linkid=870924
Comment:
    IRDAI</t>
      </text>
    </comment>
  </commentList>
</comments>
</file>

<file path=xl/comments/comment3.xml><?xml version="1.0" encoding="utf-8"?>
<comments xmlns="http://schemas.openxmlformats.org/spreadsheetml/2006/main">
  <authors>
    <author>tc={871AAAD9-CBF9-4673-8025-38FFC49C9A73}</author>
    <author>tc={C6457C4C-8E13-4BE2-B772-5D00E792C818}</author>
  </authors>
  <commentList>
    <comment ref="B5" authorId="0" shapeId="0">
      <text>
        <t>[Threaded comment]
Your version of Excel allows you to read this threaded comment; however, any edits to it will get removed if the file is opened in a newer version of Excel. Learn more: https://go.microsoft.com/fwlink/?linkid=870924
Comment:
    IRDAI</t>
      </text>
    </comment>
    <comment ref="B11" authorId="1" shapeId="0">
      <text>
        <t>[Threaded comment]
Your version of Excel allows you to read this threaded comment; however, any edits to it will get removed if the file is opened in a newer version of Excel. Learn more: https://go.microsoft.com/fwlink/?linkid=870924
Comment:
    NL Return Form (Public Disclosure)Company Quarterly Presentations</t>
      </text>
    </comment>
  </commentList>
</comments>
</file>

<file path=xl/comments/comment4.xml><?xml version="1.0" encoding="utf-8"?>
<comments xmlns="http://schemas.openxmlformats.org/spreadsheetml/2006/main">
  <authors>
    <author>tc={0BF74F92-91D7-4A29-933F-3F6268A82471}</author>
  </authors>
  <commentList>
    <comment ref="B3" authorId="0" shapeId="0">
      <text>
        <t>[Threaded comment]
Your version of Excel allows you to read this threaded comment; however, any edits to it will get removed if the file is opened in a newer version of Excel. Learn more: https://go.microsoft.com/fwlink/?linkid=870924
Comment:
    Trendlyne but not exhaustive</t>
      </text>
    </comment>
  </commentList>
</comments>
</file>

<file path=xl/comments/comment5.xml><?xml version="1.0" encoding="utf-8"?>
<comments xmlns="http://schemas.openxmlformats.org/spreadsheetml/2006/main">
  <authors>
    <author>tc={ACCE40C1-C4D1-44E9-9DF9-D387E31B400D}</author>
  </authors>
  <commentList>
    <comment ref="B2" authorId="0" shapeId="0">
      <text>
        <t>[Threaded comment]
Your version of Excel allows you to read this threaded comment; however, any edits to it will get removed if the file is opened in a newer version of Excel. Learn more: https://go.microsoft.com/fwlink/?linkid=870924
Comment:
    BSE website &amp; Screener</t>
      </text>
    </comment>
  </commentList>
</comments>
</file>

<file path=xl/comments/comment6.xml><?xml version="1.0" encoding="utf-8"?>
<comments xmlns="http://schemas.openxmlformats.org/spreadsheetml/2006/main">
  <authors>
    <author>tc={DFA34F1A-0170-49C5-9606-C30FF55BE973}</author>
  </authors>
  <commentList>
    <comment ref="B3" authorId="0" shapeId="0">
      <text>
        <t>[Threaded comment]
Your version of Excel allows you to read this threaded comment; however, any edits to it will get removed if the file is opened in a newer version of Excel. Learn more: https://go.microsoft.com/fwlink/?linkid=870924
Comment:
    NL Return</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0</colOff>
      <row>0</row>
      <rowOff>131379</rowOff>
    </from>
    <to>
      <col>12</col>
      <colOff>457200</colOff>
      <row>14</row>
      <rowOff>165100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Prasanna%20Surana\Downloads\segment_april_2025.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Health Portfolio"/>
      <sheetName val="Liability Portfolio"/>
      <sheetName val="Miscellaneous portfolio"/>
      <sheetName val="Segmentwise Report"/>
    </sheetNames>
    <sheetDataSet>
      <sheetData sheetId="0">
        <row r="7">
          <cell r="B7">
            <v>81.92</v>
          </cell>
          <cell r="F7">
            <v>645.91</v>
          </cell>
        </row>
        <row r="8">
          <cell r="B8">
            <v>68.760000000000005</v>
          </cell>
          <cell r="F8">
            <v>715.7</v>
          </cell>
        </row>
        <row r="15">
          <cell r="B15">
            <v>292.41000000000003</v>
          </cell>
          <cell r="F15">
            <v>612.1</v>
          </cell>
        </row>
        <row r="16">
          <cell r="B16">
            <v>276.92</v>
          </cell>
          <cell r="F16">
            <v>552.22</v>
          </cell>
        </row>
        <row r="17">
          <cell r="B17">
            <v>117.51</v>
          </cell>
          <cell r="F17">
            <v>1179.08</v>
          </cell>
        </row>
        <row r="18">
          <cell r="B18">
            <v>87.92</v>
          </cell>
          <cell r="F18">
            <v>1109.57</v>
          </cell>
        </row>
        <row r="29">
          <cell r="B29">
            <v>201.77</v>
          </cell>
          <cell r="F29">
            <v>620.73</v>
          </cell>
        </row>
        <row r="30">
          <cell r="B30">
            <v>186.77</v>
          </cell>
          <cell r="F30">
            <v>555.28</v>
          </cell>
        </row>
        <row r="35">
          <cell r="B35">
            <v>31.12</v>
          </cell>
          <cell r="F35">
            <v>391.6</v>
          </cell>
        </row>
        <row r="36">
          <cell r="B36">
            <v>31.15</v>
          </cell>
          <cell r="F36">
            <v>372.2</v>
          </cell>
        </row>
        <row r="39">
          <cell r="B39">
            <v>20.32</v>
          </cell>
          <cell r="F39">
            <v>444.95</v>
          </cell>
        </row>
        <row r="40">
          <cell r="B40">
            <v>28.45</v>
          </cell>
          <cell r="F40">
            <v>227.15</v>
          </cell>
        </row>
        <row r="45">
          <cell r="B45">
            <v>290.39</v>
          </cell>
          <cell r="F45">
            <v>3411.7</v>
          </cell>
        </row>
        <row r="46">
          <cell r="B46">
            <v>269.58</v>
          </cell>
          <cell r="F46">
            <v>3216.88</v>
          </cell>
        </row>
        <row r="47">
          <cell r="B47">
            <v>159.05000000000001</v>
          </cell>
          <cell r="F47">
            <v>1020.35</v>
          </cell>
        </row>
        <row r="48">
          <cell r="B48">
            <v>144.94</v>
          </cell>
          <cell r="F48">
            <v>630.57000000000005</v>
          </cell>
        </row>
        <row r="49">
          <cell r="B49">
            <v>133.44999999999999</v>
          </cell>
          <cell r="F49">
            <v>837.94</v>
          </cell>
        </row>
        <row r="50">
          <cell r="B50">
            <v>123.46</v>
          </cell>
          <cell r="F50">
            <v>1060.53</v>
          </cell>
        </row>
        <row r="59">
          <cell r="B59">
            <v>322.86</v>
          </cell>
          <cell r="F59">
            <v>475.51</v>
          </cell>
        </row>
        <row r="60">
          <cell r="B60">
            <v>290.48</v>
          </cell>
          <cell r="F60">
            <v>434.7</v>
          </cell>
        </row>
        <row r="61">
          <cell r="B61">
            <v>109.05</v>
          </cell>
          <cell r="F61">
            <v>430.13</v>
          </cell>
        </row>
        <row r="62">
          <cell r="B62">
            <v>95.11</v>
          </cell>
          <cell r="F62">
            <v>339.91</v>
          </cell>
        </row>
        <row r="63">
          <cell r="B63">
            <v>387.85</v>
          </cell>
          <cell r="F63">
            <v>710.6</v>
          </cell>
        </row>
        <row r="64">
          <cell r="B64">
            <v>340.42</v>
          </cell>
          <cell r="F64">
            <v>651.73</v>
          </cell>
        </row>
        <row r="65">
          <cell r="B65">
            <v>2.17</v>
          </cell>
          <cell r="F65">
            <v>3.06</v>
          </cell>
        </row>
        <row r="66">
          <cell r="B66">
            <v>0</v>
          </cell>
          <cell r="F66">
            <v>0</v>
          </cell>
        </row>
        <row r="67">
          <cell r="B67">
            <v>64.95</v>
          </cell>
          <cell r="F67">
            <v>180.61</v>
          </cell>
        </row>
        <row r="68">
          <cell r="B68">
            <v>54.1</v>
          </cell>
          <cell r="F68">
            <v>158.66999999999999</v>
          </cell>
        </row>
        <row r="69">
          <cell r="B69">
            <v>0.4</v>
          </cell>
          <cell r="F69">
            <v>0.4</v>
          </cell>
        </row>
        <row r="70">
          <cell r="B70">
            <v>0</v>
          </cell>
          <cell r="F70">
            <v>0</v>
          </cell>
        </row>
        <row r="71">
          <cell r="B71">
            <v>996.68</v>
          </cell>
          <cell r="F71">
            <v>1050.53</v>
          </cell>
        </row>
        <row r="72">
          <cell r="B72">
            <v>898.13</v>
          </cell>
          <cell r="F72">
            <v>1003.01</v>
          </cell>
        </row>
        <row r="76">
          <cell r="B76">
            <v>3412.5299999999997</v>
          </cell>
          <cell r="F76">
            <v>13891.42</v>
          </cell>
        </row>
        <row r="77">
          <cell r="B77">
            <v>3091.5600000000004</v>
          </cell>
          <cell r="F77">
            <v>12536.310000000001</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002060"/>
      </a:accent1>
      <a:accent2>
        <a:srgbClr val="D0D0D0"/>
      </a:accent2>
      <a:accent3>
        <a:srgbClr val="DBE9F7"/>
      </a:accent3>
      <a:accent4>
        <a:srgbClr val="0F9ED5"/>
      </a:accent4>
      <a:accent5>
        <a:srgbClr val="A02B93"/>
      </a:accent5>
      <a:accent6>
        <a:srgbClr val="4EA72E"/>
      </a:accent6>
      <a:hlink>
        <a:srgbClr val="467886"/>
      </a:hlink>
      <a:folHlink>
        <a:srgbClr val="96607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hyperlink" Target="https://www.moneycontrol.com/news/opinion/full-gst-exemption-on-life-and-health-insurance-policies-will-be-a-mixed-blessing-13495606.html" TargetMode="External" Id="rId1" /><Relationship Type="http://schemas.openxmlformats.org/officeDocument/2006/relationships/hyperlink" Target="https://timesofindia.indiatimes.com/business/india-business/bupa-weighs-foray-into-private-hospitals-market-in-india/articleshow/121713883.cms" TargetMode="External" Id="rId2" /><Relationship Type="http://schemas.openxmlformats.org/officeDocument/2006/relationships/hyperlink" Target="https://economictimes.indiatimes.com/industry/banking/finance/insure/star-health-to-focus-on-retail-in-bid-to-grow-premiums/articleshow/121299740.cms" TargetMode="External" Id="rId3" /><Relationship Type="http://schemas.openxmlformats.org/officeDocument/2006/relationships/hyperlink" Target="https://www.business-standard.com/content/press-releases-ani/star-health-announces-new-board-appointments-125051300623_1.html" TargetMode="External" Id="rId4" /><Relationship Type="http://schemas.openxmlformats.org/officeDocument/2006/relationships/hyperlink" Target="https://www.exchange4media.com/people-movement-news/star-health-appoints-rajeev-kher-as-chairperson-of-the-board-143156.html" TargetMode="External" Id="rId5" /><Relationship Type="http://schemas.openxmlformats.org/officeDocument/2006/relationships/hyperlink" Target="https://www.reuters.com/world/india/india-insurers-look-hike-health-premiums-pollution-stings-2025-02-21/" TargetMode="External" Id="rId6" /><Relationship Type="http://schemas.openxmlformats.org/officeDocument/2006/relationships/hyperlink" Target="https://www.moneycontrol.com/banking/insurance-amendment-bill-likely-in-monsoon-session-composite-licenses-and-nod-for-100-fdi-on-cards-article-13035037.html" TargetMode="External" Id="rId7" /><Relationship Type="http://schemas.openxmlformats.org/officeDocument/2006/relationships/hyperlink" Target="https://www.business-standard.com/finance/insurance/bima-sugam-is-a-game-changer-says-irdai-chairman-debasish-panda-124112601236_1.html" TargetMode="External" Id="rId8" /><Relationship Type="http://schemas.openxmlformats.org/officeDocument/2006/relationships/hyperlink" Target="https://economictimes.indiatimes.com/?back=1" TargetMode="External" Id="rId9" /><Relationship Type="http://schemas.openxmlformats.org/officeDocument/2006/relationships/hyperlink" Target="https://economictimes.indiatimes.com/industry/banking/finance/insure/gom-report-on-gst-on-health-insurance-to-be-placed-before-council-when-received-finance-ministry/articleshow/115657199.cms" TargetMode="External" Id="rId10" /><Relationship Type="http://schemas.openxmlformats.org/officeDocument/2006/relationships/hyperlink" Target="https://economictimes.indiatimes.com/industry/banking/finance/insure/central-bank-of-india-gets-rbi-nod-to-enter-insurance-biz-through-jv-with-generali-group/articleshow/115566258.cms" TargetMode="External" Id="rId11" /></Relationships>
</file>

<file path=xl/worksheets/_rels/sheet1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002060"/>
    <outlinePr summaryBelow="1" summaryRight="1"/>
    <pageSetUpPr fitToPage="1"/>
  </sheetPr>
  <dimension ref="A2:T68"/>
  <sheetViews>
    <sheetView showGridLines="0" view="pageBreakPreview" topLeftCell="B1" zoomScale="85" zoomScaleNormal="115" zoomScaleSheetLayoutView="85" workbookViewId="0">
      <pane xSplit="1" ySplit="3" topLeftCell="G57" activePane="bottomRight" state="frozen"/>
      <selection activeCell="E9" sqref="E9"/>
      <selection pane="topRight" activeCell="E9" sqref="E9"/>
      <selection pane="bottomLeft" activeCell="E9" sqref="E9"/>
      <selection pane="bottomRight" activeCell="B10" sqref="B10"/>
    </sheetView>
  </sheetViews>
  <sheetFormatPr baseColWidth="8" defaultColWidth="8.7265625" defaultRowHeight="14.5" outlineLevelRow="1"/>
  <cols>
    <col width="3" bestFit="1" customWidth="1" style="82" min="1" max="1"/>
    <col width="22.54296875" customWidth="1" style="82" min="2" max="2"/>
    <col hidden="1" width="10.453125" customWidth="1" style="82" min="3" max="6"/>
    <col width="10.453125" customWidth="1" style="82" min="7" max="14"/>
    <col width="10.7265625" customWidth="1" style="82" min="15" max="15"/>
    <col width="10.1796875" customWidth="1" style="82" min="16" max="16"/>
    <col width="11.1796875" bestFit="1" customWidth="1" style="82" min="17" max="17"/>
    <col width="10.7265625" bestFit="1" customWidth="1" style="82" min="18" max="18"/>
    <col width="4.81640625" customWidth="1" style="82" min="19" max="19"/>
    <col width="99.36328125" customWidth="1" style="82" min="20" max="20"/>
    <col width="8.7265625" customWidth="1" style="82" min="21" max="16384"/>
  </cols>
  <sheetData>
    <row r="2">
      <c r="A2" s="79" t="inlineStr">
        <is>
          <t>xx</t>
        </is>
      </c>
      <c r="B2" s="79" t="inlineStr">
        <is>
          <t>General Insurance Industry Growth (INR cr)</t>
        </is>
      </c>
      <c r="C2" s="80" t="n"/>
      <c r="D2" s="80" t="n"/>
      <c r="E2" s="80" t="n"/>
      <c r="F2" s="80" t="n"/>
      <c r="G2" s="80" t="n"/>
      <c r="H2" s="80" t="n"/>
      <c r="I2" s="80" t="n"/>
      <c r="J2" s="80" t="n"/>
      <c r="K2" s="80" t="n"/>
      <c r="L2" s="80" t="n"/>
      <c r="M2" s="357" t="n"/>
      <c r="N2" s="80" t="n"/>
      <c r="O2" s="80" t="n"/>
      <c r="P2" s="80" t="n"/>
      <c r="Q2" s="80" t="n"/>
      <c r="R2" s="80" t="n"/>
      <c r="S2" s="81" t="n"/>
    </row>
    <row r="3" ht="29" customHeight="1">
      <c r="A3" s="79" t="n"/>
      <c r="B3" s="83" t="inlineStr">
        <is>
          <t>Segments</t>
        </is>
      </c>
      <c r="C3" s="419" t="n">
        <v>15</v>
      </c>
      <c r="D3" s="419">
        <f>C3+1</f>
        <v/>
      </c>
      <c r="E3" s="419">
        <f>D3+1</f>
        <v/>
      </c>
      <c r="F3" s="419">
        <f>E3+1</f>
        <v/>
      </c>
      <c r="G3" s="419">
        <f>F3+1</f>
        <v/>
      </c>
      <c r="H3" s="419">
        <f>G3+1</f>
        <v/>
      </c>
      <c r="I3" s="419">
        <f>H3+1</f>
        <v/>
      </c>
      <c r="J3" s="419">
        <f>I3+1</f>
        <v/>
      </c>
      <c r="K3" s="419">
        <f>J3+1</f>
        <v/>
      </c>
      <c r="L3" s="419">
        <f>K3+1</f>
        <v/>
      </c>
      <c r="M3" s="419">
        <f>L3+1</f>
        <v/>
      </c>
      <c r="N3" s="419">
        <f>M3+1</f>
        <v/>
      </c>
      <c r="O3" s="85" t="inlineStr">
        <is>
          <t>FY23 Mix %</t>
        </is>
      </c>
      <c r="P3" s="85" t="inlineStr">
        <is>
          <t>FY26 Mix %</t>
        </is>
      </c>
      <c r="Q3" s="86" t="inlineStr">
        <is>
          <t>YoY growth</t>
        </is>
      </c>
      <c r="R3" s="86" t="inlineStr">
        <is>
          <t>CAGR (FY23-26)</t>
        </is>
      </c>
      <c r="S3" s="81" t="n"/>
      <c r="T3" s="123" t="inlineStr">
        <is>
          <t>Key observations - General Insurance</t>
        </is>
      </c>
    </row>
    <row r="4">
      <c r="B4" s="87" t="inlineStr">
        <is>
          <t>Health Insurance</t>
        </is>
      </c>
      <c r="C4" s="74" t="n">
        <v>20615</v>
      </c>
      <c r="D4" s="74" t="n">
        <v>25037</v>
      </c>
      <c r="E4" s="74" t="n">
        <v>31164</v>
      </c>
      <c r="F4" s="74" t="n">
        <v>37711.79</v>
      </c>
      <c r="G4" s="74" t="n">
        <v>45488.91</v>
      </c>
      <c r="H4" s="74" t="n">
        <v>51674.49000000001</v>
      </c>
      <c r="I4" s="74" t="n">
        <v>58572.46</v>
      </c>
      <c r="J4" s="74" t="n">
        <v>73598.14</v>
      </c>
      <c r="K4" s="74" t="n">
        <v>90651.64</v>
      </c>
      <c r="L4" s="74" t="n">
        <v>108911.39</v>
      </c>
      <c r="M4" s="74" t="n">
        <v>118687.94</v>
      </c>
      <c r="N4" s="88" t="n">
        <v>137144.46</v>
      </c>
      <c r="O4" s="143">
        <f>K4/K$7</f>
        <v/>
      </c>
      <c r="P4" s="89">
        <f>N4/N$7</f>
        <v/>
      </c>
      <c r="Q4" s="90">
        <f>N4/M4-1</f>
        <v/>
      </c>
      <c r="R4" s="90">
        <f>(N4/K4)^(1/3)-1</f>
        <v/>
      </c>
      <c r="S4" s="81" t="n"/>
      <c r="T4" s="353" t="inlineStr">
        <is>
          <t>1. General Insurance industry has grown by 9.3% in FY26 (compared to ~6.2% in FY25)</t>
        </is>
      </c>
    </row>
    <row r="5">
      <c r="B5" s="91" t="inlineStr">
        <is>
          <t>Motor Insurance</t>
        </is>
      </c>
      <c r="C5" s="92">
        <f>20755+18006</f>
        <v/>
      </c>
      <c r="D5" s="92">
        <f>22731+21293</f>
        <v/>
      </c>
      <c r="E5" s="92">
        <f>25160+26649</f>
        <v/>
      </c>
      <c r="F5" s="92" t="n">
        <v>59247.97000000001</v>
      </c>
      <c r="G5" s="92" t="n">
        <v>64454.85999999999</v>
      </c>
      <c r="H5" s="92" t="n">
        <v>68950.93000000001</v>
      </c>
      <c r="I5" s="92" t="n">
        <v>67790.01000000001</v>
      </c>
      <c r="J5" s="92" t="n">
        <v>70433.48</v>
      </c>
      <c r="K5" s="92" t="n">
        <v>81280.03146170001</v>
      </c>
      <c r="L5" s="92" t="n">
        <v>91780.53000000001</v>
      </c>
      <c r="M5" s="92" t="n">
        <v>99065.81999999999</v>
      </c>
      <c r="N5" s="93" t="n">
        <v>108216.08</v>
      </c>
      <c r="O5" s="94">
        <f>K5/K$7</f>
        <v/>
      </c>
      <c r="P5" s="94">
        <f>N5/N$7</f>
        <v/>
      </c>
      <c r="Q5" s="95">
        <f>N5/M5-1</f>
        <v/>
      </c>
      <c r="R5" s="95">
        <f>(N5/K5)^(1/3)-1</f>
        <v/>
      </c>
      <c r="S5" s="81" t="n"/>
      <c r="T5" s="356" t="inlineStr">
        <is>
          <t xml:space="preserve">2. 2y CAGR for Health insurance segment is at 14.8% even after 1/n which impacted FY25 </t>
        </is>
      </c>
    </row>
    <row r="6">
      <c r="B6" s="91" t="inlineStr">
        <is>
          <t>Others</t>
        </is>
      </c>
      <c r="C6" s="92">
        <f>C7-SUM(C4:C5)</f>
        <v/>
      </c>
      <c r="D6" s="92">
        <f>D7-SUM(D4:D5)</f>
        <v/>
      </c>
      <c r="E6" s="92">
        <f>E7-SUM(E4:E5)</f>
        <v/>
      </c>
      <c r="F6" s="92">
        <f>F7-SUM(F4:F5)</f>
        <v/>
      </c>
      <c r="G6" s="92">
        <f>G7-SUM(G4:G5)</f>
        <v/>
      </c>
      <c r="H6" s="92">
        <f>H7-SUM(H4:H5)</f>
        <v/>
      </c>
      <c r="I6" s="92">
        <f>I7-SUM(I4:I5)</f>
        <v/>
      </c>
      <c r="J6" s="92">
        <f>J7-SUM(J4:J5)</f>
        <v/>
      </c>
      <c r="K6" s="92">
        <f>K7-SUM(K4:K5)</f>
        <v/>
      </c>
      <c r="L6" s="92">
        <f>L7-SUM(L4:L5)</f>
        <v/>
      </c>
      <c r="M6" s="92">
        <f>M7-SUM(M4:M5)</f>
        <v/>
      </c>
      <c r="N6" s="332">
        <f>N7-SUM(N4:N5)</f>
        <v/>
      </c>
      <c r="O6" s="94">
        <f>K6/K$7</f>
        <v/>
      </c>
      <c r="P6" s="94">
        <f>N6/N$7</f>
        <v/>
      </c>
      <c r="Q6" s="95">
        <f>N6/M6-1</f>
        <v/>
      </c>
      <c r="R6" s="95">
        <f>(N6/K6)^(1/3)-1</f>
        <v/>
      </c>
      <c r="S6" s="81" t="n"/>
      <c r="T6" s="124" t="n"/>
    </row>
    <row r="7">
      <c r="B7" s="96" t="inlineStr">
        <is>
          <t>Total</t>
        </is>
      </c>
      <c r="C7" s="97" t="n">
        <v>90365</v>
      </c>
      <c r="D7" s="97" t="n">
        <v>102396</v>
      </c>
      <c r="E7" s="97" t="n">
        <v>134177</v>
      </c>
      <c r="F7" s="97" t="n">
        <v>150592.78</v>
      </c>
      <c r="G7" s="97" t="n">
        <v>169964.96</v>
      </c>
      <c r="H7" s="97" t="n">
        <v>188915.94</v>
      </c>
      <c r="I7" s="97" t="n">
        <v>198724.2100000001</v>
      </c>
      <c r="J7" s="97" t="n">
        <v>220700.22</v>
      </c>
      <c r="K7" s="97" t="n">
        <v>256894.2500466</v>
      </c>
      <c r="L7" s="97" t="n">
        <v>289673.05</v>
      </c>
      <c r="M7" s="97" t="n">
        <v>307659.4100000001</v>
      </c>
      <c r="N7" s="98" t="n">
        <v>336122.68</v>
      </c>
      <c r="O7" s="99">
        <f>K7/K$7</f>
        <v/>
      </c>
      <c r="P7" s="99">
        <f>N7/N$7</f>
        <v/>
      </c>
      <c r="Q7" s="100">
        <f>N7/M7-1</f>
        <v/>
      </c>
      <c r="R7" s="100">
        <f>(N7/K7)^(1/3)-1</f>
        <v/>
      </c>
      <c r="S7" s="81" t="n"/>
      <c r="T7" s="124" t="n"/>
    </row>
    <row r="8">
      <c r="D8" s="141" t="n"/>
      <c r="E8" s="141" t="n"/>
      <c r="F8" s="141" t="n"/>
      <c r="G8" s="141" t="n"/>
      <c r="H8" s="141" t="n"/>
      <c r="S8" s="81" t="n"/>
      <c r="T8" s="124" t="n"/>
    </row>
    <row r="9">
      <c r="A9" s="79" t="inlineStr">
        <is>
          <t>xx</t>
        </is>
      </c>
      <c r="B9" s="79" t="inlineStr">
        <is>
          <t>Health Insurance Segmental Growth (INR cr)</t>
        </is>
      </c>
      <c r="C9" s="80" t="n"/>
      <c r="D9" s="80" t="n"/>
      <c r="E9" s="80" t="n"/>
      <c r="F9" s="80" t="n"/>
      <c r="G9" s="80" t="n"/>
      <c r="H9" s="80" t="n"/>
      <c r="I9" s="80" t="n"/>
      <c r="J9" s="80" t="n"/>
      <c r="K9" s="357" t="n"/>
      <c r="L9" s="357" t="n"/>
      <c r="M9" s="357" t="n"/>
      <c r="N9" s="357" t="n"/>
      <c r="O9" s="80" t="n"/>
      <c r="P9" s="80" t="n"/>
      <c r="Q9" s="80" t="n"/>
      <c r="R9" s="80" t="n"/>
      <c r="S9" s="81" t="n"/>
      <c r="T9" s="124" t="n"/>
    </row>
    <row r="10" ht="29" customHeight="1">
      <c r="A10" s="79" t="n"/>
      <c r="B10" s="83" t="inlineStr">
        <is>
          <t>Segments</t>
        </is>
      </c>
      <c r="C10" s="419" t="n">
        <v>15</v>
      </c>
      <c r="D10" s="419">
        <f>C10+1</f>
        <v/>
      </c>
      <c r="E10" s="419">
        <f>D10+1</f>
        <v/>
      </c>
      <c r="F10" s="419">
        <f>E10+1</f>
        <v/>
      </c>
      <c r="G10" s="419">
        <f>F10+1</f>
        <v/>
      </c>
      <c r="H10" s="419">
        <f>G10+1</f>
        <v/>
      </c>
      <c r="I10" s="419">
        <f>H10+1</f>
        <v/>
      </c>
      <c r="J10" s="419">
        <f>I10+1</f>
        <v/>
      </c>
      <c r="K10" s="419">
        <f>J10+1</f>
        <v/>
      </c>
      <c r="L10" s="419">
        <f>K10+1</f>
        <v/>
      </c>
      <c r="M10" s="419">
        <f>L10+1</f>
        <v/>
      </c>
      <c r="N10" s="419">
        <f>M10+1</f>
        <v/>
      </c>
      <c r="O10" s="85" t="inlineStr">
        <is>
          <t>FY23 Mix %</t>
        </is>
      </c>
      <c r="P10" s="86" t="inlineStr">
        <is>
          <t>FY26 Mix %</t>
        </is>
      </c>
      <c r="Q10" s="86" t="inlineStr">
        <is>
          <t>YoY growth</t>
        </is>
      </c>
      <c r="R10" s="86" t="inlineStr">
        <is>
          <t>CAGR (FY23-26)</t>
        </is>
      </c>
      <c r="S10" s="81" t="n"/>
      <c r="T10" s="123" t="inlineStr">
        <is>
          <t>Key observations - Health Insurance</t>
        </is>
      </c>
    </row>
    <row r="11">
      <c r="B11" s="87" t="inlineStr">
        <is>
          <t>SAHI</t>
        </is>
      </c>
      <c r="C11" s="74" t="n">
        <v>2896</v>
      </c>
      <c r="D11" s="74" t="n">
        <v>4043</v>
      </c>
      <c r="E11" s="74" t="n">
        <v>5589</v>
      </c>
      <c r="F11" s="74">
        <f>F27</f>
        <v/>
      </c>
      <c r="G11" s="74">
        <f>G27</f>
        <v/>
      </c>
      <c r="H11" s="74">
        <f>H27</f>
        <v/>
      </c>
      <c r="I11" s="74">
        <f>I27</f>
        <v/>
      </c>
      <c r="J11" s="74">
        <f>J27</f>
        <v/>
      </c>
      <c r="K11" s="74">
        <f>K27</f>
        <v/>
      </c>
      <c r="L11" s="74">
        <f>L27</f>
        <v/>
      </c>
      <c r="M11" s="74">
        <f>M27</f>
        <v/>
      </c>
      <c r="N11" s="74">
        <f>N27</f>
        <v/>
      </c>
      <c r="O11" s="149">
        <f>K11/K$14</f>
        <v/>
      </c>
      <c r="P11" s="101">
        <f>N11/N$14</f>
        <v/>
      </c>
      <c r="Q11" s="90">
        <f>N11/M11-1</f>
        <v/>
      </c>
      <c r="R11" s="90">
        <f>(N11/K11)^(1/3)-1</f>
        <v/>
      </c>
      <c r="T11" s="353" t="inlineStr">
        <is>
          <t>1. SAHIs gaining market share in health insurance (28% in FY23 to 33% in FY26)</t>
        </is>
      </c>
    </row>
    <row r="12">
      <c r="B12" s="91" t="inlineStr">
        <is>
          <t>Private</t>
        </is>
      </c>
      <c r="C12" s="92" t="n"/>
      <c r="D12" s="92" t="n"/>
      <c r="E12" s="92" t="n"/>
      <c r="F12" s="92">
        <f>F14-F11-F13</f>
        <v/>
      </c>
      <c r="G12" s="92">
        <f>G14-G11-G13</f>
        <v/>
      </c>
      <c r="H12" s="92">
        <f>H14-H11-H13</f>
        <v/>
      </c>
      <c r="I12" s="92">
        <f>I14-I11-I13</f>
        <v/>
      </c>
      <c r="J12" s="92">
        <f>J14-J11-J13</f>
        <v/>
      </c>
      <c r="K12" s="92">
        <f>K14-K11-K13</f>
        <v/>
      </c>
      <c r="L12" s="92">
        <f>L14-L11-L13</f>
        <v/>
      </c>
      <c r="M12" s="92">
        <f>M14-M11-M13</f>
        <v/>
      </c>
      <c r="N12" s="92">
        <f>N14-N11-N13</f>
        <v/>
      </c>
      <c r="O12" s="102">
        <f>K12/K$14</f>
        <v/>
      </c>
      <c r="P12" s="102">
        <f>N12/N$14</f>
        <v/>
      </c>
      <c r="Q12" s="95">
        <f>N12/M12-1</f>
        <v/>
      </c>
      <c r="R12" s="95">
        <f>(N12/K12)^(1/3)-1</f>
        <v/>
      </c>
      <c r="S12" s="81" t="n"/>
      <c r="T12" s="353" t="inlineStr">
        <is>
          <t>2. Increase in market share for SAHIs and private coming from PSU market share loss</t>
        </is>
      </c>
    </row>
    <row r="13">
      <c r="B13" s="91" t="inlineStr">
        <is>
          <t>PSUs</t>
        </is>
      </c>
      <c r="C13" s="92" t="n"/>
      <c r="D13" s="92" t="n"/>
      <c r="E13" s="92" t="n"/>
      <c r="F13" s="92" t="n">
        <v>21538.29</v>
      </c>
      <c r="G13" s="92" t="n">
        <v>23518.95</v>
      </c>
      <c r="H13" s="92" t="n">
        <v>24652.07</v>
      </c>
      <c r="I13" s="92" t="n">
        <v>27272.02</v>
      </c>
      <c r="J13" s="92" t="n">
        <v>32954.79</v>
      </c>
      <c r="K13" s="92" t="n">
        <v>39078.11</v>
      </c>
      <c r="L13" s="92" t="n">
        <v>41012.02</v>
      </c>
      <c r="M13" s="92" t="n">
        <v>42245.22</v>
      </c>
      <c r="N13" s="92" t="n">
        <v>42245.22</v>
      </c>
      <c r="O13" s="102">
        <f>K13/K$14</f>
        <v/>
      </c>
      <c r="P13" s="102">
        <f>N13/N$14</f>
        <v/>
      </c>
      <c r="Q13" s="95">
        <f>N13/M13-1</f>
        <v/>
      </c>
      <c r="R13" s="95">
        <f>(N13/K13)^(1/3)-1</f>
        <v/>
      </c>
    </row>
    <row r="14">
      <c r="B14" s="96" t="inlineStr">
        <is>
          <t>Total</t>
        </is>
      </c>
      <c r="C14" s="97">
        <f>C4</f>
        <v/>
      </c>
      <c r="D14" s="97">
        <f>D4</f>
        <v/>
      </c>
      <c r="E14" s="97">
        <f>E4</f>
        <v/>
      </c>
      <c r="F14" s="97">
        <f>F4</f>
        <v/>
      </c>
      <c r="G14" s="97">
        <f>G4</f>
        <v/>
      </c>
      <c r="H14" s="97">
        <f>H4</f>
        <v/>
      </c>
      <c r="I14" s="97">
        <f>I4</f>
        <v/>
      </c>
      <c r="J14" s="97">
        <f>J4</f>
        <v/>
      </c>
      <c r="K14" s="97">
        <f>K4</f>
        <v/>
      </c>
      <c r="L14" s="97">
        <f>L4</f>
        <v/>
      </c>
      <c r="M14" s="97">
        <f>M4</f>
        <v/>
      </c>
      <c r="N14" s="97">
        <f>N4</f>
        <v/>
      </c>
      <c r="O14" s="103">
        <f>K14/K$14</f>
        <v/>
      </c>
      <c r="P14" s="103">
        <f>N14/N$14</f>
        <v/>
      </c>
      <c r="Q14" s="100">
        <f>N14/M14-1</f>
        <v/>
      </c>
      <c r="R14" s="100">
        <f>(N14/K14)^(1/3)-1</f>
        <v/>
      </c>
      <c r="S14" s="81" t="n"/>
      <c r="T14" s="124" t="n"/>
    </row>
    <row r="15">
      <c r="S15" s="81" t="n"/>
      <c r="T15" s="124" t="n"/>
    </row>
    <row r="16">
      <c r="A16" s="79" t="inlineStr">
        <is>
          <t>xx</t>
        </is>
      </c>
      <c r="B16" s="79" t="inlineStr">
        <is>
          <t>SAHI's growth (INR cr)</t>
        </is>
      </c>
      <c r="C16" s="80" t="n"/>
      <c r="D16" s="80" t="n"/>
      <c r="E16" s="80" t="n"/>
      <c r="F16" s="80" t="n"/>
      <c r="G16" s="80" t="n"/>
      <c r="H16" s="80" t="n"/>
      <c r="I16" s="80" t="n"/>
      <c r="J16" s="80" t="n"/>
      <c r="K16" s="80" t="n"/>
      <c r="L16" s="80" t="n"/>
      <c r="M16" s="80" t="n"/>
      <c r="N16" s="80" t="n"/>
      <c r="O16" s="80" t="n"/>
      <c r="P16" s="80" t="n"/>
      <c r="Q16" s="80" t="n"/>
      <c r="R16" s="80" t="n"/>
      <c r="S16" s="81" t="n"/>
      <c r="T16" s="124" t="n"/>
    </row>
    <row r="17" ht="29" customHeight="1">
      <c r="A17" s="79" t="n"/>
      <c r="B17" s="83" t="inlineStr">
        <is>
          <t>Insurer</t>
        </is>
      </c>
      <c r="C17" s="419" t="n">
        <v>15</v>
      </c>
      <c r="D17" s="419">
        <f>C17+1</f>
        <v/>
      </c>
      <c r="E17" s="419">
        <f>D17+1</f>
        <v/>
      </c>
      <c r="F17" s="419">
        <f>E17+1</f>
        <v/>
      </c>
      <c r="G17" s="419">
        <f>F17+1</f>
        <v/>
      </c>
      <c r="H17" s="419">
        <f>G17+1</f>
        <v/>
      </c>
      <c r="I17" s="419">
        <f>H17+1</f>
        <v/>
      </c>
      <c r="J17" s="419">
        <f>I17+1</f>
        <v/>
      </c>
      <c r="K17" s="419">
        <f>J17+1</f>
        <v/>
      </c>
      <c r="L17" s="419">
        <f>K17+1</f>
        <v/>
      </c>
      <c r="M17" s="419">
        <f>L17+1</f>
        <v/>
      </c>
      <c r="N17" s="419">
        <f>M17+1</f>
        <v/>
      </c>
      <c r="O17" s="86" t="inlineStr">
        <is>
          <t>FY23 Mix %</t>
        </is>
      </c>
      <c r="P17" s="86" t="inlineStr">
        <is>
          <t>Market share FY26</t>
        </is>
      </c>
      <c r="Q17" s="86" t="inlineStr">
        <is>
          <t>YoY growth</t>
        </is>
      </c>
      <c r="R17" s="86" t="inlineStr">
        <is>
          <t>CAGR (FY23-26)</t>
        </is>
      </c>
      <c r="S17" s="81" t="n"/>
      <c r="T17" s="123" t="inlineStr">
        <is>
          <t>Key observations - SAHI Growth</t>
        </is>
      </c>
    </row>
    <row r="18" ht="14.5" customHeight="1">
      <c r="A18" s="79" t="n"/>
      <c r="B18" s="104" t="inlineStr">
        <is>
          <t>Star Health</t>
        </is>
      </c>
      <c r="C18" s="420" t="n"/>
      <c r="D18" s="420" t="n"/>
      <c r="E18" s="420" t="n"/>
      <c r="F18" s="420" t="n">
        <v>4044.65</v>
      </c>
      <c r="G18" s="420" t="n">
        <v>5286.46</v>
      </c>
      <c r="H18" s="420" t="n">
        <v>6731.420000000001</v>
      </c>
      <c r="I18" s="420" t="n">
        <v>9204.49</v>
      </c>
      <c r="J18" s="420" t="n">
        <v>11294.58</v>
      </c>
      <c r="K18" s="421" t="n">
        <v>12757.54</v>
      </c>
      <c r="L18" s="421" t="n">
        <v>15038.78</v>
      </c>
      <c r="M18" s="421" t="n">
        <v>16525.48</v>
      </c>
      <c r="N18" s="421" t="n">
        <v>18435.04</v>
      </c>
      <c r="O18" s="145">
        <f>K18/K$27</f>
        <v/>
      </c>
      <c r="P18" s="107">
        <f>N18/N$27</f>
        <v/>
      </c>
      <c r="Q18" s="112">
        <f>N18/M18-1</f>
        <v/>
      </c>
      <c r="R18" s="112">
        <f>(N18/K18)^(1/3)-1</f>
        <v/>
      </c>
      <c r="S18" s="81" t="n"/>
      <c r="T18" s="354" t="inlineStr">
        <is>
          <t xml:space="preserve">1. Health industry YoY growth has picked up for FY26 compared to FY25 - 19.5% vs 16% (2y CAGR of 18%)
</t>
        </is>
      </c>
    </row>
    <row r="19">
      <c r="A19" s="79" t="n"/>
      <c r="B19" s="104" t="inlineStr">
        <is>
          <t>Care</t>
        </is>
      </c>
      <c r="C19" s="420" t="n"/>
      <c r="D19" s="420" t="n"/>
      <c r="E19" s="420" t="n"/>
      <c r="F19" s="420" t="n">
        <v>987.9400000000001</v>
      </c>
      <c r="G19" s="420" t="n">
        <v>1681.33</v>
      </c>
      <c r="H19" s="420" t="n">
        <v>2231.74</v>
      </c>
      <c r="I19" s="420" t="n">
        <v>2334.06</v>
      </c>
      <c r="J19" s="420" t="n">
        <v>3491.45</v>
      </c>
      <c r="K19" s="421" t="n">
        <v>4819.42</v>
      </c>
      <c r="L19" s="421" t="n">
        <v>6658.070000000001</v>
      </c>
      <c r="M19" s="421" t="n">
        <v>8135.349999999999</v>
      </c>
      <c r="N19" s="421" t="n">
        <v>9768.4</v>
      </c>
      <c r="O19" s="145">
        <f>K19/K$27</f>
        <v/>
      </c>
      <c r="P19" s="107">
        <f>N19/N$27</f>
        <v/>
      </c>
      <c r="Q19" s="112">
        <f>N19/M19-1</f>
        <v/>
      </c>
      <c r="R19" s="112">
        <f>(N19/K19)^(1/3)-1</f>
        <v/>
      </c>
      <c r="S19" s="358" t="n"/>
      <c r="T19" s="355" t="inlineStr">
        <is>
          <t>2. Over last 2 years, Niva Bupa grew at 24% CAGR and Care by 21% CAGR; Niva Bupa's FY26 growth has been significantly faster than Care (27.8% vs 20.1%)</t>
        </is>
      </c>
    </row>
    <row r="20">
      <c r="A20" s="79" t="n"/>
      <c r="B20" s="87" t="inlineStr">
        <is>
          <t>Niva Bupa</t>
        </is>
      </c>
      <c r="C20" s="422" t="n"/>
      <c r="D20" s="422" t="n"/>
      <c r="E20" s="422" t="n"/>
      <c r="F20" s="422" t="n">
        <v>743.26</v>
      </c>
      <c r="G20" s="422" t="n">
        <v>914.4899999999999</v>
      </c>
      <c r="H20" s="422" t="n">
        <v>1179.04</v>
      </c>
      <c r="I20" s="422" t="n">
        <v>1669.72</v>
      </c>
      <c r="J20" s="422" t="n">
        <v>2749.22</v>
      </c>
      <c r="K20" s="423" t="n">
        <v>3993.02</v>
      </c>
      <c r="L20" s="423" t="n">
        <v>5514.46</v>
      </c>
      <c r="M20" s="423" t="n">
        <v>6634.53</v>
      </c>
      <c r="N20" s="423" t="n">
        <v>8479.66</v>
      </c>
      <c r="O20" s="148">
        <f>K20/K$27</f>
        <v/>
      </c>
      <c r="P20" s="111">
        <f>N20/N$27</f>
        <v/>
      </c>
      <c r="Q20" s="90">
        <f>N20/M20-1</f>
        <v/>
      </c>
      <c r="R20" s="90">
        <f>(N20/K20)^(1/3)-1</f>
        <v/>
      </c>
      <c r="S20" s="358" t="n"/>
      <c r="T20" s="355" t="inlineStr">
        <is>
          <t>3. Aditya Birla is coming up strong among the SAHIs and has grown at 31% YoY (29% 2y CAGR)</t>
        </is>
      </c>
    </row>
    <row r="21">
      <c r="A21" s="79" t="n"/>
      <c r="B21" s="104" t="inlineStr">
        <is>
          <t>Aditya Birla</t>
        </is>
      </c>
      <c r="C21" s="420" t="n"/>
      <c r="D21" s="420" t="n"/>
      <c r="E21" s="420" t="n"/>
      <c r="F21" s="420" t="n">
        <v>230.37</v>
      </c>
      <c r="G21" s="420" t="n">
        <v>423.43</v>
      </c>
      <c r="H21" s="420" t="n">
        <v>755.51</v>
      </c>
      <c r="I21" s="420" t="n">
        <v>1165.84</v>
      </c>
      <c r="J21" s="420" t="n">
        <v>1582.48</v>
      </c>
      <c r="K21" s="421" t="n">
        <v>2556.81</v>
      </c>
      <c r="L21" s="421" t="n">
        <v>3480.83</v>
      </c>
      <c r="M21" s="421" t="n">
        <v>4446.809999999999</v>
      </c>
      <c r="N21" s="421" t="n">
        <v>5825.47</v>
      </c>
      <c r="O21" s="145">
        <f>K21/K$27</f>
        <v/>
      </c>
      <c r="P21" s="107">
        <f>N21/N$27</f>
        <v/>
      </c>
      <c r="Q21" s="112">
        <f>N21/M21-1</f>
        <v/>
      </c>
      <c r="R21" s="112">
        <f>(N21/K21)^(1/3)-1</f>
        <v/>
      </c>
      <c r="S21" s="81" t="n"/>
      <c r="T21" s="355" t="inlineStr">
        <is>
          <t>4. Star continues to face growth issues as it has grown slower than the industry in FY26 (~12%)</t>
        </is>
      </c>
    </row>
    <row r="22">
      <c r="A22" s="79" t="n"/>
      <c r="B22" s="104" t="inlineStr">
        <is>
          <t>Manipal Cigna</t>
        </is>
      </c>
      <c r="C22" s="420" t="n"/>
      <c r="D22" s="420" t="n"/>
      <c r="E22" s="420" t="n"/>
      <c r="F22" s="420" t="n">
        <v>326.54</v>
      </c>
      <c r="G22" s="420" t="n">
        <v>469.4800000000001</v>
      </c>
      <c r="H22" s="420" t="n">
        <v>568.16</v>
      </c>
      <c r="I22" s="420" t="n">
        <v>745.79</v>
      </c>
      <c r="J22" s="420" t="n">
        <v>971.59</v>
      </c>
      <c r="K22" s="421" t="n">
        <v>1329.7912</v>
      </c>
      <c r="L22" s="421" t="n">
        <v>1661.68</v>
      </c>
      <c r="M22" s="421" t="n">
        <v>1766.98</v>
      </c>
      <c r="N22" s="421" t="n">
        <v>2170.31</v>
      </c>
      <c r="O22" s="145">
        <f>K22/K$27</f>
        <v/>
      </c>
      <c r="P22" s="107">
        <f>N22/N$27</f>
        <v/>
      </c>
      <c r="Q22" s="112">
        <f>N22/M22-1</f>
        <v/>
      </c>
      <c r="R22" s="112">
        <f>(N22/K22)^(1/3)-1</f>
        <v/>
      </c>
      <c r="S22" s="81" t="n"/>
      <c r="T22" s="355" t="inlineStr">
        <is>
          <t>5. Niva Bupa, Care and Aditya Birla have gained market share every year since FY23; while Star has lost its market share to them evenly</t>
        </is>
      </c>
    </row>
    <row r="23" hidden="1">
      <c r="A23" s="79" t="n"/>
      <c r="B23" s="104" t="inlineStr">
        <is>
          <t>Reliance Health</t>
        </is>
      </c>
      <c r="C23" s="420" t="n"/>
      <c r="D23" s="420" t="n"/>
      <c r="E23" s="420" t="n"/>
      <c r="F23" s="420" t="n">
        <v>0</v>
      </c>
      <c r="G23" s="420" t="n">
        <v>4.09</v>
      </c>
      <c r="H23" s="420" t="n">
        <v>5.98</v>
      </c>
      <c r="I23" s="420" t="n">
        <v>-0.01</v>
      </c>
      <c r="J23" s="420" t="n">
        <v>0</v>
      </c>
      <c r="K23" s="421" t="n">
        <v>0</v>
      </c>
      <c r="L23" s="421" t="n">
        <v>0</v>
      </c>
      <c r="M23" s="421" t="n">
        <v>0</v>
      </c>
      <c r="N23" s="421" t="n"/>
      <c r="O23" s="145">
        <f>K23/K$27</f>
        <v/>
      </c>
      <c r="P23" s="107">
        <f>N23/N$27</f>
        <v/>
      </c>
      <c r="Q23" s="112">
        <f>N23/M23-1</f>
        <v/>
      </c>
      <c r="R23" s="112">
        <f>(N23/K23)^(1/3)-1</f>
        <v/>
      </c>
      <c r="S23" s="81" t="n"/>
    </row>
    <row r="24" hidden="1">
      <c r="A24" s="79" t="n"/>
      <c r="B24" s="104" t="inlineStr">
        <is>
          <t>HDFC Ergo (Incl. Apollo Munich)</t>
        </is>
      </c>
      <c r="C24" s="420" t="n"/>
      <c r="D24" s="420" t="n"/>
      <c r="E24" s="420" t="n"/>
      <c r="F24" s="420" t="n">
        <v>1586.25</v>
      </c>
      <c r="G24" s="420" t="n">
        <v>2014.74</v>
      </c>
      <c r="H24" s="420" t="n">
        <v>2073.84</v>
      </c>
      <c r="I24" s="420" t="n">
        <v>0</v>
      </c>
      <c r="J24" s="420" t="n">
        <v>0</v>
      </c>
      <c r="K24" s="421" t="n">
        <v>0</v>
      </c>
      <c r="L24" s="421" t="n">
        <v>0</v>
      </c>
      <c r="M24" s="421" t="n">
        <v>0</v>
      </c>
      <c r="N24" s="421" t="n"/>
      <c r="O24" s="145">
        <f>K24/K$27</f>
        <v/>
      </c>
      <c r="P24" s="107">
        <f>N24/N$27</f>
        <v/>
      </c>
      <c r="Q24" s="112">
        <f>N24/M24-1</f>
        <v/>
      </c>
      <c r="R24" s="112">
        <f>(N24/K24)^(1/3)-1</f>
        <v/>
      </c>
      <c r="S24" s="81" t="n"/>
    </row>
    <row r="25">
      <c r="A25" s="79" t="n"/>
      <c r="B25" s="104" t="inlineStr">
        <is>
          <t>Galaxy Health</t>
        </is>
      </c>
      <c r="C25" s="420" t="n"/>
      <c r="D25" s="420" t="n"/>
      <c r="E25" s="420" t="n"/>
      <c r="F25" s="420" t="n">
        <v>0</v>
      </c>
      <c r="G25" s="420" t="n">
        <v>0</v>
      </c>
      <c r="H25" s="420" t="n">
        <v>0</v>
      </c>
      <c r="I25" s="420" t="n">
        <v>0</v>
      </c>
      <c r="J25" s="420" t="n">
        <v>0</v>
      </c>
      <c r="K25" s="421" t="n">
        <v>0</v>
      </c>
      <c r="L25" s="421" t="n">
        <v>0</v>
      </c>
      <c r="M25" s="421" t="n">
        <v>16.08</v>
      </c>
      <c r="N25" s="421" t="n">
        <v>141</v>
      </c>
      <c r="O25" s="145">
        <f>K25/K$27</f>
        <v/>
      </c>
      <c r="P25" s="107">
        <f>N25/N$27</f>
        <v/>
      </c>
      <c r="Q25" s="113">
        <f>N25/M25-1</f>
        <v/>
      </c>
      <c r="R25" s="352" t="inlineStr">
        <is>
          <t>nm</t>
        </is>
      </c>
      <c r="S25" s="81" t="n"/>
    </row>
    <row r="26">
      <c r="A26" s="79" t="n"/>
      <c r="B26" s="104" t="inlineStr">
        <is>
          <t>Narayana Health</t>
        </is>
      </c>
      <c r="C26" s="420" t="n"/>
      <c r="D26" s="420" t="n"/>
      <c r="E26" s="420" t="n"/>
      <c r="F26" s="420" t="n">
        <v>0</v>
      </c>
      <c r="G26" s="420" t="n">
        <v>0</v>
      </c>
      <c r="H26" s="420" t="n">
        <v>0</v>
      </c>
      <c r="I26" s="420" t="n">
        <v>0</v>
      </c>
      <c r="J26" s="420" t="n">
        <v>0</v>
      </c>
      <c r="K26" s="421" t="n">
        <v>0</v>
      </c>
      <c r="L26" s="421" t="n">
        <v>0</v>
      </c>
      <c r="M26" s="421" t="n">
        <v>2.37</v>
      </c>
      <c r="N26" s="421" t="n">
        <v>43.84999999999999</v>
      </c>
      <c r="O26" s="145">
        <f>K26/K$27</f>
        <v/>
      </c>
      <c r="P26" s="107">
        <f>N26/N$27</f>
        <v/>
      </c>
      <c r="Q26" s="113">
        <f>N26/M26-1</f>
        <v/>
      </c>
      <c r="R26" s="352" t="inlineStr">
        <is>
          <t>nm</t>
        </is>
      </c>
      <c r="S26" s="81" t="n"/>
    </row>
    <row r="27">
      <c r="A27" s="79" t="n"/>
      <c r="B27" s="114" t="inlineStr">
        <is>
          <t>Total</t>
        </is>
      </c>
      <c r="C27" s="424" t="n"/>
      <c r="D27" s="424" t="n"/>
      <c r="E27" s="424" t="n"/>
      <c r="F27" s="424">
        <f>SUM(F18:F26)</f>
        <v/>
      </c>
      <c r="G27" s="424">
        <f>SUM(G18:G26)</f>
        <v/>
      </c>
      <c r="H27" s="424">
        <f>SUM(H18:H26)</f>
        <v/>
      </c>
      <c r="I27" s="424">
        <f>SUM(I18:I26)</f>
        <v/>
      </c>
      <c r="J27" s="424">
        <f>SUM(J18:J26)</f>
        <v/>
      </c>
      <c r="K27" s="424">
        <f>SUM(K18:K26)</f>
        <v/>
      </c>
      <c r="L27" s="424">
        <f>SUM(L18:L26)</f>
        <v/>
      </c>
      <c r="M27" s="424">
        <f>SUM(M18:M26)</f>
        <v/>
      </c>
      <c r="N27" s="424">
        <f>SUM(N18:N26)</f>
        <v/>
      </c>
      <c r="O27" s="147">
        <f>K27/K$27</f>
        <v/>
      </c>
      <c r="P27" s="115">
        <f>N27/N$27</f>
        <v/>
      </c>
      <c r="Q27" s="116">
        <f>N27/M27-1</f>
        <v/>
      </c>
      <c r="R27" s="116">
        <f>(N27/K27)^(1/3)-1</f>
        <v/>
      </c>
      <c r="S27" s="117" t="n"/>
    </row>
    <row r="28">
      <c r="M28" s="425" t="n"/>
      <c r="N28" s="425" t="n"/>
    </row>
    <row r="29">
      <c r="B29" s="79" t="inlineStr">
        <is>
          <t>SAHI's Retail Mix (%)</t>
        </is>
      </c>
    </row>
    <row r="30">
      <c r="B30" s="83" t="inlineStr">
        <is>
          <t>Insurer</t>
        </is>
      </c>
      <c r="C30" s="419" t="n">
        <v>15</v>
      </c>
      <c r="D30" s="419">
        <f>C30+1</f>
        <v/>
      </c>
      <c r="E30" s="419">
        <f>D30+1</f>
        <v/>
      </c>
      <c r="F30" s="419">
        <f>E30+1</f>
        <v/>
      </c>
      <c r="G30" s="419">
        <f>F30+1</f>
        <v/>
      </c>
      <c r="H30" s="419">
        <f>G30+1</f>
        <v/>
      </c>
      <c r="I30" s="419">
        <f>H30+1</f>
        <v/>
      </c>
      <c r="J30" s="419">
        <f>I30+1</f>
        <v/>
      </c>
      <c r="K30" s="419">
        <f>J30+1</f>
        <v/>
      </c>
      <c r="L30" s="419">
        <f>K30+1</f>
        <v/>
      </c>
      <c r="M30" s="419">
        <f>L30+1</f>
        <v/>
      </c>
      <c r="N30" s="419">
        <f>M30+1</f>
        <v/>
      </c>
      <c r="O30" s="86" t="inlineStr">
        <is>
          <t>YoY change</t>
        </is>
      </c>
    </row>
    <row r="31">
      <c r="B31" s="104" t="inlineStr">
        <is>
          <t>Star Health</t>
        </is>
      </c>
      <c r="C31" s="121">
        <f>IFERROR(C42/C18,"")</f>
        <v/>
      </c>
      <c r="D31" s="121">
        <f>IFERROR(D42/D18,"")</f>
        <v/>
      </c>
      <c r="E31" s="121">
        <f>IFERROR(E42/E18,"")</f>
        <v/>
      </c>
      <c r="F31" s="121">
        <f>IFERROR(F42/F18,"")</f>
        <v/>
      </c>
      <c r="G31" s="121">
        <f>IFERROR(G42/G18,"")</f>
        <v/>
      </c>
      <c r="H31" s="121">
        <f>IFERROR(H42/H18,"")</f>
        <v/>
      </c>
      <c r="I31" s="121">
        <f>IFERROR(I42/I18,"")</f>
        <v/>
      </c>
      <c r="J31" s="121">
        <f>IFERROR(J42/J18,"")</f>
        <v/>
      </c>
      <c r="K31" s="119">
        <f>IFERROR(K42/K18,"")</f>
        <v/>
      </c>
      <c r="L31" s="119">
        <f>IFERROR(L42/L18,"")</f>
        <v/>
      </c>
      <c r="M31" s="119">
        <f>IFERROR(M42/M18,"")</f>
        <v/>
      </c>
      <c r="N31" s="119">
        <f>IFERROR(N42/N18,"")</f>
        <v/>
      </c>
      <c r="O31" s="120">
        <f>N31-M31</f>
        <v/>
      </c>
    </row>
    <row r="32">
      <c r="B32" s="104" t="inlineStr">
        <is>
          <t>Care</t>
        </is>
      </c>
      <c r="C32" s="121">
        <f>IFERROR(C43/C19,"")</f>
        <v/>
      </c>
      <c r="D32" s="121">
        <f>IFERROR(D43/D19,"")</f>
        <v/>
      </c>
      <c r="E32" s="121">
        <f>IFERROR(E43/E19,"")</f>
        <v/>
      </c>
      <c r="F32" s="121">
        <f>IFERROR(F43/F19,"")</f>
        <v/>
      </c>
      <c r="G32" s="121">
        <f>IFERROR(G43/G19,"")</f>
        <v/>
      </c>
      <c r="H32" s="121">
        <f>IFERROR(H43/H19,"")</f>
        <v/>
      </c>
      <c r="I32" s="121">
        <f>IFERROR(I43/I19,"")</f>
        <v/>
      </c>
      <c r="J32" s="121">
        <f>IFERROR(J43/J19,"")</f>
        <v/>
      </c>
      <c r="K32" s="119">
        <f>IFERROR(K43/K19,"")</f>
        <v/>
      </c>
      <c r="L32" s="119">
        <f>IFERROR(L43/L19,"")</f>
        <v/>
      </c>
      <c r="M32" s="119">
        <f>IFERROR(M43/M19,"")</f>
        <v/>
      </c>
      <c r="N32" s="119">
        <f>IFERROR(N43/N19,"")</f>
        <v/>
      </c>
      <c r="O32" s="112">
        <f>N32-M32</f>
        <v/>
      </c>
    </row>
    <row r="33">
      <c r="B33" s="87" t="inlineStr">
        <is>
          <t>Niva Bupa</t>
        </is>
      </c>
      <c r="C33" s="77">
        <f>IFERROR(C44/C20,"")</f>
        <v/>
      </c>
      <c r="D33" s="77">
        <f>IFERROR(D44/D20,"")</f>
        <v/>
      </c>
      <c r="E33" s="77">
        <f>IFERROR(E44/E20,"")</f>
        <v/>
      </c>
      <c r="F33" s="77">
        <f>IFERROR(F44/F20,"")</f>
        <v/>
      </c>
      <c r="G33" s="77">
        <f>IFERROR(G44/G20,"")</f>
        <v/>
      </c>
      <c r="H33" s="77">
        <f>IFERROR(H44/H20,"")</f>
        <v/>
      </c>
      <c r="I33" s="77">
        <f>IFERROR(I44/I20,"")</f>
        <v/>
      </c>
      <c r="J33" s="77">
        <f>IFERROR(J44/J20,"")</f>
        <v/>
      </c>
      <c r="K33" s="122">
        <f>IFERROR(K44/K20,"")</f>
        <v/>
      </c>
      <c r="L33" s="122">
        <f>IFERROR(L44/L20,"")</f>
        <v/>
      </c>
      <c r="M33" s="122">
        <f>IFERROR(M44/M20,"")</f>
        <v/>
      </c>
      <c r="N33" s="122">
        <f>IFERROR(N44/N20,"")</f>
        <v/>
      </c>
      <c r="O33" s="90">
        <f>N33-M33</f>
        <v/>
      </c>
    </row>
    <row r="34">
      <c r="B34" s="104" t="inlineStr">
        <is>
          <t>Aditya Birla</t>
        </is>
      </c>
      <c r="C34" s="121">
        <f>IFERROR(C45/C21,"")</f>
        <v/>
      </c>
      <c r="D34" s="121">
        <f>IFERROR(D45/D21,"")</f>
        <v/>
      </c>
      <c r="E34" s="121">
        <f>IFERROR(E45/E21,"")</f>
        <v/>
      </c>
      <c r="F34" s="121">
        <f>IFERROR(F45/F21,"")</f>
        <v/>
      </c>
      <c r="G34" s="121">
        <f>IFERROR(G45/G21,"")</f>
        <v/>
      </c>
      <c r="H34" s="121">
        <f>IFERROR(H45/H21,"")</f>
        <v/>
      </c>
      <c r="I34" s="121">
        <f>IFERROR(I45/I21,"")</f>
        <v/>
      </c>
      <c r="J34" s="121">
        <f>IFERROR(J45/J21,"")</f>
        <v/>
      </c>
      <c r="K34" s="119">
        <f>IFERROR(K45/K21,"")</f>
        <v/>
      </c>
      <c r="L34" s="119">
        <f>IFERROR(L45/L21,"")</f>
        <v/>
      </c>
      <c r="M34" s="119">
        <f>IFERROR(M45/M21,"")</f>
        <v/>
      </c>
      <c r="N34" s="119">
        <f>IFERROR(N45/N21,"")</f>
        <v/>
      </c>
      <c r="O34" s="112">
        <f>N34-M34</f>
        <v/>
      </c>
    </row>
    <row r="35">
      <c r="B35" s="104" t="inlineStr">
        <is>
          <t>Manipal Cigna</t>
        </is>
      </c>
      <c r="C35" s="121">
        <f>IFERROR(C46/C22,"")</f>
        <v/>
      </c>
      <c r="D35" s="121">
        <f>IFERROR(D46/D22,"")</f>
        <v/>
      </c>
      <c r="E35" s="121">
        <f>IFERROR(E46/E22,"")</f>
        <v/>
      </c>
      <c r="F35" s="121">
        <f>IFERROR(F46/F22,"")</f>
        <v/>
      </c>
      <c r="G35" s="121">
        <f>IFERROR(G46/G22,"")</f>
        <v/>
      </c>
      <c r="H35" s="121">
        <f>IFERROR(H46/H22,"")</f>
        <v/>
      </c>
      <c r="I35" s="121">
        <f>IFERROR(I46/I22,"")</f>
        <v/>
      </c>
      <c r="J35" s="121">
        <f>IFERROR(J46/J22,"")</f>
        <v/>
      </c>
      <c r="K35" s="119">
        <f>IFERROR(K46/K22,"")</f>
        <v/>
      </c>
      <c r="L35" s="119">
        <f>IFERROR(L46/L22,"")</f>
        <v/>
      </c>
      <c r="M35" s="119">
        <f>IFERROR(M46/M22,"")</f>
        <v/>
      </c>
      <c r="N35" s="119">
        <f>IFERROR(N46/N22,"")</f>
        <v/>
      </c>
      <c r="O35" s="112">
        <f>N35-M35</f>
        <v/>
      </c>
    </row>
    <row r="36">
      <c r="B36" s="104" t="inlineStr">
        <is>
          <t>Galaxy Health</t>
        </is>
      </c>
      <c r="C36" s="121">
        <f>IFERROR(C47/C25,"")</f>
        <v/>
      </c>
      <c r="D36" s="121">
        <f>IFERROR(D47/D25,"")</f>
        <v/>
      </c>
      <c r="E36" s="121">
        <f>IFERROR(E47/E25,"")</f>
        <v/>
      </c>
      <c r="F36" s="119">
        <f>IFERROR(F47/F25,"")</f>
        <v/>
      </c>
      <c r="G36" s="119">
        <f>IFERROR(G47/G25,"")</f>
        <v/>
      </c>
      <c r="H36" s="119">
        <f>IFERROR(H47/H25,"")</f>
        <v/>
      </c>
      <c r="I36" s="119">
        <f>IFERROR(I47/I25,"")</f>
        <v/>
      </c>
      <c r="J36" s="119">
        <f>IFERROR(J47/J25,"")</f>
        <v/>
      </c>
      <c r="K36" s="119">
        <f>IFERROR(K47/K25,"")</f>
        <v/>
      </c>
      <c r="L36" s="119">
        <f>IFERROR(L47/L25,"")</f>
        <v/>
      </c>
      <c r="M36" s="119">
        <f>IFERROR(M47/M25,"")</f>
        <v/>
      </c>
      <c r="N36" s="119">
        <f>IFERROR(N47/N25,"")</f>
        <v/>
      </c>
      <c r="O36" s="120">
        <f>N36-M36</f>
        <v/>
      </c>
    </row>
    <row r="37">
      <c r="B37" s="104" t="inlineStr">
        <is>
          <t>Narayana Health</t>
        </is>
      </c>
      <c r="C37" s="121">
        <f>IFERROR(C48/C26,"")</f>
        <v/>
      </c>
      <c r="D37" s="121">
        <f>IFERROR(D48/D26,"")</f>
        <v/>
      </c>
      <c r="E37" s="121">
        <f>IFERROR(E48/E26,"")</f>
        <v/>
      </c>
      <c r="F37" s="119">
        <f>IFERROR(F48/F26,"")</f>
        <v/>
      </c>
      <c r="G37" s="119">
        <f>IFERROR(G48/G26,"")</f>
        <v/>
      </c>
      <c r="H37" s="119">
        <f>IFERROR(H48/H26,"")</f>
        <v/>
      </c>
      <c r="I37" s="119">
        <f>IFERROR(I48/I26,"")</f>
        <v/>
      </c>
      <c r="J37" s="119">
        <f>IFERROR(J48/J26,"")</f>
        <v/>
      </c>
      <c r="K37" s="119">
        <f>IFERROR(K48/K26,"")</f>
        <v/>
      </c>
      <c r="L37" s="119">
        <f>IFERROR(L48/L26,"")</f>
        <v/>
      </c>
      <c r="M37" s="119">
        <f>IFERROR(M48/M26,"")</f>
        <v/>
      </c>
      <c r="N37" s="119">
        <f>IFERROR(N48/N26,"")</f>
        <v/>
      </c>
      <c r="O37" s="120">
        <f>N37-M37</f>
        <v/>
      </c>
    </row>
    <row r="38">
      <c r="B38" s="114" t="inlineStr">
        <is>
          <t>Total</t>
        </is>
      </c>
      <c r="C38" s="78">
        <f>IFERROR(C49/C27,"")</f>
        <v/>
      </c>
      <c r="D38" s="78">
        <f>IFERROR(D49/D27,"")</f>
        <v/>
      </c>
      <c r="E38" s="78">
        <f>IFERROR(E49/E27,"")</f>
        <v/>
      </c>
      <c r="F38" s="78">
        <f>IFERROR(F49/F27,"")</f>
        <v/>
      </c>
      <c r="G38" s="78">
        <f>IFERROR(G49/G27,"")</f>
        <v/>
      </c>
      <c r="H38" s="78">
        <f>IFERROR(H49/H27,"")</f>
        <v/>
      </c>
      <c r="I38" s="78">
        <f>IFERROR(I49/I27,"")</f>
        <v/>
      </c>
      <c r="J38" s="78">
        <f>IFERROR(J49/J27,"")</f>
        <v/>
      </c>
      <c r="K38" s="78">
        <f>IFERROR(K49/K27,"")</f>
        <v/>
      </c>
      <c r="L38" s="78">
        <f>IFERROR(L49/L27,"")</f>
        <v/>
      </c>
      <c r="M38" s="78">
        <f>IFERROR(M49/M27,"")</f>
        <v/>
      </c>
      <c r="N38" s="78">
        <f>IFERROR(N49/N27,"")</f>
        <v/>
      </c>
      <c r="O38" s="116">
        <f>N38-M38</f>
        <v/>
      </c>
    </row>
    <row r="40" outlineLevel="1">
      <c r="A40" s="79" t="inlineStr">
        <is>
          <t>xx</t>
        </is>
      </c>
      <c r="B40" s="79" t="inlineStr">
        <is>
          <t>SAHI's Retail (INR cr)</t>
        </is>
      </c>
      <c r="C40" s="80" t="n"/>
      <c r="D40" s="80" t="n"/>
      <c r="E40" s="80" t="n"/>
      <c r="F40" s="80" t="n"/>
      <c r="G40" s="80" t="n"/>
      <c r="H40" s="80" t="n"/>
      <c r="I40" s="80" t="n"/>
      <c r="J40" s="80" t="n"/>
      <c r="K40" s="80" t="n"/>
      <c r="L40" s="80" t="n"/>
      <c r="M40" s="80" t="n"/>
      <c r="N40" s="80" t="n"/>
      <c r="O40" s="80" t="n"/>
      <c r="P40" s="80" t="n"/>
      <c r="Q40" s="80" t="n"/>
      <c r="R40" s="80" t="n"/>
      <c r="S40" s="81" t="n"/>
    </row>
    <row r="41" outlineLevel="1" ht="29" customHeight="1">
      <c r="A41" s="79" t="n"/>
      <c r="B41" s="83" t="inlineStr">
        <is>
          <t>Insurer</t>
        </is>
      </c>
      <c r="C41" s="419" t="n">
        <v>15</v>
      </c>
      <c r="D41" s="419">
        <f>C41+1</f>
        <v/>
      </c>
      <c r="E41" s="419">
        <f>D41+1</f>
        <v/>
      </c>
      <c r="F41" s="419">
        <f>E41+1</f>
        <v/>
      </c>
      <c r="G41" s="419">
        <f>F41+1</f>
        <v/>
      </c>
      <c r="H41" s="419">
        <f>G41+1</f>
        <v/>
      </c>
      <c r="I41" s="419">
        <f>H41+1</f>
        <v/>
      </c>
      <c r="J41" s="419">
        <f>I41+1</f>
        <v/>
      </c>
      <c r="K41" s="419">
        <f>J41+1</f>
        <v/>
      </c>
      <c r="L41" s="419">
        <f>K41+1</f>
        <v/>
      </c>
      <c r="M41" s="419">
        <f>L41+1</f>
        <v/>
      </c>
      <c r="N41" s="419">
        <f>M41+1</f>
        <v/>
      </c>
      <c r="O41" s="86" t="inlineStr">
        <is>
          <t>Market share FY19</t>
        </is>
      </c>
      <c r="P41" s="86" t="inlineStr">
        <is>
          <t>Market share FY26</t>
        </is>
      </c>
      <c r="Q41" s="86" t="inlineStr">
        <is>
          <t>YoY growth</t>
        </is>
      </c>
      <c r="R41" s="86" t="inlineStr">
        <is>
          <t>CAGR (FY23-26)</t>
        </is>
      </c>
      <c r="S41" s="81" t="n"/>
    </row>
    <row r="42" outlineLevel="1" ht="14.5" customHeight="1">
      <c r="A42" s="79" t="n"/>
      <c r="B42" s="104" t="inlineStr">
        <is>
          <t>Star Health</t>
        </is>
      </c>
      <c r="C42" s="420" t="n"/>
      <c r="D42" s="420" t="n"/>
      <c r="E42" s="420" t="n"/>
      <c r="F42" s="420" t="n">
        <v>3629.09</v>
      </c>
      <c r="G42" s="420" t="n">
        <v>4678.05</v>
      </c>
      <c r="H42" s="420" t="n">
        <v>5865.75</v>
      </c>
      <c r="I42" s="420" t="n">
        <v>8242.68</v>
      </c>
      <c r="J42" s="420" t="n">
        <v>10129.4</v>
      </c>
      <c r="K42" s="421" t="n">
        <v>11947.5</v>
      </c>
      <c r="L42" s="421" t="n">
        <v>13951.3</v>
      </c>
      <c r="M42" s="421" t="n">
        <v>15413</v>
      </c>
      <c r="N42" s="421" t="n">
        <v>17743</v>
      </c>
      <c r="O42" s="145">
        <f>K42/$K$49</f>
        <v/>
      </c>
      <c r="P42" s="107">
        <f>N42/N$49</f>
        <v/>
      </c>
      <c r="Q42" s="112">
        <f>N42/M42-1</f>
        <v/>
      </c>
      <c r="R42" s="112">
        <f>(N42/K42)^(1/3)-1</f>
        <v/>
      </c>
      <c r="S42" s="81" t="n"/>
    </row>
    <row r="43" outlineLevel="1">
      <c r="A43" s="79" t="n"/>
      <c r="B43" s="104" t="inlineStr">
        <is>
          <t>Care</t>
        </is>
      </c>
      <c r="C43" s="420" t="n"/>
      <c r="D43" s="420" t="n"/>
      <c r="E43" s="420" t="n"/>
      <c r="F43" s="420" t="n">
        <v>616.51</v>
      </c>
      <c r="G43" s="420" t="n">
        <v>869</v>
      </c>
      <c r="H43" s="420" t="n">
        <v>1143.08</v>
      </c>
      <c r="I43" s="420" t="n">
        <v>1618.97</v>
      </c>
      <c r="J43" s="420" t="n">
        <v>2170.4</v>
      </c>
      <c r="K43" s="421" t="n">
        <v>2727.7</v>
      </c>
      <c r="L43" s="421" t="n">
        <v>3973.83</v>
      </c>
      <c r="M43" s="421" t="n">
        <v>5111.36</v>
      </c>
      <c r="N43" s="421" t="n">
        <v>6597.6</v>
      </c>
      <c r="O43" s="145">
        <f>K43/$K$49</f>
        <v/>
      </c>
      <c r="P43" s="107">
        <f>N43/N$49</f>
        <v/>
      </c>
      <c r="Q43" s="112">
        <f>N43/M43-1</f>
        <v/>
      </c>
      <c r="R43" s="112">
        <f>(N43/K43)^(1/3)-1</f>
        <v/>
      </c>
      <c r="S43" s="81" t="n"/>
    </row>
    <row r="44" outlineLevel="1">
      <c r="A44" s="79" t="n"/>
      <c r="B44" s="87" t="inlineStr">
        <is>
          <t>Niva Bupa</t>
        </is>
      </c>
      <c r="C44" s="422" t="n"/>
      <c r="D44" s="422" t="n"/>
      <c r="E44" s="422" t="n"/>
      <c r="F44" s="422" t="n">
        <v>634.2</v>
      </c>
      <c r="G44" s="422" t="n">
        <v>736.6799999999999</v>
      </c>
      <c r="H44" s="422" t="n">
        <v>869.37</v>
      </c>
      <c r="I44" s="422" t="n">
        <v>1355.52</v>
      </c>
      <c r="J44" s="422" t="n">
        <v>2157.34</v>
      </c>
      <c r="K44" s="423" t="n">
        <v>2969.74</v>
      </c>
      <c r="L44" s="423" t="n">
        <v>3839.73</v>
      </c>
      <c r="M44" s="423" t="n">
        <v>4432.5</v>
      </c>
      <c r="N44" s="423" t="n">
        <v>5747.59</v>
      </c>
      <c r="O44" s="148">
        <f>K44/$K$49</f>
        <v/>
      </c>
      <c r="P44" s="111">
        <f>N44/N$49</f>
        <v/>
      </c>
      <c r="Q44" s="90">
        <f>N44/M44-1</f>
        <v/>
      </c>
      <c r="R44" s="90">
        <f>(N44/K44)^(1/3)-1</f>
        <v/>
      </c>
      <c r="S44" s="81" t="n"/>
    </row>
    <row r="45" outlineLevel="1">
      <c r="A45" s="79" t="n"/>
      <c r="B45" s="104" t="inlineStr">
        <is>
          <t>Aditya Birla</t>
        </is>
      </c>
      <c r="C45" s="420" t="n"/>
      <c r="D45" s="420" t="n"/>
      <c r="E45" s="420" t="n"/>
      <c r="F45" s="420" t="n">
        <v>76.91</v>
      </c>
      <c r="G45" s="420" t="n">
        <v>198.31</v>
      </c>
      <c r="H45" s="420" t="n">
        <v>349.56</v>
      </c>
      <c r="I45" s="420" t="n">
        <v>558.97</v>
      </c>
      <c r="J45" s="420" t="n">
        <v>680.05</v>
      </c>
      <c r="K45" s="421" t="n">
        <v>835.36</v>
      </c>
      <c r="L45" s="421" t="n">
        <v>1127.23</v>
      </c>
      <c r="M45" s="421" t="n">
        <v>1440.17</v>
      </c>
      <c r="N45" s="421" t="n">
        <v>2163.86</v>
      </c>
      <c r="O45" s="145">
        <f>K45/$K$49</f>
        <v/>
      </c>
      <c r="P45" s="107">
        <f>N45/N$49</f>
        <v/>
      </c>
      <c r="Q45" s="112">
        <f>N45/M45-1</f>
        <v/>
      </c>
      <c r="R45" s="112">
        <f>(N45/K45)^(1/3)-1</f>
        <v/>
      </c>
      <c r="S45" s="81" t="n"/>
    </row>
    <row r="46" outlineLevel="1">
      <c r="A46" s="79" t="n"/>
      <c r="B46" s="104" t="inlineStr">
        <is>
          <t>Manipal Cigna</t>
        </is>
      </c>
      <c r="C46" s="420" t="n"/>
      <c r="D46" s="420" t="n"/>
      <c r="E46" s="420" t="n"/>
      <c r="F46" s="420" t="n">
        <v>219.91</v>
      </c>
      <c r="G46" s="420" t="n">
        <v>266.49</v>
      </c>
      <c r="H46" s="420" t="n">
        <v>312.31</v>
      </c>
      <c r="I46" s="420" t="n">
        <v>393.59</v>
      </c>
      <c r="J46" s="420" t="n">
        <v>463.68</v>
      </c>
      <c r="K46" s="421" t="n">
        <v>578.5700000000001</v>
      </c>
      <c r="L46" s="421" t="n">
        <v>746.08</v>
      </c>
      <c r="M46" s="421" t="n">
        <v>841.12</v>
      </c>
      <c r="N46" s="421" t="n">
        <v>1119.03</v>
      </c>
      <c r="O46" s="145">
        <f>K46/$K$49</f>
        <v/>
      </c>
      <c r="P46" s="107">
        <f>N46/N$49</f>
        <v/>
      </c>
      <c r="Q46" s="112">
        <f>N46/M46-1</f>
        <v/>
      </c>
      <c r="R46" s="112">
        <f>(N46/K46)^(1/3)-1</f>
        <v/>
      </c>
      <c r="S46" s="81" t="n"/>
    </row>
    <row r="47" outlineLevel="1">
      <c r="A47" s="79" t="n"/>
      <c r="B47" s="104" t="inlineStr">
        <is>
          <t>Galaxy Health</t>
        </is>
      </c>
      <c r="C47" s="420" t="n"/>
      <c r="D47" s="420" t="n"/>
      <c r="E47" s="420" t="n"/>
      <c r="F47" s="421" t="n">
        <v>0</v>
      </c>
      <c r="G47" s="421" t="n">
        <v>0</v>
      </c>
      <c r="H47" s="421" t="n">
        <v>0</v>
      </c>
      <c r="I47" s="421" t="n">
        <v>0</v>
      </c>
      <c r="J47" s="421" t="n">
        <v>0</v>
      </c>
      <c r="K47" s="421" t="n">
        <v>0</v>
      </c>
      <c r="L47" s="421" t="n">
        <v>0</v>
      </c>
      <c r="M47" s="421" t="n">
        <v>13.99</v>
      </c>
      <c r="N47" s="421" t="n">
        <v>97</v>
      </c>
      <c r="O47" s="145">
        <f>K47/$K$49</f>
        <v/>
      </c>
      <c r="P47" s="107">
        <f>N47/N$49</f>
        <v/>
      </c>
      <c r="Q47" s="113">
        <f>N47/M47-1</f>
        <v/>
      </c>
      <c r="R47" s="352" t="inlineStr">
        <is>
          <t>nm</t>
        </is>
      </c>
      <c r="S47" s="81" t="n"/>
    </row>
    <row r="48" outlineLevel="1">
      <c r="A48" s="79" t="n"/>
      <c r="B48" s="104" t="inlineStr">
        <is>
          <t>Narayana Health</t>
        </is>
      </c>
      <c r="C48" s="420" t="n"/>
      <c r="D48" s="420" t="n"/>
      <c r="E48" s="420" t="n"/>
      <c r="F48" s="421" t="n">
        <v>0</v>
      </c>
      <c r="G48" s="421" t="n">
        <v>0</v>
      </c>
      <c r="H48" s="421" t="n">
        <v>0</v>
      </c>
      <c r="I48" s="421" t="n">
        <v>0</v>
      </c>
      <c r="J48" s="421" t="n">
        <v>0</v>
      </c>
      <c r="K48" s="421" t="n">
        <v>0</v>
      </c>
      <c r="L48" s="421" t="n">
        <v>0</v>
      </c>
      <c r="M48" s="421" t="n">
        <v>2.37</v>
      </c>
      <c r="N48" s="421" t="n">
        <v>9.050000000000001</v>
      </c>
      <c r="O48" s="145">
        <f>K48/$K$49</f>
        <v/>
      </c>
      <c r="P48" s="107">
        <f>N48/N$49</f>
        <v/>
      </c>
      <c r="Q48" s="113">
        <f>N48/M48-1</f>
        <v/>
      </c>
      <c r="R48" s="352" t="inlineStr">
        <is>
          <t>nm</t>
        </is>
      </c>
      <c r="S48" s="81" t="n"/>
    </row>
    <row r="49" outlineLevel="1">
      <c r="A49" s="79" t="n"/>
      <c r="B49" s="114" t="inlineStr">
        <is>
          <t>Total</t>
        </is>
      </c>
      <c r="C49" s="424" t="n"/>
      <c r="D49" s="424" t="n"/>
      <c r="E49" s="424" t="n"/>
      <c r="F49" s="424">
        <f>SUM(F42:F48)</f>
        <v/>
      </c>
      <c r="G49" s="424">
        <f>SUM(G42:G48)</f>
        <v/>
      </c>
      <c r="H49" s="424">
        <f>SUM(H42:H48)</f>
        <v/>
      </c>
      <c r="I49" s="424">
        <f>SUM(I42:I48)</f>
        <v/>
      </c>
      <c r="J49" s="424">
        <f>SUM(J42:J48)</f>
        <v/>
      </c>
      <c r="K49" s="424">
        <f>SUM(K42:K48)</f>
        <v/>
      </c>
      <c r="L49" s="424">
        <f>SUM(L42:L48)</f>
        <v/>
      </c>
      <c r="M49" s="424">
        <f>SUM(M42:M48)</f>
        <v/>
      </c>
      <c r="N49" s="424">
        <f>SUM(N42:N48)</f>
        <v/>
      </c>
      <c r="O49" s="147">
        <f>K49/$K$49</f>
        <v/>
      </c>
      <c r="P49" s="115">
        <f>N49/N$49</f>
        <v/>
      </c>
      <c r="Q49" s="116">
        <f>N49/M49-1</f>
        <v/>
      </c>
      <c r="R49" s="116">
        <f>(N49/K49)^(1/3)-1</f>
        <v/>
      </c>
      <c r="S49" s="117" t="n"/>
    </row>
    <row r="52">
      <c r="B52" s="79" t="inlineStr">
        <is>
          <t>Retail Health (INR cr)</t>
        </is>
      </c>
      <c r="C52" s="80" t="n"/>
      <c r="D52" s="80" t="n"/>
      <c r="E52" s="80" t="n"/>
      <c r="F52" s="80" t="n"/>
      <c r="G52" s="80" t="n"/>
      <c r="H52" s="80" t="n"/>
      <c r="I52" s="80" t="n"/>
      <c r="J52" s="80" t="n"/>
      <c r="K52" s="80" t="n"/>
      <c r="L52" s="80" t="n"/>
      <c r="M52" s="80" t="n"/>
      <c r="N52" s="80" t="n"/>
      <c r="O52" s="80" t="n"/>
      <c r="P52" s="80" t="n"/>
      <c r="Q52" s="80" t="n"/>
      <c r="R52" s="80" t="n"/>
    </row>
    <row r="53" ht="29" customHeight="1">
      <c r="B53" s="83" t="inlineStr">
        <is>
          <t>Insurer</t>
        </is>
      </c>
      <c r="C53" s="419" t="n">
        <v>15</v>
      </c>
      <c r="D53" s="419">
        <f>C53+1</f>
        <v/>
      </c>
      <c r="E53" s="419">
        <f>D53+1</f>
        <v/>
      </c>
      <c r="F53" s="419">
        <f>E53+1</f>
        <v/>
      </c>
      <c r="G53" s="419">
        <f>F53+1</f>
        <v/>
      </c>
      <c r="H53" s="419">
        <f>G53+1</f>
        <v/>
      </c>
      <c r="I53" s="419">
        <f>H53+1</f>
        <v/>
      </c>
      <c r="J53" s="419">
        <f>I53+1</f>
        <v/>
      </c>
      <c r="K53" s="419">
        <f>J53+1</f>
        <v/>
      </c>
      <c r="L53" s="419">
        <f>K53+1</f>
        <v/>
      </c>
      <c r="M53" s="419">
        <f>L53+1</f>
        <v/>
      </c>
      <c r="N53" s="419">
        <f>M53+1</f>
        <v/>
      </c>
      <c r="O53" s="86" t="inlineStr">
        <is>
          <t>Market share FY23</t>
        </is>
      </c>
      <c r="P53" s="86" t="inlineStr">
        <is>
          <t>Market share FY26</t>
        </is>
      </c>
      <c r="Q53" s="86" t="inlineStr">
        <is>
          <t>YoY growth</t>
        </is>
      </c>
      <c r="R53" s="86" t="inlineStr">
        <is>
          <t>CAGR (FY23-26)</t>
        </is>
      </c>
    </row>
    <row r="54">
      <c r="B54" s="104" t="inlineStr">
        <is>
          <t>Star Health</t>
        </is>
      </c>
      <c r="C54" s="420" t="n"/>
      <c r="D54" s="420" t="n"/>
      <c r="E54" s="420" t="n"/>
      <c r="F54" s="420" t="n">
        <v>3629.09</v>
      </c>
      <c r="G54" s="420" t="n">
        <v>4678.05</v>
      </c>
      <c r="H54" s="420" t="n">
        <v>5865.75</v>
      </c>
      <c r="I54" s="420" t="n">
        <v>8242.68</v>
      </c>
      <c r="J54" s="420" t="n">
        <v>10129.4</v>
      </c>
      <c r="K54" s="421" t="n">
        <v>11947.5</v>
      </c>
      <c r="L54" s="421" t="n">
        <v>13951.3</v>
      </c>
      <c r="M54" s="421" t="n">
        <v>15413</v>
      </c>
      <c r="N54" s="421" t="n">
        <v>17743</v>
      </c>
      <c r="O54" s="144">
        <f>K54/$K$66</f>
        <v/>
      </c>
      <c r="P54" s="107">
        <f>N54/N$66</f>
        <v/>
      </c>
      <c r="Q54" s="112">
        <f>N54/M54-1</f>
        <v/>
      </c>
      <c r="R54" s="112">
        <f>(N54/K54)^(1/3)-1</f>
        <v/>
      </c>
    </row>
    <row r="55">
      <c r="B55" s="104" t="inlineStr">
        <is>
          <t>Care</t>
        </is>
      </c>
      <c r="C55" s="420" t="n"/>
      <c r="D55" s="420" t="n"/>
      <c r="E55" s="420" t="n"/>
      <c r="F55" s="420" t="n">
        <v>616.51</v>
      </c>
      <c r="G55" s="420" t="n">
        <v>869</v>
      </c>
      <c r="H55" s="420" t="n">
        <v>1143.08</v>
      </c>
      <c r="I55" s="420" t="n">
        <v>1618.97</v>
      </c>
      <c r="J55" s="420" t="n">
        <v>2170.4</v>
      </c>
      <c r="K55" s="421" t="n">
        <v>2727.7</v>
      </c>
      <c r="L55" s="421" t="n">
        <v>3973.83</v>
      </c>
      <c r="M55" s="421" t="n">
        <v>5111.36</v>
      </c>
      <c r="N55" s="421" t="n">
        <v>6597.6</v>
      </c>
      <c r="O55" s="145">
        <f>K55/$K$66</f>
        <v/>
      </c>
      <c r="P55" s="107">
        <f>N55/N$66</f>
        <v/>
      </c>
      <c r="Q55" s="112">
        <f>N55/M55-1</f>
        <v/>
      </c>
      <c r="R55" s="112">
        <f>(N55/K55)^(1/3)-1</f>
        <v/>
      </c>
    </row>
    <row r="56">
      <c r="B56" s="87" t="inlineStr">
        <is>
          <t>Niva Bupa</t>
        </is>
      </c>
      <c r="C56" s="422" t="n"/>
      <c r="D56" s="422" t="n"/>
      <c r="E56" s="422" t="n"/>
      <c r="F56" s="422" t="n">
        <v>634.2</v>
      </c>
      <c r="G56" s="422" t="n">
        <v>736.6799999999999</v>
      </c>
      <c r="H56" s="422" t="n">
        <v>869.37</v>
      </c>
      <c r="I56" s="422" t="n">
        <v>1355.52</v>
      </c>
      <c r="J56" s="422" t="n">
        <v>2157.34</v>
      </c>
      <c r="K56" s="426" t="n">
        <v>2969.74</v>
      </c>
      <c r="L56" s="426" t="n">
        <v>3839.73</v>
      </c>
      <c r="M56" s="426" t="n">
        <v>4432.5</v>
      </c>
      <c r="N56" s="426" t="n">
        <v>5747.59</v>
      </c>
      <c r="O56" s="146">
        <f>K56/$K$66</f>
        <v/>
      </c>
      <c r="P56" s="111">
        <f>N56/N$66</f>
        <v/>
      </c>
      <c r="Q56" s="111">
        <f>N56/M56-1</f>
        <v/>
      </c>
      <c r="R56" s="90">
        <f>(N56/K56)^(1/3)-1</f>
        <v/>
      </c>
    </row>
    <row r="57">
      <c r="B57" s="82" t="inlineStr">
        <is>
          <t>HDFC Ergo</t>
        </is>
      </c>
      <c r="C57" s="420" t="n"/>
      <c r="D57" s="420" t="n"/>
      <c r="E57" s="420" t="n"/>
      <c r="F57" s="420" t="n">
        <v>1080.33</v>
      </c>
      <c r="G57" s="420" t="n">
        <v>1392.03</v>
      </c>
      <c r="H57" s="420" t="n">
        <v>1452.24</v>
      </c>
      <c r="I57" s="420" t="n">
        <v>2723.59</v>
      </c>
      <c r="J57" s="420" t="n">
        <v>3076.2</v>
      </c>
      <c r="K57" s="421" t="n">
        <v>3440.48</v>
      </c>
      <c r="L57" s="421" t="n">
        <v>3964.17</v>
      </c>
      <c r="M57" s="421" t="n">
        <v>4212.7</v>
      </c>
      <c r="N57" s="421" t="n">
        <v>5155.8</v>
      </c>
      <c r="O57" s="145">
        <f>K57/$K$66</f>
        <v/>
      </c>
      <c r="P57" s="107">
        <f>N57/N$66</f>
        <v/>
      </c>
      <c r="Q57" s="112">
        <f>N57/M57-1</f>
        <v/>
      </c>
      <c r="R57" s="112">
        <f>(N57/K57)^(1/3)-1</f>
        <v/>
      </c>
    </row>
    <row r="58">
      <c r="B58" s="82" t="inlineStr">
        <is>
          <t>New India</t>
        </is>
      </c>
      <c r="C58" s="420" t="n"/>
      <c r="D58" s="420" t="n"/>
      <c r="E58" s="420" t="n"/>
      <c r="F58" s="420" t="n">
        <v>2142.31</v>
      </c>
      <c r="G58" s="420" t="n">
        <v>2338.63</v>
      </c>
      <c r="H58" s="420" t="n">
        <v>2367</v>
      </c>
      <c r="I58" s="420" t="n">
        <v>2599.74</v>
      </c>
      <c r="J58" s="420" t="n">
        <v>2683.73</v>
      </c>
      <c r="K58" s="421" t="n">
        <v>2697.07</v>
      </c>
      <c r="L58" s="421" t="n">
        <v>3098.81</v>
      </c>
      <c r="M58" s="421" t="n">
        <v>3422.78</v>
      </c>
      <c r="N58" s="421" t="n">
        <v>3672.81</v>
      </c>
      <c r="O58" s="145">
        <f>K58/$K$66</f>
        <v/>
      </c>
      <c r="P58" s="107">
        <f>N58/N$66</f>
        <v/>
      </c>
      <c r="Q58" s="112">
        <f>N58/M58-1</f>
        <v/>
      </c>
      <c r="R58" s="112">
        <f>(N58/K58)^(1/3)-1</f>
        <v/>
      </c>
    </row>
    <row r="59">
      <c r="B59" s="82" t="inlineStr">
        <is>
          <t>National Insurance</t>
        </is>
      </c>
      <c r="C59" s="420" t="n"/>
      <c r="D59" s="420" t="n"/>
      <c r="E59" s="420" t="n"/>
      <c r="F59" s="420" t="n">
        <v>1493.5</v>
      </c>
      <c r="G59" s="420" t="n">
        <v>1634.26</v>
      </c>
      <c r="H59" s="420" t="n">
        <v>1737.96</v>
      </c>
      <c r="I59" s="420" t="n">
        <v>2082.99</v>
      </c>
      <c r="J59" s="420" t="n">
        <v>2227.78</v>
      </c>
      <c r="K59" s="421" t="n">
        <v>2184.75</v>
      </c>
      <c r="L59" s="421" t="n">
        <v>2332.59</v>
      </c>
      <c r="M59" s="421" t="n">
        <v>2444.14</v>
      </c>
      <c r="N59" s="421" t="n">
        <v>2619.65</v>
      </c>
      <c r="O59" s="145">
        <f>K59/$K$66</f>
        <v/>
      </c>
      <c r="P59" s="107">
        <f>N59/N$66</f>
        <v/>
      </c>
      <c r="Q59" s="112">
        <f>N59/M59-1</f>
        <v/>
      </c>
      <c r="R59" s="112">
        <f>(N59/K59)^(1/3)-1</f>
        <v/>
      </c>
    </row>
    <row r="60">
      <c r="B60" s="82" t="inlineStr">
        <is>
          <t>ICICI Lombard</t>
        </is>
      </c>
      <c r="C60" s="420" t="n"/>
      <c r="D60" s="420" t="n"/>
      <c r="E60" s="420" t="n"/>
      <c r="F60" s="420" t="n">
        <v>1080.6</v>
      </c>
      <c r="G60" s="420" t="n">
        <v>967.8200000000001</v>
      </c>
      <c r="H60" s="420" t="n">
        <v>585.2</v>
      </c>
      <c r="I60" s="420" t="n">
        <v>735.73</v>
      </c>
      <c r="J60" s="420" t="n">
        <v>885.99</v>
      </c>
      <c r="K60" s="421" t="n">
        <v>1037.22</v>
      </c>
      <c r="L60" s="421" t="n">
        <v>1244.52</v>
      </c>
      <c r="M60" s="421" t="n">
        <v>1556.23</v>
      </c>
      <c r="N60" s="421" t="n">
        <v>2351.2</v>
      </c>
      <c r="O60" s="145">
        <f>K60/$K$66</f>
        <v/>
      </c>
      <c r="P60" s="107">
        <f>N60/N$66</f>
        <v/>
      </c>
      <c r="Q60" s="112">
        <f>N60/M60-1</f>
        <v/>
      </c>
      <c r="R60" s="112">
        <f>(N60/K60)^(1/3)-1</f>
        <v/>
      </c>
    </row>
    <row r="61">
      <c r="B61" s="82" t="inlineStr">
        <is>
          <t>Aditya Birla</t>
        </is>
      </c>
      <c r="C61" s="420" t="n"/>
      <c r="D61" s="420" t="n"/>
      <c r="E61" s="420" t="n"/>
      <c r="F61" s="420" t="n">
        <v>76.91</v>
      </c>
      <c r="G61" s="420" t="n">
        <v>198.31</v>
      </c>
      <c r="H61" s="420" t="n">
        <v>349.56</v>
      </c>
      <c r="I61" s="420" t="n">
        <v>558.97</v>
      </c>
      <c r="J61" s="420" t="n">
        <v>680.05</v>
      </c>
      <c r="K61" s="421" t="n">
        <v>835.36</v>
      </c>
      <c r="L61" s="421" t="n">
        <v>1127.23</v>
      </c>
      <c r="M61" s="421" t="n">
        <v>1440.17</v>
      </c>
      <c r="N61" s="421" t="n">
        <v>2163.86</v>
      </c>
      <c r="O61" s="145">
        <f>K61/$K$66</f>
        <v/>
      </c>
      <c r="P61" s="107">
        <f>N61/N$66</f>
        <v/>
      </c>
      <c r="Q61" s="112">
        <f>N61/M61-1</f>
        <v/>
      </c>
      <c r="R61" s="112">
        <f>(N61/K61)^(1/3)-1</f>
        <v/>
      </c>
    </row>
    <row r="62">
      <c r="B62" s="82" t="inlineStr">
        <is>
          <t>Oriental Insurance</t>
        </is>
      </c>
      <c r="C62" s="420" t="n"/>
      <c r="D62" s="420" t="n"/>
      <c r="E62" s="420" t="n"/>
      <c r="F62" s="420" t="n">
        <v>1407.47</v>
      </c>
      <c r="G62" s="420" t="n">
        <v>1526.96</v>
      </c>
      <c r="H62" s="420" t="n">
        <v>1554.15</v>
      </c>
      <c r="I62" s="420" t="n">
        <v>1857.87</v>
      </c>
      <c r="J62" s="420" t="n">
        <v>1741.94</v>
      </c>
      <c r="K62" s="421" t="n">
        <v>1734.28</v>
      </c>
      <c r="L62" s="421" t="n">
        <v>1786.91</v>
      </c>
      <c r="M62" s="421" t="n">
        <v>1859.07</v>
      </c>
      <c r="N62" s="421" t="n">
        <v>2005.74</v>
      </c>
      <c r="O62" s="145">
        <f>K62/$K$66</f>
        <v/>
      </c>
      <c r="P62" s="107">
        <f>N62/N$66</f>
        <v/>
      </c>
      <c r="Q62" s="112">
        <f>N62/M62-1</f>
        <v/>
      </c>
      <c r="R62" s="112">
        <f>(N62/K62)^(1/3)-1</f>
        <v/>
      </c>
    </row>
    <row r="63">
      <c r="B63" s="82" t="inlineStr">
        <is>
          <t>United India</t>
        </is>
      </c>
      <c r="C63" s="420" t="n"/>
      <c r="D63" s="420" t="n"/>
      <c r="E63" s="420" t="n"/>
      <c r="F63" s="420" t="n">
        <v>1016</v>
      </c>
      <c r="G63" s="420" t="n">
        <v>1057.69</v>
      </c>
      <c r="H63" s="420" t="n">
        <v>1213.96</v>
      </c>
      <c r="I63" s="420" t="n">
        <v>1364.64</v>
      </c>
      <c r="J63" s="420" t="n">
        <v>1388.77</v>
      </c>
      <c r="K63" s="421" t="n">
        <v>1382.21</v>
      </c>
      <c r="L63" s="421" t="n">
        <v>1561.6</v>
      </c>
      <c r="M63" s="421" t="n">
        <v>1718.77</v>
      </c>
      <c r="N63" s="421" t="n">
        <v>1796.32</v>
      </c>
      <c r="O63" s="145">
        <f>K63/$K$66</f>
        <v/>
      </c>
      <c r="P63" s="107">
        <f>N63/N$66</f>
        <v/>
      </c>
      <c r="Q63" s="112">
        <f>N63/M63-1</f>
        <v/>
      </c>
      <c r="R63" s="112">
        <f>(N63/K63)^(1/3)-1</f>
        <v/>
      </c>
    </row>
    <row r="64">
      <c r="B64" s="82" t="inlineStr">
        <is>
          <t>Manipal Cigna</t>
        </is>
      </c>
      <c r="C64" s="420" t="n"/>
      <c r="D64" s="420" t="n"/>
      <c r="E64" s="420" t="n"/>
      <c r="F64" s="420" t="n">
        <v>219.91</v>
      </c>
      <c r="G64" s="420" t="n">
        <v>266.49</v>
      </c>
      <c r="H64" s="420" t="n">
        <v>312.31</v>
      </c>
      <c r="I64" s="420" t="n">
        <v>393.59</v>
      </c>
      <c r="J64" s="420" t="n">
        <v>463.68</v>
      </c>
      <c r="K64" s="421" t="n">
        <v>578.5700000000001</v>
      </c>
      <c r="L64" s="421" t="n">
        <v>746.08</v>
      </c>
      <c r="M64" s="421" t="n">
        <v>841.12</v>
      </c>
      <c r="N64" s="421" t="n">
        <v>1119.03</v>
      </c>
      <c r="O64" s="145">
        <f>K64/$K$66</f>
        <v/>
      </c>
      <c r="P64" s="107">
        <f>N64/N$66</f>
        <v/>
      </c>
      <c r="Q64" s="112">
        <f>N64/M64-1</f>
        <v/>
      </c>
      <c r="R64" s="112">
        <f>(N64/K64)^(1/3)-1</f>
        <v/>
      </c>
    </row>
    <row r="65">
      <c r="B65" s="82" t="inlineStr">
        <is>
          <t>Others</t>
        </is>
      </c>
      <c r="C65" s="420" t="n"/>
      <c r="D65" s="420" t="n"/>
      <c r="E65" s="420" t="n"/>
      <c r="F65" s="420">
        <f>F66-SUM(F54:F64)</f>
        <v/>
      </c>
      <c r="G65" s="420">
        <f>G66-SUM(G54:G64)</f>
        <v/>
      </c>
      <c r="H65" s="420">
        <f>H66-SUM(H54:H64)</f>
        <v/>
      </c>
      <c r="I65" s="420">
        <f>I66-SUM(I54:I64)</f>
        <v/>
      </c>
      <c r="J65" s="420">
        <f>J66-SUM(J54:J64)</f>
        <v/>
      </c>
      <c r="K65" s="421">
        <f>K66-SUM(K54:K64)</f>
        <v/>
      </c>
      <c r="L65" s="421">
        <f>L66-SUM(L54:L64)</f>
        <v/>
      </c>
      <c r="M65" s="421">
        <f>M66-SUM(M54:M64)</f>
        <v/>
      </c>
      <c r="N65" s="421">
        <f>N66-SUM(N54:N64)</f>
        <v/>
      </c>
      <c r="O65" s="145">
        <f>K65/$K$66</f>
        <v/>
      </c>
      <c r="P65" s="107">
        <f>N65/N$66</f>
        <v/>
      </c>
      <c r="Q65" s="112">
        <f>N65/M65-1</f>
        <v/>
      </c>
      <c r="R65" s="112">
        <f>(N65/K65)^(1/3)-1</f>
        <v/>
      </c>
    </row>
    <row r="66">
      <c r="B66" s="114" t="inlineStr">
        <is>
          <t>Total</t>
        </is>
      </c>
      <c r="C66" s="424" t="n"/>
      <c r="D66" s="424" t="n"/>
      <c r="E66" s="424" t="n"/>
      <c r="F66" s="424" t="n">
        <v>15832.57</v>
      </c>
      <c r="G66" s="424" t="n">
        <v>18318.99</v>
      </c>
      <c r="H66" s="424" t="n">
        <v>20466.21</v>
      </c>
      <c r="I66" s="424" t="n">
        <v>26301.19</v>
      </c>
      <c r="J66" s="424" t="n">
        <v>30737.52</v>
      </c>
      <c r="K66" s="424" t="n">
        <v>35434.93</v>
      </c>
      <c r="L66" s="424" t="n">
        <v>42168.98</v>
      </c>
      <c r="M66" s="424" t="n">
        <v>47291.27</v>
      </c>
      <c r="N66" s="424" t="n">
        <v>56695.78999999999</v>
      </c>
      <c r="O66" s="147">
        <f>K66/$K$66</f>
        <v/>
      </c>
      <c r="P66" s="115">
        <f>N66/N$66</f>
        <v/>
      </c>
      <c r="Q66" s="115">
        <f>N66/M66-1</f>
        <v/>
      </c>
      <c r="R66" s="116">
        <f>(N66/K66)^(1/3)-1</f>
        <v/>
      </c>
    </row>
    <row r="67">
      <c r="C67" s="420" t="n"/>
      <c r="D67" s="420" t="n"/>
      <c r="E67" s="420" t="n"/>
      <c r="F67" s="420" t="n"/>
      <c r="G67" s="420" t="n"/>
      <c r="H67" s="420" t="n"/>
      <c r="I67" s="420" t="n"/>
      <c r="J67" s="420" t="n"/>
      <c r="K67" s="421" t="n"/>
      <c r="L67" s="421" t="n"/>
      <c r="M67" s="421" t="n"/>
      <c r="N67" s="421" t="n"/>
      <c r="O67" s="421" t="n"/>
    </row>
    <row r="68">
      <c r="F68" s="425" t="n"/>
      <c r="G68" s="425" t="n"/>
      <c r="H68" s="425" t="n"/>
      <c r="I68" s="425" t="n"/>
      <c r="J68" s="425" t="n"/>
      <c r="K68" s="425" t="n"/>
      <c r="L68" s="425" t="n"/>
      <c r="M68" s="425" t="n"/>
      <c r="N68" s="425" t="n"/>
      <c r="O68" s="425" t="n"/>
    </row>
  </sheetData>
  <pageMargins left="0.7086614173228347" right="0.7086614173228347" top="0.7480314960629921" bottom="0.7480314960629921" header="0.3149606299212598" footer="0.3149606299212598"/>
  <pageSetup orientation="landscape" paperSize="9" scale="83" fitToHeight="0"/>
  <rowBreaks count="1" manualBreakCount="1">
    <brk id="28" min="0" max="18" man="1"/>
  </rowBreaks>
  <legacyDrawing xmlns:r="http://schemas.openxmlformats.org/officeDocument/2006/relationships" r:id="anysvml"/>
</worksheet>
</file>

<file path=xl/worksheets/sheet2.xml><?xml version="1.0" encoding="utf-8"?>
<worksheet xmlns="http://schemas.openxmlformats.org/spreadsheetml/2006/main">
  <sheetPr>
    <tabColor rgb="FF002060"/>
    <outlinePr summaryBelow="1" summaryRight="1"/>
    <pageSetUpPr fitToPage="1"/>
  </sheetPr>
  <dimension ref="A1:R96"/>
  <sheetViews>
    <sheetView showGridLines="0" view="pageBreakPreview" zoomScale="85" zoomScaleNormal="130" zoomScaleSheetLayoutView="85" workbookViewId="0">
      <pane xSplit="2" ySplit="3" topLeftCell="G5" activePane="bottomRight" state="frozen"/>
      <selection activeCell="E9" sqref="E9"/>
      <selection pane="topRight" activeCell="E9" sqref="E9"/>
      <selection pane="bottomLeft" activeCell="E9" sqref="E9"/>
      <selection pane="bottomRight" activeCell="B1" sqref="B1"/>
    </sheetView>
  </sheetViews>
  <sheetFormatPr baseColWidth="8" defaultRowHeight="14.5"/>
  <cols>
    <col width="3" bestFit="1" customWidth="1" min="1" max="1"/>
    <col width="28.26953125" bestFit="1" customWidth="1" min="2" max="2"/>
    <col hidden="1" outlineLevel="1" width="9.453125" customWidth="1" min="3" max="5"/>
    <col hidden="1" outlineLevel="1" width="11.26953125" customWidth="1" min="6" max="6"/>
    <col collapsed="1" width="9.453125" customWidth="1" min="7" max="7"/>
    <col width="9.453125" customWidth="1" min="8" max="8"/>
    <col hidden="1" outlineLevel="1" width="9.453125" customWidth="1" min="9" max="12"/>
    <col collapsed="1" width="9.453125" customWidth="1" min="13" max="13"/>
    <col width="9.453125" customWidth="1" min="14" max="14"/>
    <col hidden="1" outlineLevel="1" width="9.453125" customWidth="1" min="15" max="16"/>
    <col hidden="1" outlineLevel="1" width="10.453125" customWidth="1" min="17" max="17"/>
    <col collapsed="1" width="10.453125" customWidth="1" min="18" max="18"/>
    <col width="9.453125" customWidth="1" min="19" max="26"/>
  </cols>
  <sheetData>
    <row r="1">
      <c r="A1" s="4" t="inlineStr">
        <is>
          <t>xx</t>
        </is>
      </c>
      <c r="B1" s="4" t="inlineStr">
        <is>
          <t>GWP growth</t>
        </is>
      </c>
    </row>
    <row r="2">
      <c r="B2" s="322" t="inlineStr">
        <is>
          <t>Total Health GWP (INR cr)</t>
        </is>
      </c>
      <c r="C2" s="395" t="inlineStr">
        <is>
          <t>Previous FY</t>
        </is>
      </c>
      <c r="D2" s="427" t="n"/>
      <c r="E2" s="427" t="n"/>
      <c r="F2" s="427" t="n"/>
      <c r="G2" s="427" t="n"/>
      <c r="H2" s="428" t="n"/>
      <c r="I2" s="395" t="inlineStr">
        <is>
          <t>Current FY</t>
        </is>
      </c>
      <c r="J2" s="427" t="n"/>
      <c r="K2" s="427" t="n"/>
      <c r="L2" s="427" t="n"/>
      <c r="M2" s="427" t="n"/>
      <c r="N2" s="428" t="n"/>
      <c r="O2" s="321" t="inlineStr">
        <is>
          <t>YoY growth</t>
        </is>
      </c>
      <c r="P2" s="321" t="n"/>
      <c r="Q2" s="321" t="inlineStr">
        <is>
          <t>YoY growth</t>
        </is>
      </c>
      <c r="R2" s="321" t="inlineStr">
        <is>
          <t>YoY growth</t>
        </is>
      </c>
    </row>
    <row r="3">
      <c r="B3" s="323" t="n"/>
      <c r="C3" s="429" t="inlineStr">
        <is>
          <t>Q1FY25</t>
        </is>
      </c>
      <c r="D3" s="430" t="inlineStr">
        <is>
          <t>Q2FY25</t>
        </is>
      </c>
      <c r="E3" s="430" t="inlineStr">
        <is>
          <t>H1FY25</t>
        </is>
      </c>
      <c r="F3" s="430" t="inlineStr">
        <is>
          <t>upto Q3FY25</t>
        </is>
      </c>
      <c r="G3" s="430" t="inlineStr">
        <is>
          <t>Q4FY25</t>
        </is>
      </c>
      <c r="H3" s="430" t="inlineStr">
        <is>
          <t>FY25</t>
        </is>
      </c>
      <c r="I3" s="429" t="inlineStr">
        <is>
          <t>Q1FY26</t>
        </is>
      </c>
      <c r="J3" s="430" t="inlineStr">
        <is>
          <t>Q2FY26</t>
        </is>
      </c>
      <c r="K3" s="430" t="inlineStr">
        <is>
          <t>H1FY26</t>
        </is>
      </c>
      <c r="L3" s="430" t="inlineStr">
        <is>
          <t>upto Q3FY26</t>
        </is>
      </c>
      <c r="M3" s="430" t="inlineStr">
        <is>
          <t>Q4FY26</t>
        </is>
      </c>
      <c r="N3" s="430" t="inlineStr">
        <is>
          <t>FY26</t>
        </is>
      </c>
      <c r="O3" s="430" t="inlineStr">
        <is>
          <t>Q1 yoy%</t>
        </is>
      </c>
      <c r="P3" s="430" t="inlineStr">
        <is>
          <t>Q2 yoy%</t>
        </is>
      </c>
      <c r="Q3" s="431" t="inlineStr">
        <is>
          <t>H1 yoy%</t>
        </is>
      </c>
      <c r="R3" s="431" t="inlineStr">
        <is>
          <t>Q4 yoy%</t>
        </is>
      </c>
    </row>
    <row r="4">
      <c r="B4" s="276" t="inlineStr">
        <is>
          <t>SAHIs &gt;&gt;</t>
        </is>
      </c>
      <c r="C4" s="280" t="n"/>
      <c r="D4" s="268" t="n"/>
      <c r="E4" s="268" t="n"/>
      <c r="F4" s="268" t="n"/>
      <c r="G4" s="268" t="n"/>
      <c r="H4" s="268" t="n"/>
      <c r="I4" s="280" t="n"/>
      <c r="J4" s="268" t="n"/>
      <c r="K4" s="268" t="n"/>
      <c r="L4" s="268" t="n"/>
      <c r="M4" s="268" t="n"/>
      <c r="N4" s="268" t="n"/>
      <c r="O4" s="269" t="n"/>
      <c r="P4" s="269" t="n"/>
      <c r="Q4" s="270" t="n"/>
      <c r="R4" s="270" t="n"/>
    </row>
    <row r="5">
      <c r="B5" s="277" t="inlineStr">
        <is>
          <t>Star Health</t>
        </is>
      </c>
      <c r="C5" s="282">
        <f>'Q1''26 GWP'!F5</f>
        <v/>
      </c>
      <c r="D5" s="219">
        <f>E5-C5</f>
        <v/>
      </c>
      <c r="E5" s="219" t="n">
        <v>7721.64</v>
      </c>
      <c r="F5" s="219" t="n">
        <v>11466.15</v>
      </c>
      <c r="G5" s="219">
        <f>H5-F5</f>
        <v/>
      </c>
      <c r="H5" s="219" t="n">
        <v>16526.25</v>
      </c>
      <c r="I5" s="282">
        <f>'Q1''26 GWP'!J5</f>
        <v/>
      </c>
      <c r="J5" s="219">
        <f>K5-I5</f>
        <v/>
      </c>
      <c r="K5" s="219" t="n">
        <v>7984.12</v>
      </c>
      <c r="L5" s="219" t="n">
        <v>12518.16</v>
      </c>
      <c r="M5" s="219">
        <f>N5-L5</f>
        <v/>
      </c>
      <c r="N5" s="219" t="n">
        <v>18435.04</v>
      </c>
      <c r="O5" s="271">
        <f>IFERROR(I5/C5-1,"nm")</f>
        <v/>
      </c>
      <c r="P5" s="271">
        <f>IFERROR(J5/D5-1,"nm")</f>
        <v/>
      </c>
      <c r="Q5" s="272">
        <f>IFERROR(K5/E5-1,"nm")</f>
        <v/>
      </c>
      <c r="R5" s="272">
        <f>IFERROR(M5/G5-1,"nm")</f>
        <v/>
      </c>
    </row>
    <row r="6">
      <c r="B6" s="277" t="inlineStr">
        <is>
          <t>Care</t>
        </is>
      </c>
      <c r="C6" s="282">
        <f>'Q1''26 GWP'!F6</f>
        <v/>
      </c>
      <c r="D6" s="219">
        <f>E6-C6</f>
        <v/>
      </c>
      <c r="E6" s="219" t="n">
        <v>4063.88</v>
      </c>
      <c r="F6" s="219" t="n">
        <v>5860.76</v>
      </c>
      <c r="G6" s="219">
        <f>H6-F6</f>
        <v/>
      </c>
      <c r="H6" s="219" t="n">
        <v>8113.66</v>
      </c>
      <c r="I6" s="282">
        <f>'Q1''26 GWP'!J6</f>
        <v/>
      </c>
      <c r="J6" s="219">
        <f>K6-I6</f>
        <v/>
      </c>
      <c r="K6" s="219" t="n">
        <v>4255.83</v>
      </c>
      <c r="L6" s="219" t="n">
        <v>6698.1</v>
      </c>
      <c r="M6" s="219">
        <f>N6-L6</f>
        <v/>
      </c>
      <c r="N6" s="219" t="n">
        <v>9768.4</v>
      </c>
      <c r="O6" s="271">
        <f>IFERROR(I6/C6-1,"nm")</f>
        <v/>
      </c>
      <c r="P6" s="271">
        <f>IFERROR(J6/D6-1,"nm")</f>
        <v/>
      </c>
      <c r="Q6" s="272">
        <f>IFERROR(K6/E6-1,"nm")</f>
        <v/>
      </c>
      <c r="R6" s="272">
        <f>IFERROR(M6/G6-1,"nm")</f>
        <v/>
      </c>
    </row>
    <row r="7">
      <c r="B7" s="278" t="inlineStr">
        <is>
          <t>Niva Bupa</t>
        </is>
      </c>
      <c r="C7" s="283">
        <f>'Q1''26 GWP'!F7</f>
        <v/>
      </c>
      <c r="D7" s="273">
        <f>E7-C7</f>
        <v/>
      </c>
      <c r="E7" s="273" t="n">
        <v>3176.24</v>
      </c>
      <c r="F7" s="273" t="n">
        <v>4591.58</v>
      </c>
      <c r="G7" s="273">
        <f>H7-F7</f>
        <v/>
      </c>
      <c r="H7" s="273" t="n">
        <v>6634.53</v>
      </c>
      <c r="I7" s="283">
        <f>'Q1''26 GWP'!J7</f>
        <v/>
      </c>
      <c r="J7" s="273">
        <f>K7-I7</f>
        <v/>
      </c>
      <c r="K7" s="273" t="n">
        <v>3428.75</v>
      </c>
      <c r="L7" s="273" t="n">
        <v>5633.17</v>
      </c>
      <c r="M7" s="273">
        <f>N7-L7</f>
        <v/>
      </c>
      <c r="N7" s="273" t="n">
        <v>8479.66</v>
      </c>
      <c r="O7" s="274">
        <f>IFERROR(I7/C7-1,"nm")</f>
        <v/>
      </c>
      <c r="P7" s="274">
        <f>IFERROR(J7/D7-1,"nm")</f>
        <v/>
      </c>
      <c r="Q7" s="275">
        <f>IFERROR(K7/E7-1,"nm")</f>
        <v/>
      </c>
      <c r="R7" s="275">
        <f>IFERROR(M7/G7-1,"nm")</f>
        <v/>
      </c>
    </row>
    <row r="8">
      <c r="B8" s="277" t="inlineStr">
        <is>
          <t>Aditya Birla</t>
        </is>
      </c>
      <c r="C8" s="282">
        <f>'Q1''26 GWP'!F8</f>
        <v/>
      </c>
      <c r="D8" s="219">
        <f>E8-C8</f>
        <v/>
      </c>
      <c r="E8" s="219" t="n">
        <v>2045.73</v>
      </c>
      <c r="F8" s="219" t="n">
        <v>2923.94</v>
      </c>
      <c r="G8" s="219">
        <f>H8-F8</f>
        <v/>
      </c>
      <c r="H8" s="219" t="n">
        <v>4446.81</v>
      </c>
      <c r="I8" s="282">
        <f>'Q1''26 GWP'!J8</f>
        <v/>
      </c>
      <c r="J8" s="219">
        <f>K8-I8</f>
        <v/>
      </c>
      <c r="K8" s="219" t="n">
        <v>2611.84</v>
      </c>
      <c r="L8" s="219" t="n">
        <v>4107.01</v>
      </c>
      <c r="M8" s="219">
        <f>N8-L8</f>
        <v/>
      </c>
      <c r="N8" s="219" t="n">
        <v>5825.47</v>
      </c>
      <c r="O8" s="271">
        <f>IFERROR(I8/C8-1,"nm")</f>
        <v/>
      </c>
      <c r="P8" s="271">
        <f>IFERROR(J8/D8-1,"nm")</f>
        <v/>
      </c>
      <c r="Q8" s="272">
        <f>IFERROR(K8/E8-1,"nm")</f>
        <v/>
      </c>
      <c r="R8" s="272">
        <f>IFERROR(M8/G8-1,"nm")</f>
        <v/>
      </c>
    </row>
    <row r="9">
      <c r="B9" s="277" t="inlineStr">
        <is>
          <t>Manipal Cigna</t>
        </is>
      </c>
      <c r="C9" s="282">
        <f>'Q1''26 GWP'!F9</f>
        <v/>
      </c>
      <c r="D9" s="219">
        <f>E9-C9</f>
        <v/>
      </c>
      <c r="E9" s="219" t="n">
        <v>815.91</v>
      </c>
      <c r="F9" s="219" t="n">
        <v>1187.45</v>
      </c>
      <c r="G9" s="219">
        <f>H9-F9</f>
        <v/>
      </c>
      <c r="H9" s="219" t="n">
        <v>1767.54</v>
      </c>
      <c r="I9" s="282">
        <f>'Q1''26 GWP'!J9</f>
        <v/>
      </c>
      <c r="J9" s="219">
        <f>K9-I9</f>
        <v/>
      </c>
      <c r="K9" s="219" t="n">
        <v>942.91</v>
      </c>
      <c r="L9" s="219" t="n">
        <v>1512.44</v>
      </c>
      <c r="M9" s="219">
        <f>N9-L9</f>
        <v/>
      </c>
      <c r="N9" s="219" t="n">
        <v>2170.31</v>
      </c>
      <c r="O9" s="271">
        <f>IFERROR(I9/C9-1,"nm")</f>
        <v/>
      </c>
      <c r="P9" s="271">
        <f>IFERROR(J9/D9-1,"nm")</f>
        <v/>
      </c>
      <c r="Q9" s="272">
        <f>IFERROR(K9/E9-1,"nm")</f>
        <v/>
      </c>
      <c r="R9" s="272">
        <f>IFERROR(M9/G9-1,"nm")</f>
        <v/>
      </c>
    </row>
    <row r="10">
      <c r="B10" s="277" t="inlineStr">
        <is>
          <t>Galaxy Health</t>
        </is>
      </c>
      <c r="C10" s="432">
        <f>'Q1''26 GWP'!F10</f>
        <v/>
      </c>
      <c r="D10" s="433">
        <f>E10-C10</f>
        <v/>
      </c>
      <c r="E10" s="433" t="n"/>
      <c r="F10" s="433" t="n">
        <v>2.38</v>
      </c>
      <c r="G10" s="433">
        <f>H10-F10</f>
        <v/>
      </c>
      <c r="H10" s="433" t="n">
        <v>16</v>
      </c>
      <c r="I10" s="282">
        <f>'Q1''26 GWP'!J10</f>
        <v/>
      </c>
      <c r="J10" s="433">
        <f>K10-I10</f>
        <v/>
      </c>
      <c r="K10" s="219" t="n">
        <v>38.41</v>
      </c>
      <c r="L10" s="219" t="n">
        <v>71.77</v>
      </c>
      <c r="M10" s="219">
        <f>N10-L10</f>
        <v/>
      </c>
      <c r="N10" s="219" t="n">
        <v>141</v>
      </c>
      <c r="O10" s="271">
        <f>IFERROR(I10/C10-1,"nm")</f>
        <v/>
      </c>
      <c r="P10" s="271">
        <f>IFERROR(J10/D10-1,"nm")</f>
        <v/>
      </c>
      <c r="Q10" s="272">
        <f>IFERROR(K10/E10-1,"nm")</f>
        <v/>
      </c>
      <c r="R10" s="272">
        <f>IFERROR(M10/G10-1,"nm")</f>
        <v/>
      </c>
    </row>
    <row r="11">
      <c r="B11" s="277" t="inlineStr">
        <is>
          <t>Narayana Health</t>
        </is>
      </c>
      <c r="C11" s="432">
        <f>'Q1''26 GWP'!F11</f>
        <v/>
      </c>
      <c r="D11" s="433">
        <f>E11-C11</f>
        <v/>
      </c>
      <c r="E11" s="433" t="n"/>
      <c r="F11" s="433" t="n">
        <v>0</v>
      </c>
      <c r="G11" s="433">
        <f>H11-F11</f>
        <v/>
      </c>
      <c r="H11" s="433" t="n">
        <v>0</v>
      </c>
      <c r="I11" s="282">
        <f>'Q1''26 GWP'!J11</f>
        <v/>
      </c>
      <c r="J11" s="433">
        <f>K11-I11</f>
        <v/>
      </c>
      <c r="K11" s="219" t="n">
        <v>8.699999999999999</v>
      </c>
      <c r="L11" s="219" t="n">
        <v>23.95</v>
      </c>
      <c r="M11" s="219">
        <f>N11-L11</f>
        <v/>
      </c>
      <c r="N11" s="219" t="n">
        <v>43.84999999999999</v>
      </c>
      <c r="O11" s="271">
        <f>IFERROR(I11/C11-1,"nm")</f>
        <v/>
      </c>
      <c r="P11" s="271">
        <f>IFERROR(J11/D11-1,"nm")</f>
        <v/>
      </c>
      <c r="Q11" s="272">
        <f>IFERROR(K11/E11-1,"nm")</f>
        <v/>
      </c>
      <c r="R11" s="272">
        <f>IFERROR(M11/G11-1,"nm")</f>
        <v/>
      </c>
    </row>
    <row r="12">
      <c r="B12" s="276" t="inlineStr">
        <is>
          <t>Private Multi-line &gt;&gt;</t>
        </is>
      </c>
      <c r="C12" s="280" t="n"/>
      <c r="D12" s="268" t="n"/>
      <c r="E12" s="268" t="n"/>
      <c r="F12" s="268" t="n"/>
      <c r="G12" s="268" t="n"/>
      <c r="H12" s="268" t="n"/>
      <c r="I12" s="280" t="n"/>
      <c r="J12" s="268" t="n"/>
      <c r="K12" s="268" t="n"/>
      <c r="L12" s="268" t="n"/>
      <c r="M12" s="268" t="n"/>
      <c r="N12" s="268" t="n"/>
      <c r="O12" s="269" t="n"/>
      <c r="P12" s="269" t="n"/>
      <c r="Q12" s="270" t="n"/>
      <c r="R12" s="270" t="n"/>
    </row>
    <row r="13">
      <c r="B13" s="277" t="inlineStr">
        <is>
          <t>HDFC Ergo</t>
        </is>
      </c>
      <c r="C13" s="282">
        <f>'Q1''26 GWP'!F13</f>
        <v/>
      </c>
      <c r="D13" s="219">
        <f>E13-C13</f>
        <v/>
      </c>
      <c r="E13" s="219" t="n">
        <v>3042.95</v>
      </c>
      <c r="F13" s="219" t="n">
        <v>4169.66</v>
      </c>
      <c r="G13" s="219">
        <f>H13-F13</f>
        <v/>
      </c>
      <c r="H13" s="219" t="n">
        <v>5753.1</v>
      </c>
      <c r="I13" s="282">
        <f>'Q1''26 GWP'!J13</f>
        <v/>
      </c>
      <c r="J13" s="219">
        <f>K13-I13</f>
        <v/>
      </c>
      <c r="K13" s="219" t="n">
        <v>2844.68</v>
      </c>
      <c r="L13" s="219" t="n">
        <v>4481.45</v>
      </c>
      <c r="M13" s="219">
        <f>N13-L13</f>
        <v/>
      </c>
      <c r="N13" s="219" t="n">
        <v>6672.73</v>
      </c>
      <c r="O13" s="271">
        <f>IFERROR(I13/C13-1,"nm")</f>
        <v/>
      </c>
      <c r="P13" s="271">
        <f>IFERROR(J13/D13-1,"nm")</f>
        <v/>
      </c>
      <c r="Q13" s="272">
        <f>IFERROR(K13/E13-1,"nm")</f>
        <v/>
      </c>
      <c r="R13" s="272">
        <f>IFERROR(M13/G13-1,"nm")</f>
        <v/>
      </c>
    </row>
    <row r="14">
      <c r="B14" s="277" t="inlineStr">
        <is>
          <t>ICICI Lombard</t>
        </is>
      </c>
      <c r="C14" s="282">
        <f>'Q1''26 GWP'!F14</f>
        <v/>
      </c>
      <c r="D14" s="219">
        <f>E14-C14</f>
        <v/>
      </c>
      <c r="E14" s="219" t="n">
        <v>4012.19</v>
      </c>
      <c r="F14" s="219" t="n">
        <v>5373.71</v>
      </c>
      <c r="G14" s="219">
        <f>H14-F14</f>
        <v/>
      </c>
      <c r="H14" s="219" t="n">
        <v>7188.300000000001</v>
      </c>
      <c r="I14" s="282">
        <f>'Q1''26 GWP'!J14</f>
        <v/>
      </c>
      <c r="J14" s="219">
        <f>K14-I14</f>
        <v/>
      </c>
      <c r="K14" s="219" t="n">
        <v>4193.42</v>
      </c>
      <c r="L14" s="219" t="n">
        <v>6125.41</v>
      </c>
      <c r="M14" s="219">
        <f>N14-L14</f>
        <v/>
      </c>
      <c r="N14" s="219" t="n">
        <v>8617.279999999999</v>
      </c>
      <c r="O14" s="271">
        <f>IFERROR(I14/C14-1,"nm")</f>
        <v/>
      </c>
      <c r="P14" s="271">
        <f>IFERROR(J14/D14-1,"nm")</f>
        <v/>
      </c>
      <c r="Q14" s="272">
        <f>IFERROR(K14/E14-1,"nm")</f>
        <v/>
      </c>
      <c r="R14" s="272">
        <f>IFERROR(M14/G14-1,"nm")</f>
        <v/>
      </c>
    </row>
    <row r="15">
      <c r="B15" s="279" t="inlineStr">
        <is>
          <t>Bajaj Allianz</t>
        </is>
      </c>
      <c r="C15" s="282">
        <f>'Q1''26 GWP'!F15</f>
        <v/>
      </c>
      <c r="D15" s="219">
        <f>E15-C15</f>
        <v/>
      </c>
      <c r="E15" s="219" t="n">
        <v>3696.28</v>
      </c>
      <c r="F15" s="219" t="n">
        <v>6953.02</v>
      </c>
      <c r="G15" s="219">
        <f>H15-F15</f>
        <v/>
      </c>
      <c r="H15" s="219" t="n">
        <v>7828.79</v>
      </c>
      <c r="I15" s="282">
        <f>'Q1''26 GWP'!J15</f>
        <v/>
      </c>
      <c r="J15" s="219">
        <f>K15-I15</f>
        <v/>
      </c>
      <c r="K15" s="219" t="n">
        <v>3712.69</v>
      </c>
      <c r="L15" s="219" t="n">
        <v>7389.41</v>
      </c>
      <c r="M15" s="219">
        <f>N15-L15</f>
        <v/>
      </c>
      <c r="N15" s="219" t="n">
        <v>8525.57</v>
      </c>
      <c r="O15" s="271">
        <f>IFERROR(I15/C15-1,"nm")</f>
        <v/>
      </c>
      <c r="P15" s="271">
        <f>IFERROR(J15/D15-1,"nm")</f>
        <v/>
      </c>
      <c r="Q15" s="272">
        <f>IFERROR(K15/E15-1,"nm")</f>
        <v/>
      </c>
      <c r="R15" s="272">
        <f>IFERROR(M15/G15-1,"nm")</f>
        <v/>
      </c>
    </row>
    <row r="16">
      <c r="B16" s="279" t="inlineStr">
        <is>
          <t>Reliance</t>
        </is>
      </c>
      <c r="C16" s="282">
        <f>'Q1''26 GWP'!F16</f>
        <v/>
      </c>
      <c r="D16" s="219">
        <f>E16-C16</f>
        <v/>
      </c>
      <c r="E16" s="219" t="n">
        <v>1136.48</v>
      </c>
      <c r="F16" s="219" t="n">
        <v>1627.82</v>
      </c>
      <c r="G16" s="219">
        <f>H16-F16</f>
        <v/>
      </c>
      <c r="H16" s="219" t="n">
        <v>1909.11</v>
      </c>
      <c r="I16" s="282">
        <f>'Q1''26 GWP'!J16</f>
        <v/>
      </c>
      <c r="J16" s="219">
        <f>K16-I16</f>
        <v/>
      </c>
      <c r="K16" s="219" t="n">
        <v>1593.09</v>
      </c>
      <c r="L16" s="219" t="n">
        <v>2029.02</v>
      </c>
      <c r="M16" s="219">
        <f>N16-L16</f>
        <v/>
      </c>
      <c r="N16" s="219" t="n">
        <v>2435.35</v>
      </c>
      <c r="O16" s="271">
        <f>IFERROR(I16/C16-1,"nm")</f>
        <v/>
      </c>
      <c r="P16" s="271">
        <f>IFERROR(J16/D16-1,"nm")</f>
        <v/>
      </c>
      <c r="Q16" s="272">
        <f>IFERROR(K16/E16-1,"nm")</f>
        <v/>
      </c>
      <c r="R16" s="272">
        <f>IFERROR(M16/G16-1,"nm")</f>
        <v/>
      </c>
    </row>
    <row r="17">
      <c r="B17" s="279" t="inlineStr">
        <is>
          <t>SBI GI</t>
        </is>
      </c>
      <c r="C17" s="282">
        <f>'Q1''26 GWP'!F17</f>
        <v/>
      </c>
      <c r="D17" s="219">
        <f>E17-C17</f>
        <v/>
      </c>
      <c r="E17" s="219" t="n">
        <v>1253.95</v>
      </c>
      <c r="F17" s="219" t="n">
        <v>1946.87</v>
      </c>
      <c r="G17" s="219">
        <f>H17-F17</f>
        <v/>
      </c>
      <c r="H17" s="219" t="n">
        <v>3433.69</v>
      </c>
      <c r="I17" s="282">
        <f>'Q1''26 GWP'!J17</f>
        <v/>
      </c>
      <c r="J17" s="219">
        <f>K17-I17</f>
        <v/>
      </c>
      <c r="K17" s="219" t="n">
        <v>1700.21</v>
      </c>
      <c r="L17" s="219" t="n">
        <v>2535.61</v>
      </c>
      <c r="M17" s="219">
        <f>N17-L17</f>
        <v/>
      </c>
      <c r="N17" s="219" t="n">
        <v>4372.940000000001</v>
      </c>
      <c r="O17" s="271">
        <f>IFERROR(I17/C17-1,"nm")</f>
        <v/>
      </c>
      <c r="P17" s="271">
        <f>IFERROR(J17/D17-1,"nm")</f>
        <v/>
      </c>
      <c r="Q17" s="272">
        <f>IFERROR(K17/E17-1,"nm")</f>
        <v/>
      </c>
      <c r="R17" s="272">
        <f>IFERROR(M17/G17-1,"nm")</f>
        <v/>
      </c>
    </row>
    <row r="18">
      <c r="B18" s="276" t="inlineStr">
        <is>
          <t>PSUs &gt;&gt;</t>
        </is>
      </c>
      <c r="C18" s="280" t="n"/>
      <c r="D18" s="268" t="n"/>
      <c r="E18" s="268" t="n"/>
      <c r="F18" s="268" t="n"/>
      <c r="G18" s="268" t="n"/>
      <c r="H18" s="268" t="n"/>
      <c r="I18" s="280" t="n"/>
      <c r="J18" s="268" t="n"/>
      <c r="K18" s="268" t="n"/>
      <c r="L18" s="268" t="n"/>
      <c r="M18" s="268" t="n"/>
      <c r="N18" s="268" t="n"/>
      <c r="O18" s="269" t="n"/>
      <c r="P18" s="269" t="n"/>
      <c r="Q18" s="270" t="n"/>
      <c r="R18" s="270" t="n"/>
    </row>
    <row r="19">
      <c r="B19" s="277" t="inlineStr">
        <is>
          <t>New India</t>
        </is>
      </c>
      <c r="C19" s="282">
        <f>'Q1''26 GWP'!F19</f>
        <v/>
      </c>
      <c r="D19" s="219">
        <f>E19-C19</f>
        <v/>
      </c>
      <c r="E19" s="219" t="n">
        <v>10068.08</v>
      </c>
      <c r="F19" s="219" t="n">
        <v>15097.46</v>
      </c>
      <c r="G19" s="219">
        <f>H19-F19</f>
        <v/>
      </c>
      <c r="H19" s="219" t="n">
        <v>19194.69</v>
      </c>
      <c r="I19" s="282">
        <f>'Q1''26 GWP'!J19</f>
        <v/>
      </c>
      <c r="J19" s="219">
        <f>K19-I19</f>
        <v/>
      </c>
      <c r="K19" s="219" t="n">
        <v>11342.68</v>
      </c>
      <c r="L19" s="219" t="n">
        <v>17549.18</v>
      </c>
      <c r="M19" s="219">
        <f>N19-L19</f>
        <v/>
      </c>
      <c r="N19" s="219" t="n">
        <v>21531.52</v>
      </c>
      <c r="O19" s="271">
        <f>IFERROR(I19/C19-1,"nm")</f>
        <v/>
      </c>
      <c r="P19" s="271">
        <f>IFERROR(J19/D19-1,"nm")</f>
        <v/>
      </c>
      <c r="Q19" s="272">
        <f>IFERROR(K19/E19-1,"nm")</f>
        <v/>
      </c>
      <c r="R19" s="272">
        <f>IFERROR(M19/G19-1,"nm")</f>
        <v/>
      </c>
    </row>
    <row r="20">
      <c r="B20" s="277" t="inlineStr">
        <is>
          <t>National Insurance</t>
        </is>
      </c>
      <c r="C20" s="282">
        <f>'Q1''26 GWP'!F20</f>
        <v/>
      </c>
      <c r="D20" s="219">
        <f>E20-C20</f>
        <v/>
      </c>
      <c r="E20" s="219" t="n">
        <v>3523.3</v>
      </c>
      <c r="F20" s="219" t="n">
        <v>6442.04</v>
      </c>
      <c r="G20" s="219">
        <f>H20-F20</f>
        <v/>
      </c>
      <c r="H20" s="219" t="n">
        <v>7967.52</v>
      </c>
      <c r="I20" s="282">
        <f>'Q1''26 GWP'!J20</f>
        <v/>
      </c>
      <c r="J20" s="219">
        <f>K20-I20</f>
        <v/>
      </c>
      <c r="K20" s="219" t="n">
        <v>3560.11</v>
      </c>
      <c r="L20" s="219" t="n">
        <v>6863.24</v>
      </c>
      <c r="M20" s="219">
        <f>N20-L20</f>
        <v/>
      </c>
      <c r="N20" s="219" t="n">
        <v>8278.780000000001</v>
      </c>
      <c r="O20" s="271">
        <f>IFERROR(I20/C20-1,"nm")</f>
        <v/>
      </c>
      <c r="P20" s="271">
        <f>IFERROR(J20/D20-1,"nm")</f>
        <v/>
      </c>
      <c r="Q20" s="272">
        <f>IFERROR(K20/E20-1,"nm")</f>
        <v/>
      </c>
      <c r="R20" s="272">
        <f>IFERROR(M20/G20-1,"nm")</f>
        <v/>
      </c>
    </row>
    <row r="21">
      <c r="B21" s="104" t="inlineStr">
        <is>
          <t>Oriental Insurance</t>
        </is>
      </c>
      <c r="C21" s="282">
        <f>'Q1''26 GWP'!F21</f>
        <v/>
      </c>
      <c r="D21" s="219">
        <f>E21-C21</f>
        <v/>
      </c>
      <c r="E21" s="219" t="n">
        <v>4439.12</v>
      </c>
      <c r="F21" s="219" t="n">
        <v>6201.56</v>
      </c>
      <c r="G21" s="219">
        <f>H21-F21</f>
        <v/>
      </c>
      <c r="H21" s="219" t="n">
        <v>8242.870000000001</v>
      </c>
      <c r="I21" s="282">
        <f>'Q1''26 GWP'!J21</f>
        <v/>
      </c>
      <c r="J21" s="219">
        <f>K21-I21</f>
        <v/>
      </c>
      <c r="K21" s="219" t="n">
        <v>4504.31</v>
      </c>
      <c r="L21" s="219" t="n">
        <v>6552.39</v>
      </c>
      <c r="M21" s="219">
        <f>N21-L21</f>
        <v/>
      </c>
      <c r="N21" s="219" t="n">
        <v>8793.9</v>
      </c>
      <c r="O21" s="271">
        <f>IFERROR(I21/C21-1,"nm")</f>
        <v/>
      </c>
      <c r="P21" s="271">
        <f>IFERROR(J21/D21-1,"nm")</f>
        <v/>
      </c>
      <c r="Q21" s="272">
        <f>IFERROR(K21/E21-1,"nm")</f>
        <v/>
      </c>
      <c r="R21" s="272">
        <f>IFERROR(M21/G21-1,"nm")</f>
        <v/>
      </c>
    </row>
    <row r="22">
      <c r="B22" s="104" t="inlineStr">
        <is>
          <t>United India</t>
        </is>
      </c>
      <c r="C22" s="282">
        <f>'Q1''26 GWP'!F22</f>
        <v/>
      </c>
      <c r="D22" s="219">
        <f>E22-C22</f>
        <v/>
      </c>
      <c r="E22" s="219" t="n">
        <v>3730.57</v>
      </c>
      <c r="F22" s="219" t="n">
        <v>4901.41</v>
      </c>
      <c r="G22" s="219">
        <f>H22-F22</f>
        <v/>
      </c>
      <c r="H22" s="219" t="n">
        <v>7034.29</v>
      </c>
      <c r="I22" s="282">
        <f>'Q1''26 GWP'!J22</f>
        <v/>
      </c>
      <c r="J22" s="219">
        <f>K22-I22</f>
        <v/>
      </c>
      <c r="K22" s="219" t="n">
        <v>3821.36</v>
      </c>
      <c r="L22" s="219" t="n">
        <v>5068.69</v>
      </c>
      <c r="M22" s="219">
        <f>N22-L22</f>
        <v/>
      </c>
      <c r="N22" s="219" t="n">
        <v>7836.309999999999</v>
      </c>
      <c r="O22" s="271">
        <f>IFERROR(I22/C22-1,"nm")</f>
        <v/>
      </c>
      <c r="P22" s="271">
        <f>IFERROR(J22/D22-1,"nm")</f>
        <v/>
      </c>
      <c r="Q22" s="272">
        <f>IFERROR(K22/E22-1,"nm")</f>
        <v/>
      </c>
      <c r="R22" s="272">
        <f>IFERROR(M22/G22-1,"nm")</f>
        <v/>
      </c>
    </row>
    <row r="23">
      <c r="B23" s="276" t="inlineStr">
        <is>
          <t>Others</t>
        </is>
      </c>
      <c r="C23" s="280">
        <f>'Q1''26 GWP'!F23</f>
        <v/>
      </c>
      <c r="D23" s="268">
        <f>E23-C23</f>
        <v/>
      </c>
      <c r="E23" s="268">
        <f>E24-SUM(E5:E22)</f>
        <v/>
      </c>
      <c r="F23" s="268">
        <f>F24-SUM(F5:F22)</f>
        <v/>
      </c>
      <c r="G23" s="268">
        <f>H23-F23</f>
        <v/>
      </c>
      <c r="H23" s="268">
        <f>H24-SUM(H5:H22)</f>
        <v/>
      </c>
      <c r="I23" s="280">
        <f>'Q1''26 GWP'!J23</f>
        <v/>
      </c>
      <c r="J23" s="268">
        <f>K23-I23</f>
        <v/>
      </c>
      <c r="K23" s="268">
        <f>K24-SUM(K5:K22)</f>
        <v/>
      </c>
      <c r="L23" s="268">
        <f>L24-SUM(L5:L22)</f>
        <v/>
      </c>
      <c r="M23" s="268">
        <f>M24-SUM(M5:M22)</f>
        <v/>
      </c>
      <c r="N23" s="268">
        <f>N24-SUM(N5:N22)</f>
        <v/>
      </c>
      <c r="O23" s="269">
        <f>IFERROR(I23/C23-1,"nm")</f>
        <v/>
      </c>
      <c r="P23" s="269">
        <f>IFERROR(J23/D23-1,"nm")</f>
        <v/>
      </c>
      <c r="Q23" s="270">
        <f>IFERROR(K23/E23-1,"nm")</f>
        <v/>
      </c>
      <c r="R23" s="270">
        <f>IFERROR(M23/G23-1,"nm")</f>
        <v/>
      </c>
    </row>
    <row r="24">
      <c r="B24" s="290" t="inlineStr">
        <is>
          <t>Total Health GWP (INR cr)</t>
        </is>
      </c>
      <c r="C24" s="291">
        <f>'Q1''26 GWP'!F24</f>
        <v/>
      </c>
      <c r="D24" s="292">
        <f>E24-C24</f>
        <v/>
      </c>
      <c r="E24" s="292" t="n">
        <v>59607.16</v>
      </c>
      <c r="F24" s="292" t="n">
        <v>88243.45999999999</v>
      </c>
      <c r="G24" s="292">
        <f>H24-F24</f>
        <v/>
      </c>
      <c r="H24" s="292" t="n">
        <v>118857.63</v>
      </c>
      <c r="I24" s="291">
        <f>'Q1''26 GWP'!J24</f>
        <v/>
      </c>
      <c r="J24" s="292">
        <f>K24-I24</f>
        <v/>
      </c>
      <c r="K24" s="292" t="n">
        <v>64240.39999999999</v>
      </c>
      <c r="L24" s="292" t="n">
        <v>100234.21</v>
      </c>
      <c r="M24" s="292">
        <f>N24-L24</f>
        <v/>
      </c>
      <c r="N24" s="292" t="n">
        <v>137144.46</v>
      </c>
      <c r="O24" s="294">
        <f>IFERROR(I24/C24-1,"nm")</f>
        <v/>
      </c>
      <c r="P24" s="294">
        <f>IFERROR(J24/D24-1,"nm")</f>
        <v/>
      </c>
      <c r="Q24" s="295">
        <f>IFERROR(K24/E24-1,"nm")</f>
        <v/>
      </c>
      <c r="R24" s="295">
        <f>IFERROR(M24/G24-1,"nm")</f>
        <v/>
      </c>
    </row>
    <row r="26">
      <c r="B26" s="322" t="inlineStr">
        <is>
          <t>Retail Health GWP (INR cr)</t>
        </is>
      </c>
      <c r="C26" s="395" t="inlineStr">
        <is>
          <t>Previous FY</t>
        </is>
      </c>
      <c r="D26" s="427" t="n"/>
      <c r="E26" s="427" t="n"/>
      <c r="F26" s="427" t="n"/>
      <c r="G26" s="427" t="n"/>
      <c r="H26" s="428" t="n"/>
      <c r="I26" s="395" t="inlineStr">
        <is>
          <t>Current FY</t>
        </is>
      </c>
      <c r="J26" s="427" t="n"/>
      <c r="K26" s="427" t="n"/>
      <c r="L26" s="427" t="n"/>
      <c r="M26" s="427" t="n"/>
      <c r="N26" s="428" t="n"/>
      <c r="O26" s="321" t="n"/>
      <c r="P26" s="321" t="n"/>
      <c r="Q26" s="321" t="n"/>
      <c r="R26" s="321" t="n"/>
    </row>
    <row r="27">
      <c r="B27" s="323" t="n"/>
      <c r="C27" s="429">
        <f>C3</f>
        <v/>
      </c>
      <c r="D27" s="430">
        <f>D3</f>
        <v/>
      </c>
      <c r="E27" s="430">
        <f>E3</f>
        <v/>
      </c>
      <c r="F27" s="430" t="n"/>
      <c r="G27" s="430" t="inlineStr">
        <is>
          <t>Q4FY25</t>
        </is>
      </c>
      <c r="H27" s="430" t="inlineStr">
        <is>
          <t>FY25</t>
        </is>
      </c>
      <c r="I27" s="430">
        <f>I3</f>
        <v/>
      </c>
      <c r="J27" s="430">
        <f>J3</f>
        <v/>
      </c>
      <c r="K27" s="430">
        <f>K3</f>
        <v/>
      </c>
      <c r="L27" s="430" t="n"/>
      <c r="M27" s="430" t="inlineStr">
        <is>
          <t>Q4FY26</t>
        </is>
      </c>
      <c r="N27" s="430" t="inlineStr">
        <is>
          <t>FY26</t>
        </is>
      </c>
      <c r="O27" s="430">
        <f>O3</f>
        <v/>
      </c>
      <c r="P27" s="430">
        <f>P3</f>
        <v/>
      </c>
      <c r="Q27" s="431">
        <f>Q3</f>
        <v/>
      </c>
      <c r="R27" s="431">
        <f>R3</f>
        <v/>
      </c>
    </row>
    <row r="28">
      <c r="B28" s="276" t="inlineStr">
        <is>
          <t>SAHIs &gt;&gt;</t>
        </is>
      </c>
      <c r="C28" s="280" t="n"/>
      <c r="D28" s="268" t="n"/>
      <c r="E28" s="268" t="n"/>
      <c r="F28" s="268" t="n"/>
      <c r="G28" s="268" t="n"/>
      <c r="H28" s="268" t="n"/>
      <c r="I28" s="280" t="n"/>
      <c r="J28" s="268" t="n"/>
      <c r="K28" s="268" t="n"/>
      <c r="L28" s="268" t="n"/>
      <c r="M28" s="268" t="n"/>
      <c r="N28" s="268" t="n"/>
      <c r="O28" s="269" t="n"/>
      <c r="P28" s="269" t="n"/>
      <c r="Q28" s="270" t="n"/>
      <c r="R28" s="270" t="n"/>
    </row>
    <row r="29">
      <c r="B29" s="277" t="inlineStr">
        <is>
          <t>Star Health</t>
        </is>
      </c>
      <c r="C29" s="282">
        <f>'Q1''26 GWP'!F29</f>
        <v/>
      </c>
      <c r="D29" s="219">
        <f>E29-C29</f>
        <v/>
      </c>
      <c r="E29" s="219" t="n">
        <v>7033.84</v>
      </c>
      <c r="F29" s="219" t="n">
        <v>10564.2</v>
      </c>
      <c r="G29" s="219">
        <f>H29-F29</f>
        <v/>
      </c>
      <c r="H29" s="219" t="n">
        <v>15413</v>
      </c>
      <c r="I29" s="282">
        <f>'Q1''26 GWP'!J29</f>
        <v/>
      </c>
      <c r="J29" s="219">
        <f>K29-I29</f>
        <v/>
      </c>
      <c r="K29" s="219" t="n">
        <v>7617.66</v>
      </c>
      <c r="L29" s="219" t="n">
        <v>11974.9</v>
      </c>
      <c r="M29" s="219">
        <f>N29-L29</f>
        <v/>
      </c>
      <c r="N29" s="219" t="n">
        <v>17743</v>
      </c>
      <c r="O29" s="271">
        <f>IFERROR(I29/C29-1,"nm")</f>
        <v/>
      </c>
      <c r="P29" s="271">
        <f>IFERROR(J29/D29-1,"nm")</f>
        <v/>
      </c>
      <c r="Q29" s="272">
        <f>IFERROR(K29/E29-1,"nm")</f>
        <v/>
      </c>
      <c r="R29" s="272">
        <f>IFERROR(M29/G29-1,"nm")</f>
        <v/>
      </c>
    </row>
    <row r="30">
      <c r="B30" s="277" t="inlineStr">
        <is>
          <t>Care</t>
        </is>
      </c>
      <c r="C30" s="282">
        <f>'Q1''26 GWP'!F30</f>
        <v/>
      </c>
      <c r="D30" s="219">
        <f>E30-C30</f>
        <v/>
      </c>
      <c r="E30" s="219" t="n">
        <v>2383.67</v>
      </c>
      <c r="F30" s="219" t="n">
        <v>3541.06</v>
      </c>
      <c r="G30" s="219">
        <f>H30-F30</f>
        <v/>
      </c>
      <c r="H30" s="219" t="n">
        <v>5111.36</v>
      </c>
      <c r="I30" s="282">
        <f>'Q1''26 GWP'!J30</f>
        <v/>
      </c>
      <c r="J30" s="219">
        <f>K30-I30</f>
        <v/>
      </c>
      <c r="K30" s="219" t="n">
        <v>2686.17</v>
      </c>
      <c r="L30" s="219" t="n">
        <v>4367.03</v>
      </c>
      <c r="M30" s="219">
        <f>N30-L30</f>
        <v/>
      </c>
      <c r="N30" s="219" t="n">
        <v>6597.6</v>
      </c>
      <c r="O30" s="271">
        <f>IFERROR(I30/C30-1,"nm")</f>
        <v/>
      </c>
      <c r="P30" s="271">
        <f>IFERROR(J30/D30-1,"nm")</f>
        <v/>
      </c>
      <c r="Q30" s="272">
        <f>IFERROR(K30/E30-1,"nm")</f>
        <v/>
      </c>
      <c r="R30" s="272">
        <f>IFERROR(M30/G30-1,"nm")</f>
        <v/>
      </c>
    </row>
    <row r="31">
      <c r="B31" s="278" t="inlineStr">
        <is>
          <t>Niva Bupa</t>
        </is>
      </c>
      <c r="C31" s="283">
        <f>'Q1''26 GWP'!F31</f>
        <v/>
      </c>
      <c r="D31" s="273">
        <f>E31-C31</f>
        <v/>
      </c>
      <c r="E31" s="273" t="n">
        <v>2201.31</v>
      </c>
      <c r="F31" s="273" t="n">
        <v>3136</v>
      </c>
      <c r="G31" s="273">
        <f>H31-F31</f>
        <v/>
      </c>
      <c r="H31" s="273" t="n">
        <v>4432.5</v>
      </c>
      <c r="I31" s="283">
        <f>'Q1''26 GWP'!J31</f>
        <v/>
      </c>
      <c r="J31" s="273">
        <f>K31-I31</f>
        <v/>
      </c>
      <c r="K31" s="273" t="n">
        <v>2371.76</v>
      </c>
      <c r="L31" s="273" t="n">
        <v>3817.38</v>
      </c>
      <c r="M31" s="273">
        <f>N31-L31</f>
        <v/>
      </c>
      <c r="N31" s="273" t="n">
        <v>5747.59</v>
      </c>
      <c r="O31" s="274">
        <f>IFERROR(I31/C31-1,"nm")</f>
        <v/>
      </c>
      <c r="P31" s="274">
        <f>IFERROR(J31/D31-1,"nm")</f>
        <v/>
      </c>
      <c r="Q31" s="275">
        <f>IFERROR(K31/E31-1,"nm")</f>
        <v/>
      </c>
      <c r="R31" s="275">
        <f>IFERROR(M31/G31-1,"nm")</f>
        <v/>
      </c>
    </row>
    <row r="32">
      <c r="B32" s="277" t="inlineStr">
        <is>
          <t>Aditya Birla</t>
        </is>
      </c>
      <c r="C32" s="282">
        <f>'Q1''26 GWP'!F32</f>
        <v/>
      </c>
      <c r="D32" s="219">
        <f>E32-C32</f>
        <v/>
      </c>
      <c r="E32" s="219" t="n">
        <v>703.92</v>
      </c>
      <c r="F32" s="219" t="n">
        <v>996.77</v>
      </c>
      <c r="G32" s="219">
        <f>H32-F32</f>
        <v/>
      </c>
      <c r="H32" s="219" t="n">
        <v>1440.17</v>
      </c>
      <c r="I32" s="282">
        <f>'Q1''26 GWP'!J32</f>
        <v/>
      </c>
      <c r="J32" s="219">
        <f>K32-I32</f>
        <v/>
      </c>
      <c r="K32" s="219" t="n">
        <v>821.3099999999999</v>
      </c>
      <c r="L32" s="219" t="n">
        <v>1385.22</v>
      </c>
      <c r="M32" s="219">
        <f>N32-L32</f>
        <v/>
      </c>
      <c r="N32" s="219" t="n">
        <v>2163.86</v>
      </c>
      <c r="O32" s="271">
        <f>IFERROR(I32/C32-1,"nm")</f>
        <v/>
      </c>
      <c r="P32" s="271">
        <f>IFERROR(J32/D32-1,"nm")</f>
        <v/>
      </c>
      <c r="Q32" s="272">
        <f>IFERROR(K32/E32-1,"nm")</f>
        <v/>
      </c>
      <c r="R32" s="272">
        <f>IFERROR(M32/G32-1,"nm")</f>
        <v/>
      </c>
    </row>
    <row r="33">
      <c r="B33" s="277" t="inlineStr">
        <is>
          <t>Manipal Cigna</t>
        </is>
      </c>
      <c r="C33" s="282">
        <f>'Q1''26 GWP'!F33</f>
        <v/>
      </c>
      <c r="D33" s="219">
        <f>E33-C33</f>
        <v/>
      </c>
      <c r="E33" s="219" t="n">
        <v>390.17</v>
      </c>
      <c r="F33" s="219" t="n">
        <v>576.16</v>
      </c>
      <c r="G33" s="219">
        <f>H33-F33</f>
        <v/>
      </c>
      <c r="H33" s="219" t="n">
        <v>841.12</v>
      </c>
      <c r="I33" s="282">
        <f>'Q1''26 GWP'!J33</f>
        <v/>
      </c>
      <c r="J33" s="219">
        <f>K33-I33</f>
        <v/>
      </c>
      <c r="K33" s="219" t="n">
        <v>444.62</v>
      </c>
      <c r="L33" s="219" t="n">
        <v>725</v>
      </c>
      <c r="M33" s="219">
        <f>N33-L33</f>
        <v/>
      </c>
      <c r="N33" s="219" t="n">
        <v>1119.03</v>
      </c>
      <c r="O33" s="271">
        <f>IFERROR(I33/C33-1,"nm")</f>
        <v/>
      </c>
      <c r="P33" s="271">
        <f>IFERROR(J33/D33-1,"nm")</f>
        <v/>
      </c>
      <c r="Q33" s="272">
        <f>IFERROR(K33/E33-1,"nm")</f>
        <v/>
      </c>
      <c r="R33" s="272">
        <f>IFERROR(M33/G33-1,"nm")</f>
        <v/>
      </c>
    </row>
    <row r="34">
      <c r="B34" s="277" t="inlineStr">
        <is>
          <t>Galaxy Health</t>
        </is>
      </c>
      <c r="C34" s="432">
        <f>'Q1''26 GWP'!F34</f>
        <v/>
      </c>
      <c r="D34" s="433">
        <f>E34-C34</f>
        <v/>
      </c>
      <c r="E34" s="433" t="n"/>
      <c r="F34" s="433" t="n">
        <v>2.38</v>
      </c>
      <c r="G34" s="433">
        <f>H34-F34</f>
        <v/>
      </c>
      <c r="H34" s="433" t="n">
        <v>13.99</v>
      </c>
      <c r="I34" s="282">
        <f>'Q1''26 GWP'!J34</f>
        <v/>
      </c>
      <c r="J34" s="433">
        <f>K34-I34</f>
        <v/>
      </c>
      <c r="K34" s="219" t="n">
        <v>24.06</v>
      </c>
      <c r="L34" s="219" t="n">
        <v>71.77</v>
      </c>
      <c r="M34" s="219">
        <f>N34-L34</f>
        <v/>
      </c>
      <c r="N34" s="219" t="n">
        <v>97</v>
      </c>
      <c r="O34" s="271">
        <f>IFERROR(I34/C34-1,"nm")</f>
        <v/>
      </c>
      <c r="P34" s="271">
        <f>IFERROR(J34/D34-1,"nm")</f>
        <v/>
      </c>
      <c r="Q34" s="272">
        <f>IFERROR(K34/E34-1,"nm")</f>
        <v/>
      </c>
      <c r="R34" s="272">
        <f>IFERROR(M34/G34-1,"nm")</f>
        <v/>
      </c>
    </row>
    <row r="35">
      <c r="B35" s="277" t="inlineStr">
        <is>
          <t>Narayana Health</t>
        </is>
      </c>
      <c r="C35" s="432">
        <f>'Q1''26 GWP'!F35</f>
        <v/>
      </c>
      <c r="D35" s="433">
        <f>E35-C35</f>
        <v/>
      </c>
      <c r="E35" s="433" t="n"/>
      <c r="F35" s="433" t="n">
        <v>0</v>
      </c>
      <c r="G35" s="433">
        <f>H35-F35</f>
        <v/>
      </c>
      <c r="H35" s="433" t="n">
        <v>0</v>
      </c>
      <c r="I35" s="282">
        <f>'Q1''26 GWP'!J35</f>
        <v/>
      </c>
      <c r="J35" s="433">
        <f>K35-I35</f>
        <v/>
      </c>
      <c r="K35" s="219" t="n">
        <v>1.8</v>
      </c>
      <c r="L35" s="219" t="n">
        <v>3.98</v>
      </c>
      <c r="M35" s="219">
        <f>N35-L35</f>
        <v/>
      </c>
      <c r="N35" s="219" t="n">
        <v>9.050000000000001</v>
      </c>
      <c r="O35" s="271">
        <f>IFERROR(I35/C35-1,"nm")</f>
        <v/>
      </c>
      <c r="P35" s="271">
        <f>IFERROR(J35/D35-1,"nm")</f>
        <v/>
      </c>
      <c r="Q35" s="272">
        <f>IFERROR(K35/E35-1,"nm")</f>
        <v/>
      </c>
      <c r="R35" s="272">
        <f>IFERROR(M35/G35-1,"nm")</f>
        <v/>
      </c>
    </row>
    <row r="36">
      <c r="B36" s="276" t="inlineStr">
        <is>
          <t>Private Multi-line &gt;&gt;</t>
        </is>
      </c>
      <c r="C36" s="280">
        <f>'Q1''26 GWP'!F36</f>
        <v/>
      </c>
      <c r="D36" s="268" t="n"/>
      <c r="E36" s="268" t="n"/>
      <c r="F36" s="268" t="n"/>
      <c r="G36" s="268" t="n"/>
      <c r="H36" s="268" t="n"/>
      <c r="I36" s="280" t="n"/>
      <c r="J36" s="268" t="n"/>
      <c r="K36" s="268" t="n"/>
      <c r="L36" s="268" t="n"/>
      <c r="M36" s="268" t="n"/>
      <c r="N36" s="268" t="n"/>
      <c r="O36" s="269" t="n"/>
      <c r="P36" s="269" t="n"/>
      <c r="Q36" s="270" t="n"/>
      <c r="R36" s="270" t="n"/>
    </row>
    <row r="37">
      <c r="B37" s="277" t="inlineStr">
        <is>
          <t>HDFC Ergo</t>
        </is>
      </c>
      <c r="C37" s="282">
        <f>'Q1''26 GWP'!F37</f>
        <v/>
      </c>
      <c r="D37" s="219">
        <f>E37-C37</f>
        <v/>
      </c>
      <c r="E37" s="219" t="n">
        <v>1970.67</v>
      </c>
      <c r="F37" s="219" t="n">
        <v>2879.4</v>
      </c>
      <c r="G37" s="219">
        <f>H37-F37</f>
        <v/>
      </c>
      <c r="H37" s="219" t="n">
        <v>4212.7</v>
      </c>
      <c r="I37" s="282">
        <f>'Q1''26 GWP'!J37</f>
        <v/>
      </c>
      <c r="J37" s="219">
        <f>K37-I37</f>
        <v/>
      </c>
      <c r="K37" s="219" t="n">
        <v>2025.92</v>
      </c>
      <c r="L37" s="219" t="n">
        <v>3334.47</v>
      </c>
      <c r="M37" s="219">
        <f>N37-L37</f>
        <v/>
      </c>
      <c r="N37" s="219" t="n">
        <v>5155.8</v>
      </c>
      <c r="O37" s="271">
        <f>IFERROR(I37/C37-1,"nm")</f>
        <v/>
      </c>
      <c r="P37" s="271">
        <f>IFERROR(J37/D37-1,"nm")</f>
        <v/>
      </c>
      <c r="Q37" s="272">
        <f>IFERROR(K37/E37-1,"nm")</f>
        <v/>
      </c>
      <c r="R37" s="272">
        <f>IFERROR(M37/G37-1,"nm")</f>
        <v/>
      </c>
    </row>
    <row r="38">
      <c r="B38" s="277" t="inlineStr">
        <is>
          <t>ICICI Lombard</t>
        </is>
      </c>
      <c r="C38" s="282">
        <f>'Q1''26 GWP'!F38</f>
        <v/>
      </c>
      <c r="D38" s="219">
        <f>E38-C38</f>
        <v/>
      </c>
      <c r="E38" s="219" t="n">
        <v>718</v>
      </c>
      <c r="F38" s="219" t="n">
        <v>1059.7</v>
      </c>
      <c r="G38" s="219">
        <f>H38-F38</f>
        <v/>
      </c>
      <c r="H38" s="219" t="n">
        <v>1556.23</v>
      </c>
      <c r="I38" s="282">
        <f>'Q1''26 GWP'!J38</f>
        <v/>
      </c>
      <c r="J38" s="219">
        <f>K38-I38</f>
        <v/>
      </c>
      <c r="K38" s="219" t="n">
        <v>899.21</v>
      </c>
      <c r="L38" s="219" t="n">
        <v>1533.98</v>
      </c>
      <c r="M38" s="219">
        <f>N38-L38</f>
        <v/>
      </c>
      <c r="N38" s="219" t="n">
        <v>2351.2</v>
      </c>
      <c r="O38" s="271">
        <f>IFERROR(I38/C38-1,"nm")</f>
        <v/>
      </c>
      <c r="P38" s="271">
        <f>IFERROR(J38/D38-1,"nm")</f>
        <v/>
      </c>
      <c r="Q38" s="272">
        <f>IFERROR(K38/E38-1,"nm")</f>
        <v/>
      </c>
      <c r="R38" s="272">
        <f>IFERROR(M38/G38-1,"nm")</f>
        <v/>
      </c>
    </row>
    <row r="39">
      <c r="B39" s="279" t="inlineStr">
        <is>
          <t>Bajaj Allianz</t>
        </is>
      </c>
      <c r="C39" s="282">
        <f>'Q1''26 GWP'!F39</f>
        <v/>
      </c>
      <c r="D39" s="219">
        <f>E39-C39</f>
        <v/>
      </c>
      <c r="E39" s="219" t="n">
        <v>528.3</v>
      </c>
      <c r="F39" s="219" t="n">
        <v>771.38</v>
      </c>
      <c r="G39" s="219">
        <f>H39-F39</f>
        <v/>
      </c>
      <c r="H39" s="219" t="n">
        <v>1116.83</v>
      </c>
      <c r="I39" s="282">
        <f>'Q1''26 GWP'!J39</f>
        <v/>
      </c>
      <c r="J39" s="219">
        <f>K39-I39</f>
        <v/>
      </c>
      <c r="K39" s="219" t="n">
        <v>562.61</v>
      </c>
      <c r="L39" s="219" t="n">
        <v>862.42</v>
      </c>
      <c r="M39" s="219">
        <f>N39-L39</f>
        <v/>
      </c>
      <c r="N39" s="219" t="n">
        <v>1268.59</v>
      </c>
      <c r="O39" s="271">
        <f>IFERROR(I39/C39-1,"nm")</f>
        <v/>
      </c>
      <c r="P39" s="271">
        <f>IFERROR(J39/D39-1,"nm")</f>
        <v/>
      </c>
      <c r="Q39" s="272">
        <f>IFERROR(K39/E39-1,"nm")</f>
        <v/>
      </c>
      <c r="R39" s="272">
        <f>IFERROR(M39/G39-1,"nm")</f>
        <v/>
      </c>
    </row>
    <row r="40">
      <c r="B40" s="279" t="inlineStr">
        <is>
          <t>Reliance</t>
        </is>
      </c>
      <c r="C40" s="282">
        <f>'Q1''26 GWP'!F40</f>
        <v/>
      </c>
      <c r="D40" s="219">
        <f>E40-C40</f>
        <v/>
      </c>
      <c r="E40" s="219" t="n">
        <v>210.62</v>
      </c>
      <c r="F40" s="219" t="n">
        <v>307.21</v>
      </c>
      <c r="G40" s="219">
        <f>H40-F40</f>
        <v/>
      </c>
      <c r="H40" s="219" t="n">
        <v>425.68</v>
      </c>
      <c r="I40" s="282">
        <f>'Q1''26 GWP'!J40</f>
        <v/>
      </c>
      <c r="J40" s="219">
        <f>K40-I40</f>
        <v/>
      </c>
      <c r="K40" s="219" t="n">
        <v>209.42</v>
      </c>
      <c r="L40" s="219" t="n">
        <v>347.79</v>
      </c>
      <c r="M40" s="219">
        <f>N40-L40</f>
        <v/>
      </c>
      <c r="N40" s="219" t="n">
        <v>508.1</v>
      </c>
      <c r="O40" s="271">
        <f>IFERROR(I40/C40-1,"nm")</f>
        <v/>
      </c>
      <c r="P40" s="271">
        <f>IFERROR(J40/D40-1,"nm")</f>
        <v/>
      </c>
      <c r="Q40" s="272">
        <f>IFERROR(K40/E40-1,"nm")</f>
        <v/>
      </c>
      <c r="R40" s="272">
        <f>IFERROR(M40/G40-1,"nm")</f>
        <v/>
      </c>
    </row>
    <row r="41">
      <c r="B41" s="279" t="inlineStr">
        <is>
          <t>SBI GI</t>
        </is>
      </c>
      <c r="C41" s="282">
        <f>'Q1''26 GWP'!F41</f>
        <v/>
      </c>
      <c r="D41" s="219">
        <f>E41-C41</f>
        <v/>
      </c>
      <c r="E41" s="219" t="n">
        <v>210.38</v>
      </c>
      <c r="F41" s="219" t="n">
        <v>296.86</v>
      </c>
      <c r="G41" s="219">
        <f>H41-F41</f>
        <v/>
      </c>
      <c r="H41" s="219" t="n">
        <v>392.37</v>
      </c>
      <c r="I41" s="282">
        <f>'Q1''26 GWP'!J41</f>
        <v/>
      </c>
      <c r="J41" s="219">
        <f>K41-I41</f>
        <v/>
      </c>
      <c r="K41" s="219" t="n">
        <v>158.91</v>
      </c>
      <c r="L41" s="219" t="n">
        <v>277.45</v>
      </c>
      <c r="M41" s="219">
        <f>N41-L41</f>
        <v/>
      </c>
      <c r="N41" s="219" t="n">
        <v>412.99</v>
      </c>
      <c r="O41" s="271">
        <f>IFERROR(I41/C41-1,"nm")</f>
        <v/>
      </c>
      <c r="P41" s="271">
        <f>IFERROR(J41/D41-1,"nm")</f>
        <v/>
      </c>
      <c r="Q41" s="272">
        <f>IFERROR(K41/E41-1,"nm")</f>
        <v/>
      </c>
      <c r="R41" s="272">
        <f>IFERROR(M41/G41-1,"nm")</f>
        <v/>
      </c>
    </row>
    <row r="42">
      <c r="B42" s="276" t="inlineStr">
        <is>
          <t>PSUs &gt;&gt;</t>
        </is>
      </c>
      <c r="C42" s="280">
        <f>'Q1''26 GWP'!F42</f>
        <v/>
      </c>
      <c r="D42" s="268" t="n"/>
      <c r="E42" s="268" t="n"/>
      <c r="F42" s="268" t="n"/>
      <c r="G42" s="268" t="n"/>
      <c r="H42" s="268" t="n"/>
      <c r="I42" s="280" t="n"/>
      <c r="J42" s="268" t="n"/>
      <c r="K42" s="268" t="n"/>
      <c r="L42" s="268" t="n"/>
      <c r="M42" s="268" t="n"/>
      <c r="N42" s="268" t="n"/>
      <c r="O42" s="269" t="n"/>
      <c r="P42" s="269" t="n"/>
      <c r="Q42" s="270" t="n"/>
      <c r="R42" s="270" t="n"/>
    </row>
    <row r="43">
      <c r="B43" s="277" t="inlineStr">
        <is>
          <t>New India</t>
        </is>
      </c>
      <c r="C43" s="282">
        <f>'Q1''26 GWP'!F43</f>
        <v/>
      </c>
      <c r="D43" s="219">
        <f>E43-C43</f>
        <v/>
      </c>
      <c r="E43" s="219" t="n">
        <v>1592.43</v>
      </c>
      <c r="F43" s="219" t="n">
        <v>2384.55</v>
      </c>
      <c r="G43" s="219">
        <f>H43-F43</f>
        <v/>
      </c>
      <c r="H43" s="219" t="n">
        <v>3422.78</v>
      </c>
      <c r="I43" s="282">
        <f>'Q1''26 GWP'!J43</f>
        <v/>
      </c>
      <c r="J43" s="219">
        <f>K43-I43</f>
        <v/>
      </c>
      <c r="K43" s="219" t="n">
        <v>1709.84</v>
      </c>
      <c r="L43" s="219" t="n">
        <v>2575.79</v>
      </c>
      <c r="M43" s="219">
        <f>N43-L43</f>
        <v/>
      </c>
      <c r="N43" s="219" t="n">
        <v>3672.81</v>
      </c>
      <c r="O43" s="271">
        <f>IFERROR(I43/C43-1,"nm")</f>
        <v/>
      </c>
      <c r="P43" s="271">
        <f>IFERROR(J43/D43-1,"nm")</f>
        <v/>
      </c>
      <c r="Q43" s="272">
        <f>IFERROR(K43/E43-1,"nm")</f>
        <v/>
      </c>
      <c r="R43" s="272">
        <f>IFERROR(M43/G43-1,"nm")</f>
        <v/>
      </c>
    </row>
    <row r="44">
      <c r="B44" s="277" t="inlineStr">
        <is>
          <t>National Insurance</t>
        </is>
      </c>
      <c r="C44" s="282">
        <f>'Q1''26 GWP'!F44</f>
        <v/>
      </c>
      <c r="D44" s="219">
        <f>E44-C44</f>
        <v/>
      </c>
      <c r="E44" s="219" t="n">
        <v>1144.81</v>
      </c>
      <c r="F44" s="219" t="n">
        <v>1701.12</v>
      </c>
      <c r="G44" s="219">
        <f>H44-F44</f>
        <v/>
      </c>
      <c r="H44" s="219" t="n">
        <v>2443.34</v>
      </c>
      <c r="I44" s="282">
        <f>'Q1''26 GWP'!J44</f>
        <v/>
      </c>
      <c r="J44" s="219">
        <f>K44-I44</f>
        <v/>
      </c>
      <c r="K44" s="219" t="n">
        <v>1230.45</v>
      </c>
      <c r="L44" s="219" t="n">
        <v>1851.74</v>
      </c>
      <c r="M44" s="219">
        <f>N44-L44</f>
        <v/>
      </c>
      <c r="N44" s="219" t="n">
        <v>2619.65</v>
      </c>
      <c r="O44" s="271">
        <f>IFERROR(I44/C44-1,"nm")</f>
        <v/>
      </c>
      <c r="P44" s="271">
        <f>IFERROR(J44/D44-1,"nm")</f>
        <v/>
      </c>
      <c r="Q44" s="272">
        <f>IFERROR(K44/E44-1,"nm")</f>
        <v/>
      </c>
      <c r="R44" s="272">
        <f>IFERROR(M44/G44-1,"nm")</f>
        <v/>
      </c>
    </row>
    <row r="45">
      <c r="B45" s="104" t="inlineStr">
        <is>
          <t>Oriental Insurance</t>
        </is>
      </c>
      <c r="C45" s="282">
        <f>'Q1''26 GWP'!F45</f>
        <v/>
      </c>
      <c r="D45" s="219">
        <f>E45-C45</f>
        <v/>
      </c>
      <c r="E45" s="219" t="n">
        <v>875.71</v>
      </c>
      <c r="F45" s="219" t="n">
        <v>1304.54</v>
      </c>
      <c r="G45" s="219">
        <f>H45-F45</f>
        <v/>
      </c>
      <c r="H45" s="219" t="n">
        <v>1859.21</v>
      </c>
      <c r="I45" s="282">
        <f>'Q1''26 GWP'!J45</f>
        <v/>
      </c>
      <c r="J45" s="219">
        <f>K45-I45</f>
        <v/>
      </c>
      <c r="K45" s="219" t="n">
        <v>947.86</v>
      </c>
      <c r="L45" s="219" t="n">
        <v>1430.8</v>
      </c>
      <c r="M45" s="219">
        <f>N45-L45</f>
        <v/>
      </c>
      <c r="N45" s="219" t="n">
        <v>2005.74</v>
      </c>
      <c r="O45" s="271">
        <f>IFERROR(I45/C45-1,"nm")</f>
        <v/>
      </c>
      <c r="P45" s="271">
        <f>IFERROR(J45/D45-1,"nm")</f>
        <v/>
      </c>
      <c r="Q45" s="272">
        <f>IFERROR(K45/E45-1,"nm")</f>
        <v/>
      </c>
      <c r="R45" s="272">
        <f>IFERROR(M45/G45-1,"nm")</f>
        <v/>
      </c>
    </row>
    <row r="46">
      <c r="B46" s="104" t="inlineStr">
        <is>
          <t>United India</t>
        </is>
      </c>
      <c r="C46" s="282">
        <f>'Q1''26 GWP'!F46</f>
        <v/>
      </c>
      <c r="D46" s="219">
        <f>E46-C46</f>
        <v/>
      </c>
      <c r="E46" s="219" t="n">
        <v>831.65</v>
      </c>
      <c r="F46" s="219" t="n">
        <v>1216.77</v>
      </c>
      <c r="G46" s="219">
        <f>H46-F46</f>
        <v/>
      </c>
      <c r="H46" s="219" t="n">
        <v>1718.77</v>
      </c>
      <c r="I46" s="282">
        <f>'Q1''26 GWP'!J46</f>
        <v/>
      </c>
      <c r="J46" s="219">
        <f>K46-I46</f>
        <v/>
      </c>
      <c r="K46" s="219" t="n">
        <v>883.37</v>
      </c>
      <c r="L46" s="219" t="n">
        <v>1301.72</v>
      </c>
      <c r="M46" s="219">
        <f>N46-L46</f>
        <v/>
      </c>
      <c r="N46" s="219" t="n">
        <v>1796.32</v>
      </c>
      <c r="O46" s="271">
        <f>IFERROR(I46/C46-1,"nm")</f>
        <v/>
      </c>
      <c r="P46" s="271">
        <f>IFERROR(J46/D46-1,"nm")</f>
        <v/>
      </c>
      <c r="Q46" s="272">
        <f>IFERROR(K46/E46-1,"nm")</f>
        <v/>
      </c>
      <c r="R46" s="272">
        <f>IFERROR(M46/G46-1,"nm")</f>
        <v/>
      </c>
    </row>
    <row r="47">
      <c r="B47" s="326" t="inlineStr">
        <is>
          <t>Others</t>
        </is>
      </c>
      <c r="C47" s="327">
        <f>'Q1''26 GWP'!F47</f>
        <v/>
      </c>
      <c r="D47" s="268">
        <f>E47-C47</f>
        <v/>
      </c>
      <c r="E47" s="328">
        <f>E48-SUM(E29:E46)</f>
        <v/>
      </c>
      <c r="F47" s="328">
        <f>F48-SUM(F29:F46)</f>
        <v/>
      </c>
      <c r="G47" s="328">
        <f>G48-SUM(G29:G46)</f>
        <v/>
      </c>
      <c r="H47" s="328">
        <f>H48-SUM(H29:H46)</f>
        <v/>
      </c>
      <c r="I47" s="328">
        <f>I48-SUM(I29:I46)</f>
        <v/>
      </c>
      <c r="J47" s="328">
        <f>J48-SUM(J29:J46)</f>
        <v/>
      </c>
      <c r="K47" s="328">
        <f>K48-SUM(K29:K46)</f>
        <v/>
      </c>
      <c r="L47" s="328">
        <f>L48-SUM(L29:L46)</f>
        <v/>
      </c>
      <c r="M47" s="328">
        <f>M48-SUM(M29:M46)</f>
        <v/>
      </c>
      <c r="N47" s="328">
        <f>N48-SUM(N29:N46)</f>
        <v/>
      </c>
      <c r="O47" s="329">
        <f>IFERROR(I47/C47-1,"nm")</f>
        <v/>
      </c>
      <c r="P47" s="329">
        <f>IFERROR(J47/D47-1,"nm")</f>
        <v/>
      </c>
      <c r="Q47" s="330">
        <f>IFERROR(K47/E47-1,"nm")</f>
        <v/>
      </c>
      <c r="R47" s="330">
        <f>IFERROR(M47/G47-1,"nm")</f>
        <v/>
      </c>
    </row>
    <row r="48">
      <c r="B48" s="290" t="inlineStr">
        <is>
          <t>Total Health GWP (INR cr)</t>
        </is>
      </c>
      <c r="C48" s="291">
        <f>'Q1''26 GWP'!F48</f>
        <v/>
      </c>
      <c r="D48" s="292">
        <f>E48-C48</f>
        <v/>
      </c>
      <c r="E48" s="292" t="n">
        <v>22220.3</v>
      </c>
      <c r="F48" s="292" t="n">
        <v>32809.97</v>
      </c>
      <c r="G48" s="292">
        <f>H48-F48</f>
        <v/>
      </c>
      <c r="H48" s="292" t="n">
        <v>47288.28</v>
      </c>
      <c r="I48" s="291">
        <f>'Q1''26 GWP'!J48</f>
        <v/>
      </c>
      <c r="J48" s="292">
        <f>K48-I48</f>
        <v/>
      </c>
      <c r="K48" s="292" t="n">
        <v>24066.27</v>
      </c>
      <c r="L48" s="292" t="n">
        <v>38219.29</v>
      </c>
      <c r="M48" s="292">
        <f>N48-L48</f>
        <v/>
      </c>
      <c r="N48" s="292" t="n">
        <v>56695.78999999999</v>
      </c>
      <c r="O48" s="294">
        <f>IFERROR(I48/C48-1,"nm")</f>
        <v/>
      </c>
      <c r="P48" s="294">
        <f>IFERROR(J48/D48-1,"nm")</f>
        <v/>
      </c>
      <c r="Q48" s="295">
        <f>IFERROR(K48/E48-1,"nm")</f>
        <v/>
      </c>
      <c r="R48" s="295">
        <f>IFERROR(M48/G48-1,"nm")</f>
        <v/>
      </c>
    </row>
    <row r="50">
      <c r="B50" s="322" t="inlineStr">
        <is>
          <t>Retail Health Mix (%)</t>
        </is>
      </c>
      <c r="C50" s="395" t="inlineStr">
        <is>
          <t>Previous FY</t>
        </is>
      </c>
      <c r="D50" s="427" t="n"/>
      <c r="E50" s="427" t="n"/>
      <c r="F50" s="427" t="n"/>
      <c r="G50" s="427" t="n"/>
      <c r="H50" s="428" t="n"/>
      <c r="I50" s="395" t="inlineStr">
        <is>
          <t>Current FY</t>
        </is>
      </c>
      <c r="J50" s="427" t="n"/>
      <c r="K50" s="427" t="n"/>
      <c r="L50" s="427" t="n"/>
      <c r="M50" s="427" t="n"/>
      <c r="N50" s="428" t="n"/>
    </row>
    <row r="51">
      <c r="B51" s="323" t="n"/>
      <c r="C51" s="429">
        <f>C3</f>
        <v/>
      </c>
      <c r="D51" s="430">
        <f>D3</f>
        <v/>
      </c>
      <c r="E51" s="430">
        <f>E3</f>
        <v/>
      </c>
      <c r="F51" s="430" t="n"/>
      <c r="G51" s="430" t="n"/>
      <c r="H51" s="430">
        <f>H3</f>
        <v/>
      </c>
      <c r="I51" s="429">
        <f>I3</f>
        <v/>
      </c>
      <c r="J51" s="430">
        <f>J3</f>
        <v/>
      </c>
      <c r="K51" s="430">
        <f>K3</f>
        <v/>
      </c>
      <c r="L51" s="430" t="n"/>
      <c r="M51" s="430" t="inlineStr">
        <is>
          <t>Q4FY26</t>
        </is>
      </c>
      <c r="N51" s="431" t="inlineStr">
        <is>
          <t>FY26</t>
        </is>
      </c>
    </row>
    <row r="52">
      <c r="B52" s="276" t="inlineStr">
        <is>
          <t>SAHIs &gt;&gt;</t>
        </is>
      </c>
      <c r="C52" s="280" t="n"/>
      <c r="D52" s="268" t="n"/>
      <c r="E52" s="268" t="n"/>
      <c r="F52" s="268" t="n"/>
      <c r="G52" s="268" t="n"/>
      <c r="H52" s="268" t="n"/>
      <c r="I52" s="280" t="n"/>
      <c r="J52" s="268" t="n"/>
      <c r="K52" s="268" t="n"/>
      <c r="L52" s="268" t="n"/>
      <c r="M52" s="268" t="n"/>
      <c r="N52" s="281" t="n"/>
    </row>
    <row r="53">
      <c r="B53" s="277" t="inlineStr">
        <is>
          <t>Star Health</t>
        </is>
      </c>
      <c r="C53" s="272">
        <f>IFERROR(C29/C5,"nm")</f>
        <v/>
      </c>
      <c r="D53" s="271">
        <f>IFERROR(D29/D5,"nm")</f>
        <v/>
      </c>
      <c r="E53" s="271">
        <f>IFERROR(E29/E5,"nm")</f>
        <v/>
      </c>
      <c r="F53" s="271">
        <f>IFERROR(F29/F5,"nm")</f>
        <v/>
      </c>
      <c r="G53" s="271">
        <f>IFERROR(G29/G5,"nm")</f>
        <v/>
      </c>
      <c r="H53" s="271">
        <f>IFERROR(H29/H5,"nm")</f>
        <v/>
      </c>
      <c r="I53" s="296">
        <f>IFERROR(I29/I5,"nm")</f>
        <v/>
      </c>
      <c r="J53" s="271">
        <f>IFERROR(J29/J5,"nm")</f>
        <v/>
      </c>
      <c r="K53" s="271">
        <f>IFERROR(K29/K5,"nm")</f>
        <v/>
      </c>
      <c r="L53" s="271">
        <f>IFERROR(L29/L5,"nm")</f>
        <v/>
      </c>
      <c r="M53" s="271">
        <f>IFERROR(M29/M5,"nm")</f>
        <v/>
      </c>
      <c r="N53" s="272">
        <f>IFERROR(N29/N5,"nm")</f>
        <v/>
      </c>
    </row>
    <row r="54">
      <c r="B54" s="277" t="inlineStr">
        <is>
          <t>Care</t>
        </is>
      </c>
      <c r="C54" s="296">
        <f>IFERROR(C30/C6,"nm")</f>
        <v/>
      </c>
      <c r="D54" s="271">
        <f>IFERROR(D30/D6,"nm")</f>
        <v/>
      </c>
      <c r="E54" s="271">
        <f>IFERROR(E30/E6,"nm")</f>
        <v/>
      </c>
      <c r="F54" s="271">
        <f>IFERROR(F30/F6,"nm")</f>
        <v/>
      </c>
      <c r="G54" s="271">
        <f>IFERROR(G30/G6,"nm")</f>
        <v/>
      </c>
      <c r="H54" s="271">
        <f>IFERROR(H30/H6,"nm")</f>
        <v/>
      </c>
      <c r="I54" s="296">
        <f>IFERROR(I30/I6,"nm")</f>
        <v/>
      </c>
      <c r="J54" s="271">
        <f>IFERROR(J30/J6,"nm")</f>
        <v/>
      </c>
      <c r="K54" s="271">
        <f>IFERROR(K30/K6,"nm")</f>
        <v/>
      </c>
      <c r="L54" s="271">
        <f>IFERROR(L30/L6,"nm")</f>
        <v/>
      </c>
      <c r="M54" s="271">
        <f>IFERROR(M30/M6,"nm")</f>
        <v/>
      </c>
      <c r="N54" s="272">
        <f>IFERROR(N30/N6,"nm")</f>
        <v/>
      </c>
    </row>
    <row r="55">
      <c r="B55" s="278" t="inlineStr">
        <is>
          <t>Niva Bupa</t>
        </is>
      </c>
      <c r="C55" s="297">
        <f>IFERROR(C31/C7,"nm")</f>
        <v/>
      </c>
      <c r="D55" s="274">
        <f>IFERROR(D31/D7,"nm")</f>
        <v/>
      </c>
      <c r="E55" s="274">
        <f>IFERROR(E31/E7,"nm")</f>
        <v/>
      </c>
      <c r="F55" s="274">
        <f>IFERROR(F31/F7,"nm")</f>
        <v/>
      </c>
      <c r="G55" s="274">
        <f>IFERROR(G31/G7,"nm")</f>
        <v/>
      </c>
      <c r="H55" s="274">
        <f>IFERROR(H31/H7,"nm")</f>
        <v/>
      </c>
      <c r="I55" s="297">
        <f>IFERROR(I31/I7,"nm")</f>
        <v/>
      </c>
      <c r="J55" s="274">
        <f>IFERROR(J31/J7,"nm")</f>
        <v/>
      </c>
      <c r="K55" s="274">
        <f>IFERROR(K31/K7,"nm")</f>
        <v/>
      </c>
      <c r="L55" s="274">
        <f>IFERROR(L31/L7,"nm")</f>
        <v/>
      </c>
      <c r="M55" s="274">
        <f>IFERROR(M31/M7,"nm")</f>
        <v/>
      </c>
      <c r="N55" s="275">
        <f>IFERROR(N31/N7,"nm")</f>
        <v/>
      </c>
    </row>
    <row r="56">
      <c r="B56" s="277" t="inlineStr">
        <is>
          <t>Aditya Birla</t>
        </is>
      </c>
      <c r="C56" s="296">
        <f>IFERROR(C32/C8,"nm")</f>
        <v/>
      </c>
      <c r="D56" s="271">
        <f>IFERROR(D32/D8,"nm")</f>
        <v/>
      </c>
      <c r="E56" s="271">
        <f>IFERROR(E32/E8,"nm")</f>
        <v/>
      </c>
      <c r="F56" s="271">
        <f>IFERROR(F32/F8,"nm")</f>
        <v/>
      </c>
      <c r="G56" s="271">
        <f>IFERROR(G32/G8,"nm")</f>
        <v/>
      </c>
      <c r="H56" s="271">
        <f>IFERROR(H32/H8,"nm")</f>
        <v/>
      </c>
      <c r="I56" s="296">
        <f>IFERROR(I32/I8,"nm")</f>
        <v/>
      </c>
      <c r="J56" s="271">
        <f>IFERROR(J32/J8,"nm")</f>
        <v/>
      </c>
      <c r="K56" s="271">
        <f>IFERROR(K32/K8,"nm")</f>
        <v/>
      </c>
      <c r="L56" s="271">
        <f>IFERROR(L32/L8,"nm")</f>
        <v/>
      </c>
      <c r="M56" s="271">
        <f>IFERROR(M32/M8,"nm")</f>
        <v/>
      </c>
      <c r="N56" s="272">
        <f>IFERROR(N32/N8,"nm")</f>
        <v/>
      </c>
    </row>
    <row r="57">
      <c r="B57" s="277" t="inlineStr">
        <is>
          <t>Manipal Cigna</t>
        </is>
      </c>
      <c r="C57" s="296">
        <f>IFERROR(C33/C9,"nm")</f>
        <v/>
      </c>
      <c r="D57" s="271">
        <f>IFERROR(D33/D9,"nm")</f>
        <v/>
      </c>
      <c r="E57" s="271">
        <f>IFERROR(E33/E9,"nm")</f>
        <v/>
      </c>
      <c r="F57" s="271">
        <f>IFERROR(F33/F9,"nm")</f>
        <v/>
      </c>
      <c r="G57" s="271">
        <f>IFERROR(G33/G9,"nm")</f>
        <v/>
      </c>
      <c r="H57" s="271">
        <f>IFERROR(H33/H9,"nm")</f>
        <v/>
      </c>
      <c r="I57" s="296">
        <f>IFERROR(I33/I9,"nm")</f>
        <v/>
      </c>
      <c r="J57" s="271">
        <f>IFERROR(J33/J9,"nm")</f>
        <v/>
      </c>
      <c r="K57" s="271">
        <f>IFERROR(K33/K9,"nm")</f>
        <v/>
      </c>
      <c r="L57" s="271">
        <f>IFERROR(L33/L9,"nm")</f>
        <v/>
      </c>
      <c r="M57" s="271">
        <f>IFERROR(M33/M9,"nm")</f>
        <v/>
      </c>
      <c r="N57" s="272">
        <f>IFERROR(N33/N9,"nm")</f>
        <v/>
      </c>
    </row>
    <row r="58">
      <c r="B58" s="277" t="inlineStr">
        <is>
          <t>Galaxy Health</t>
        </is>
      </c>
      <c r="C58" s="296">
        <f>IFERROR(C34/C10,"nm")</f>
        <v/>
      </c>
      <c r="D58" s="271">
        <f>IFERROR(D34/D10,"nm")</f>
        <v/>
      </c>
      <c r="E58" s="271">
        <f>IFERROR(E34/E10,"nm")</f>
        <v/>
      </c>
      <c r="F58" s="271">
        <f>IFERROR(F34/F10,"nm")</f>
        <v/>
      </c>
      <c r="G58" s="271">
        <f>IFERROR(G34/G10,"nm")</f>
        <v/>
      </c>
      <c r="H58" s="271">
        <f>IFERROR(H34/H10,"nm")</f>
        <v/>
      </c>
      <c r="I58" s="296">
        <f>IFERROR(I34/I10,"nm")</f>
        <v/>
      </c>
      <c r="J58" s="271">
        <f>IFERROR(J34/J10,"nm")</f>
        <v/>
      </c>
      <c r="K58" s="271">
        <f>IFERROR(K34/K10,"nm")</f>
        <v/>
      </c>
      <c r="L58" s="271">
        <f>IFERROR(L34/L10,"nm")</f>
        <v/>
      </c>
      <c r="M58" s="271">
        <f>IFERROR(M34/M10,"nm")</f>
        <v/>
      </c>
      <c r="N58" s="272">
        <f>IFERROR(N34/N10,"nm")</f>
        <v/>
      </c>
    </row>
    <row r="59">
      <c r="B59" s="277" t="inlineStr">
        <is>
          <t>Narayana Health</t>
        </is>
      </c>
      <c r="C59" s="296">
        <f>IFERROR(C35/C11,"nm")</f>
        <v/>
      </c>
      <c r="D59" s="271">
        <f>IFERROR(D35/D11,"nm")</f>
        <v/>
      </c>
      <c r="E59" s="271">
        <f>IFERROR(E35/E11,"nm")</f>
        <v/>
      </c>
      <c r="F59" s="271">
        <f>IFERROR(F35/F11,"nm")</f>
        <v/>
      </c>
      <c r="G59" s="271">
        <f>IFERROR(G35/G11,"nm")</f>
        <v/>
      </c>
      <c r="H59" s="271">
        <f>IFERROR(H35/H11,"nm")</f>
        <v/>
      </c>
      <c r="I59" s="296">
        <f>IFERROR(I35/I11,"nm")</f>
        <v/>
      </c>
      <c r="J59" s="271">
        <f>IFERROR(J35/J11,"nm")</f>
        <v/>
      </c>
      <c r="K59" s="271">
        <f>IFERROR(K35/K11,"nm")</f>
        <v/>
      </c>
      <c r="L59" s="271">
        <f>IFERROR(L35/L11,"nm")</f>
        <v/>
      </c>
      <c r="M59" s="271">
        <f>IFERROR(M35/M11,"nm")</f>
        <v/>
      </c>
      <c r="N59" s="272">
        <f>IFERROR(N35/N11,"nm")</f>
        <v/>
      </c>
    </row>
    <row r="60">
      <c r="B60" s="276" t="inlineStr">
        <is>
          <t>Private Multi-line &gt;&gt;</t>
        </is>
      </c>
      <c r="C60" s="298" t="n"/>
      <c r="D60" s="299" t="n"/>
      <c r="E60" s="299" t="n"/>
      <c r="F60" s="299" t="n"/>
      <c r="G60" s="299" t="n"/>
      <c r="H60" s="299" t="n"/>
      <c r="I60" s="298" t="n"/>
      <c r="J60" s="299" t="n"/>
      <c r="K60" s="299" t="n"/>
      <c r="L60" s="299" t="n"/>
      <c r="M60" s="299" t="n"/>
      <c r="N60" s="300" t="n"/>
    </row>
    <row r="61">
      <c r="B61" s="277" t="inlineStr">
        <is>
          <t>HDFC Ergo</t>
        </is>
      </c>
      <c r="C61" s="296">
        <f>IFERROR(C37/C13,"nm")</f>
        <v/>
      </c>
      <c r="D61" s="271">
        <f>IFERROR(D37/D13,"nm")</f>
        <v/>
      </c>
      <c r="E61" s="271">
        <f>IFERROR(E37/E13,"nm")</f>
        <v/>
      </c>
      <c r="F61" s="271">
        <f>IFERROR(F37/F13,"nm")</f>
        <v/>
      </c>
      <c r="G61" s="271">
        <f>IFERROR(G37/G13,"nm")</f>
        <v/>
      </c>
      <c r="H61" s="271">
        <f>IFERROR(H37/H13,"nm")</f>
        <v/>
      </c>
      <c r="I61" s="296">
        <f>IFERROR(I37/I13,"nm")</f>
        <v/>
      </c>
      <c r="J61" s="271">
        <f>IFERROR(J37/J13,"nm")</f>
        <v/>
      </c>
      <c r="K61" s="271">
        <f>IFERROR(K37/K13,"nm")</f>
        <v/>
      </c>
      <c r="L61" s="271">
        <f>IFERROR(L37/L13,"nm")</f>
        <v/>
      </c>
      <c r="M61" s="271">
        <f>IFERROR(M37/M13,"nm")</f>
        <v/>
      </c>
      <c r="N61" s="272">
        <f>IFERROR(N37/N13,"nm")</f>
        <v/>
      </c>
    </row>
    <row r="62">
      <c r="B62" s="277" t="inlineStr">
        <is>
          <t>ICICI Lombard</t>
        </is>
      </c>
      <c r="C62" s="296">
        <f>IFERROR(C38/C14,"nm")</f>
        <v/>
      </c>
      <c r="D62" s="271">
        <f>IFERROR(D38/D14,"nm")</f>
        <v/>
      </c>
      <c r="E62" s="271">
        <f>IFERROR(E38/E14,"nm")</f>
        <v/>
      </c>
      <c r="F62" s="271">
        <f>IFERROR(F38/F14,"nm")</f>
        <v/>
      </c>
      <c r="G62" s="271">
        <f>IFERROR(G38/G14,"nm")</f>
        <v/>
      </c>
      <c r="H62" s="271">
        <f>IFERROR(H38/H14,"nm")</f>
        <v/>
      </c>
      <c r="I62" s="296">
        <f>IFERROR(I38/I14,"nm")</f>
        <v/>
      </c>
      <c r="J62" s="271">
        <f>IFERROR(J38/J14,"nm")</f>
        <v/>
      </c>
      <c r="K62" s="271">
        <f>IFERROR(K38/K14,"nm")</f>
        <v/>
      </c>
      <c r="L62" s="271">
        <f>IFERROR(L38/L14,"nm")</f>
        <v/>
      </c>
      <c r="M62" s="271">
        <f>IFERROR(M38/M14,"nm")</f>
        <v/>
      </c>
      <c r="N62" s="272">
        <f>IFERROR(N38/N14,"nm")</f>
        <v/>
      </c>
    </row>
    <row r="63">
      <c r="B63" s="279" t="inlineStr">
        <is>
          <t>Bajaj Allianz</t>
        </is>
      </c>
      <c r="C63" s="296">
        <f>IFERROR(C39/C15,"nm")</f>
        <v/>
      </c>
      <c r="D63" s="271">
        <f>IFERROR(D39/D15,"nm")</f>
        <v/>
      </c>
      <c r="E63" s="271">
        <f>IFERROR(E39/E15,"nm")</f>
        <v/>
      </c>
      <c r="F63" s="271">
        <f>IFERROR(F39/F15,"nm")</f>
        <v/>
      </c>
      <c r="G63" s="271">
        <f>IFERROR(G39/G15,"nm")</f>
        <v/>
      </c>
      <c r="H63" s="271">
        <f>IFERROR(H39/H15,"nm")</f>
        <v/>
      </c>
      <c r="I63" s="296">
        <f>IFERROR(I39/I15,"nm")</f>
        <v/>
      </c>
      <c r="J63" s="271">
        <f>IFERROR(J39/J15,"nm")</f>
        <v/>
      </c>
      <c r="K63" s="271">
        <f>IFERROR(K39/K15,"nm")</f>
        <v/>
      </c>
      <c r="L63" s="271">
        <f>IFERROR(L39/L15,"nm")</f>
        <v/>
      </c>
      <c r="M63" s="271">
        <f>IFERROR(M39/M15,"nm")</f>
        <v/>
      </c>
      <c r="N63" s="272">
        <f>IFERROR(N39/N15,"nm")</f>
        <v/>
      </c>
    </row>
    <row r="64">
      <c r="B64" s="279" t="inlineStr">
        <is>
          <t>Reliance</t>
        </is>
      </c>
      <c r="C64" s="296">
        <f>IFERROR(C40/C16,"nm")</f>
        <v/>
      </c>
      <c r="D64" s="271">
        <f>IFERROR(D40/D16,"nm")</f>
        <v/>
      </c>
      <c r="E64" s="271">
        <f>IFERROR(E40/E16,"nm")</f>
        <v/>
      </c>
      <c r="F64" s="271">
        <f>IFERROR(F40/F16,"nm")</f>
        <v/>
      </c>
      <c r="G64" s="271">
        <f>IFERROR(G40/G16,"nm")</f>
        <v/>
      </c>
      <c r="H64" s="271">
        <f>IFERROR(H40/H16,"nm")</f>
        <v/>
      </c>
      <c r="I64" s="296">
        <f>IFERROR(I40/I16,"nm")</f>
        <v/>
      </c>
      <c r="J64" s="271">
        <f>IFERROR(J40/J16,"nm")</f>
        <v/>
      </c>
      <c r="K64" s="271">
        <f>IFERROR(K40/K16,"nm")</f>
        <v/>
      </c>
      <c r="L64" s="271">
        <f>IFERROR(L40/L16,"nm")</f>
        <v/>
      </c>
      <c r="M64" s="271">
        <f>IFERROR(M40/M16,"nm")</f>
        <v/>
      </c>
      <c r="N64" s="272">
        <f>IFERROR(N40/N16,"nm")</f>
        <v/>
      </c>
    </row>
    <row r="65">
      <c r="B65" s="279" t="inlineStr">
        <is>
          <t>SBI GI</t>
        </is>
      </c>
      <c r="C65" s="296">
        <f>IFERROR(C41/C17,"nm")</f>
        <v/>
      </c>
      <c r="D65" s="271">
        <f>IFERROR(D41/D17,"nm")</f>
        <v/>
      </c>
      <c r="E65" s="271">
        <f>IFERROR(E41/E17,"nm")</f>
        <v/>
      </c>
      <c r="F65" s="271">
        <f>IFERROR(F41/F17,"nm")</f>
        <v/>
      </c>
      <c r="G65" s="271">
        <f>IFERROR(G41/G17,"nm")</f>
        <v/>
      </c>
      <c r="H65" s="271">
        <f>IFERROR(H41/H17,"nm")</f>
        <v/>
      </c>
      <c r="I65" s="296">
        <f>IFERROR(I41/I17,"nm")</f>
        <v/>
      </c>
      <c r="J65" s="271">
        <f>IFERROR(J41/J17,"nm")</f>
        <v/>
      </c>
      <c r="K65" s="271">
        <f>IFERROR(K41/K17,"nm")</f>
        <v/>
      </c>
      <c r="L65" s="271">
        <f>IFERROR(L41/L17,"nm")</f>
        <v/>
      </c>
      <c r="M65" s="271">
        <f>IFERROR(M41/M17,"nm")</f>
        <v/>
      </c>
      <c r="N65" s="272">
        <f>IFERROR(N41/N17,"nm")</f>
        <v/>
      </c>
    </row>
    <row r="66">
      <c r="B66" s="276" t="inlineStr">
        <is>
          <t>PSUs &gt;&gt;</t>
        </is>
      </c>
      <c r="C66" s="298" t="n"/>
      <c r="D66" s="299" t="n"/>
      <c r="E66" s="299" t="n"/>
      <c r="F66" s="299" t="n"/>
      <c r="G66" s="299" t="n"/>
      <c r="H66" s="299" t="n"/>
      <c r="I66" s="298" t="n"/>
      <c r="J66" s="299" t="n"/>
      <c r="K66" s="299" t="n"/>
      <c r="L66" s="299" t="n"/>
      <c r="M66" s="299" t="n"/>
      <c r="N66" s="300" t="n"/>
    </row>
    <row r="67">
      <c r="B67" s="277" t="inlineStr">
        <is>
          <t>New India</t>
        </is>
      </c>
      <c r="C67" s="296">
        <f>IFERROR(C43/C19,"nm")</f>
        <v/>
      </c>
      <c r="D67" s="271">
        <f>IFERROR(D43/D19,"nm")</f>
        <v/>
      </c>
      <c r="E67" s="271">
        <f>IFERROR(E43/E19,"nm")</f>
        <v/>
      </c>
      <c r="F67" s="271">
        <f>IFERROR(F43/F19,"nm")</f>
        <v/>
      </c>
      <c r="G67" s="271">
        <f>IFERROR(G43/G19,"nm")</f>
        <v/>
      </c>
      <c r="H67" s="271">
        <f>IFERROR(H43/H19,"nm")</f>
        <v/>
      </c>
      <c r="I67" s="296">
        <f>IFERROR(I43/I19,"nm")</f>
        <v/>
      </c>
      <c r="J67" s="271">
        <f>IFERROR(J43/J19,"nm")</f>
        <v/>
      </c>
      <c r="K67" s="271">
        <f>IFERROR(K43/K19,"nm")</f>
        <v/>
      </c>
      <c r="L67" s="271">
        <f>IFERROR(L43/L19,"nm")</f>
        <v/>
      </c>
      <c r="M67" s="271">
        <f>IFERROR(M43/M19,"nm")</f>
        <v/>
      </c>
      <c r="N67" s="272">
        <f>IFERROR(N43/N19,"nm")</f>
        <v/>
      </c>
    </row>
    <row r="68">
      <c r="B68" s="277" t="inlineStr">
        <is>
          <t>National Insurance</t>
        </is>
      </c>
      <c r="C68" s="296">
        <f>IFERROR(C44/C20,"nm")</f>
        <v/>
      </c>
      <c r="D68" s="271">
        <f>IFERROR(D44/D20,"nm")</f>
        <v/>
      </c>
      <c r="E68" s="271">
        <f>IFERROR(E44/E20,"nm")</f>
        <v/>
      </c>
      <c r="F68" s="271">
        <f>IFERROR(F44/F20,"nm")</f>
        <v/>
      </c>
      <c r="G68" s="271">
        <f>IFERROR(G44/G20,"nm")</f>
        <v/>
      </c>
      <c r="H68" s="271">
        <f>IFERROR(H44/H20,"nm")</f>
        <v/>
      </c>
      <c r="I68" s="296">
        <f>IFERROR(I44/I20,"nm")</f>
        <v/>
      </c>
      <c r="J68" s="271">
        <f>IFERROR(J44/J20,"nm")</f>
        <v/>
      </c>
      <c r="K68" s="271">
        <f>IFERROR(K44/K20,"nm")</f>
        <v/>
      </c>
      <c r="L68" s="271">
        <f>IFERROR(L44/L20,"nm")</f>
        <v/>
      </c>
      <c r="M68" s="271">
        <f>IFERROR(M44/M20,"nm")</f>
        <v/>
      </c>
      <c r="N68" s="272">
        <f>IFERROR(N44/N20,"nm")</f>
        <v/>
      </c>
    </row>
    <row r="69">
      <c r="B69" s="104" t="inlineStr">
        <is>
          <t>Oriental Insurance</t>
        </is>
      </c>
      <c r="C69" s="296">
        <f>IFERROR(C45/C21,"nm")</f>
        <v/>
      </c>
      <c r="D69" s="271">
        <f>IFERROR(D45/D21,"nm")</f>
        <v/>
      </c>
      <c r="E69" s="271">
        <f>IFERROR(E45/E21,"nm")</f>
        <v/>
      </c>
      <c r="F69" s="271">
        <f>IFERROR(F45/F21,"nm")</f>
        <v/>
      </c>
      <c r="G69" s="271">
        <f>IFERROR(G45/G21,"nm")</f>
        <v/>
      </c>
      <c r="H69" s="271">
        <f>IFERROR(H45/H21,"nm")</f>
        <v/>
      </c>
      <c r="I69" s="296">
        <f>IFERROR(I45/I21,"nm")</f>
        <v/>
      </c>
      <c r="J69" s="271">
        <f>IFERROR(J45/J21,"nm")</f>
        <v/>
      </c>
      <c r="K69" s="271">
        <f>IFERROR(K45/K21,"nm")</f>
        <v/>
      </c>
      <c r="L69" s="271">
        <f>IFERROR(L45/L21,"nm")</f>
        <v/>
      </c>
      <c r="M69" s="271">
        <f>IFERROR(M45/M21,"nm")</f>
        <v/>
      </c>
      <c r="N69" s="272">
        <f>IFERROR(N45/N21,"nm")</f>
        <v/>
      </c>
    </row>
    <row r="70">
      <c r="B70" s="104" t="inlineStr">
        <is>
          <t>United India</t>
        </is>
      </c>
      <c r="C70" s="296">
        <f>IFERROR(C46/C22,"nm")</f>
        <v/>
      </c>
      <c r="D70" s="271">
        <f>IFERROR(D46/D22,"nm")</f>
        <v/>
      </c>
      <c r="E70" s="271">
        <f>IFERROR(E46/E22,"nm")</f>
        <v/>
      </c>
      <c r="F70" s="271">
        <f>IFERROR(F46/F22,"nm")</f>
        <v/>
      </c>
      <c r="G70" s="271">
        <f>IFERROR(G46/G22,"nm")</f>
        <v/>
      </c>
      <c r="H70" s="271">
        <f>IFERROR(H46/H22,"nm")</f>
        <v/>
      </c>
      <c r="I70" s="296">
        <f>IFERROR(I46/I22,"nm")</f>
        <v/>
      </c>
      <c r="J70" s="271">
        <f>IFERROR(J46/J22,"nm")</f>
        <v/>
      </c>
      <c r="K70" s="271">
        <f>IFERROR(K46/K22,"nm")</f>
        <v/>
      </c>
      <c r="L70" s="271">
        <f>IFERROR(L46/L22,"nm")</f>
        <v/>
      </c>
      <c r="M70" s="271">
        <f>IFERROR(M46/M22,"nm")</f>
        <v/>
      </c>
      <c r="N70" s="272">
        <f>IFERROR(N46/N22,"nm")</f>
        <v/>
      </c>
    </row>
    <row r="71">
      <c r="B71" s="284" t="inlineStr">
        <is>
          <t>Others</t>
        </is>
      </c>
      <c r="C71" s="301">
        <f>IFERROR(C47/C23,"nm")</f>
        <v/>
      </c>
      <c r="D71" s="288">
        <f>IFERROR(D47/D23,"nm")</f>
        <v/>
      </c>
      <c r="E71" s="288">
        <f>IFERROR(E47/E23,"nm")</f>
        <v/>
      </c>
      <c r="F71" s="288">
        <f>IFERROR(F47/F23,"nm")</f>
        <v/>
      </c>
      <c r="G71" s="288">
        <f>IFERROR(G47/G23,"nm")</f>
        <v/>
      </c>
      <c r="H71" s="288">
        <f>IFERROR(H47/H23,"nm")</f>
        <v/>
      </c>
      <c r="I71" s="301">
        <f>IFERROR(I47/I23,"nm")</f>
        <v/>
      </c>
      <c r="J71" s="288">
        <f>IFERROR(J47/J23,"nm")</f>
        <v/>
      </c>
      <c r="K71" s="288">
        <f>IFERROR(K47/K23,"nm")</f>
        <v/>
      </c>
      <c r="L71" s="288">
        <f>IFERROR(L47/L23,"nm")</f>
        <v/>
      </c>
      <c r="M71" s="288">
        <f>IFERROR(M47/M23,"nm")</f>
        <v/>
      </c>
      <c r="N71" s="289">
        <f>IFERROR(N47/N23,"nm")</f>
        <v/>
      </c>
    </row>
    <row r="72">
      <c r="B72" s="290" t="inlineStr">
        <is>
          <t>Total Health GWP (INR cr)</t>
        </is>
      </c>
      <c r="C72" s="302">
        <f>IFERROR(C48/C24,"nm")</f>
        <v/>
      </c>
      <c r="D72" s="294">
        <f>IFERROR(D48/D24,"nm")</f>
        <v/>
      </c>
      <c r="E72" s="294">
        <f>IFERROR(E48/E24,"nm")</f>
        <v/>
      </c>
      <c r="F72" s="294">
        <f>IFERROR(F48/F24,"nm")</f>
        <v/>
      </c>
      <c r="G72" s="294">
        <f>IFERROR(G48/G24,"nm")</f>
        <v/>
      </c>
      <c r="H72" s="294">
        <f>IFERROR(H48/H24,"nm")</f>
        <v/>
      </c>
      <c r="I72" s="302">
        <f>IFERROR(I48/I24,"nm")</f>
        <v/>
      </c>
      <c r="J72" s="294">
        <f>IFERROR(J48/J24,"nm")</f>
        <v/>
      </c>
      <c r="K72" s="294">
        <f>IFERROR(K48/K24,"nm")</f>
        <v/>
      </c>
      <c r="L72" s="294">
        <f>IFERROR(L48/L24,"nm")</f>
        <v/>
      </c>
      <c r="M72" s="294">
        <f>IFERROR(M48/M24,"nm")</f>
        <v/>
      </c>
      <c r="N72" s="295">
        <f>IFERROR(N48/N24,"nm")</f>
        <v/>
      </c>
    </row>
    <row r="74">
      <c r="B74" s="322" t="inlineStr">
        <is>
          <t>Group Health GWP (INR cr)</t>
        </is>
      </c>
      <c r="C74" s="395" t="inlineStr">
        <is>
          <t>Previous FY</t>
        </is>
      </c>
      <c r="D74" s="427" t="n"/>
      <c r="E74" s="427" t="n"/>
      <c r="F74" s="427" t="n"/>
      <c r="G74" s="427" t="n"/>
      <c r="H74" s="428" t="n"/>
      <c r="I74" s="395" t="inlineStr">
        <is>
          <t>Current FY</t>
        </is>
      </c>
      <c r="J74" s="427" t="n"/>
      <c r="K74" s="427" t="n"/>
      <c r="L74" s="427" t="n"/>
      <c r="M74" s="427" t="n"/>
      <c r="N74" s="428" t="n"/>
      <c r="O74" s="321" t="n"/>
      <c r="P74" s="321" t="n"/>
      <c r="Q74" s="321" t="n"/>
      <c r="R74" s="321" t="n"/>
    </row>
    <row r="75">
      <c r="B75" s="323" t="n"/>
      <c r="C75" s="429">
        <f>C51</f>
        <v/>
      </c>
      <c r="D75" s="430">
        <f>D3</f>
        <v/>
      </c>
      <c r="E75" s="430">
        <f>E3</f>
        <v/>
      </c>
      <c r="F75" s="430" t="n"/>
      <c r="G75" s="430" t="n"/>
      <c r="H75" s="430">
        <f>H3</f>
        <v/>
      </c>
      <c r="I75" s="429">
        <f>I3</f>
        <v/>
      </c>
      <c r="J75" s="430">
        <f>J3</f>
        <v/>
      </c>
      <c r="K75" s="430">
        <f>K3</f>
        <v/>
      </c>
      <c r="L75" s="430" t="n"/>
      <c r="M75" s="430" t="inlineStr">
        <is>
          <t>Q4FY26</t>
        </is>
      </c>
      <c r="N75" s="430" t="inlineStr">
        <is>
          <t>FY26</t>
        </is>
      </c>
      <c r="O75" s="430">
        <f>O3</f>
        <v/>
      </c>
      <c r="P75" s="430">
        <f>P3</f>
        <v/>
      </c>
      <c r="Q75" s="431">
        <f>Q3</f>
        <v/>
      </c>
      <c r="R75" s="431">
        <f>R3</f>
        <v/>
      </c>
    </row>
    <row r="76">
      <c r="B76" s="276" t="inlineStr">
        <is>
          <t>SAHIs &gt;&gt;</t>
        </is>
      </c>
      <c r="C76" s="280" t="n"/>
      <c r="D76" s="268" t="n"/>
      <c r="E76" s="268" t="n"/>
      <c r="F76" s="268" t="n"/>
      <c r="G76" s="268" t="n"/>
      <c r="H76" s="268" t="n"/>
      <c r="I76" s="280" t="n"/>
      <c r="J76" s="268" t="n"/>
      <c r="K76" s="268" t="n"/>
      <c r="L76" s="268" t="n"/>
      <c r="M76" s="268" t="n"/>
      <c r="N76" s="268" t="n"/>
      <c r="O76" s="269" t="n"/>
      <c r="P76" s="269" t="n"/>
      <c r="Q76" s="270" t="n"/>
      <c r="R76" s="270" t="n"/>
    </row>
    <row r="77">
      <c r="B77" s="277" t="inlineStr">
        <is>
          <t>Star Health</t>
        </is>
      </c>
      <c r="C77" s="282">
        <f>'Q1''26 GWP'!F77</f>
        <v/>
      </c>
      <c r="D77" s="219">
        <f>D5-D29</f>
        <v/>
      </c>
      <c r="E77" s="219">
        <f>E5-E29</f>
        <v/>
      </c>
      <c r="F77" s="219">
        <f>F5-F29</f>
        <v/>
      </c>
      <c r="G77" s="219">
        <f>G5-G29</f>
        <v/>
      </c>
      <c r="H77" s="219">
        <f>H5-H29</f>
        <v/>
      </c>
      <c r="I77" s="282">
        <f>'Q1''26 GWP'!J77</f>
        <v/>
      </c>
      <c r="J77" s="219">
        <f>J5-J29</f>
        <v/>
      </c>
      <c r="K77" s="219">
        <f>K5-K29</f>
        <v/>
      </c>
      <c r="L77" s="219">
        <f>L5-L29</f>
        <v/>
      </c>
      <c r="M77" s="219">
        <f>M5-M29</f>
        <v/>
      </c>
      <c r="N77" s="219">
        <f>N5-N29</f>
        <v/>
      </c>
      <c r="O77" s="271">
        <f>IFERROR(I77/C77-1,"nm")</f>
        <v/>
      </c>
      <c r="P77" s="271">
        <f>IFERROR(J77/D77-1,"nm")</f>
        <v/>
      </c>
      <c r="Q77" s="272">
        <f>IFERROR(K77/E77-1,"nm")</f>
        <v/>
      </c>
      <c r="R77" s="272">
        <f>IFERROR(M77/G77-1,"nm")</f>
        <v/>
      </c>
    </row>
    <row r="78">
      <c r="B78" s="277" t="inlineStr">
        <is>
          <t>Care</t>
        </is>
      </c>
      <c r="C78" s="282">
        <f>'Q1''26 GWP'!F78</f>
        <v/>
      </c>
      <c r="D78" s="219">
        <f>D6-D30</f>
        <v/>
      </c>
      <c r="E78" s="219">
        <f>E6-E30</f>
        <v/>
      </c>
      <c r="F78" s="219">
        <f>F6-F30</f>
        <v/>
      </c>
      <c r="G78" s="219">
        <f>G6-G30</f>
        <v/>
      </c>
      <c r="H78" s="219">
        <f>H6-H30</f>
        <v/>
      </c>
      <c r="I78" s="282">
        <f>'Q1''26 GWP'!J78</f>
        <v/>
      </c>
      <c r="J78" s="219">
        <f>J6-J30</f>
        <v/>
      </c>
      <c r="K78" s="219">
        <f>K6-K30</f>
        <v/>
      </c>
      <c r="L78" s="219">
        <f>L6-L30</f>
        <v/>
      </c>
      <c r="M78" s="219">
        <f>M6-M30</f>
        <v/>
      </c>
      <c r="N78" s="219">
        <f>N6-N30</f>
        <v/>
      </c>
      <c r="O78" s="271">
        <f>IFERROR(I78/C78-1,"nm")</f>
        <v/>
      </c>
      <c r="P78" s="271">
        <f>IFERROR(J78/D78-1,"nm")</f>
        <v/>
      </c>
      <c r="Q78" s="272">
        <f>IFERROR(K78/E78-1,"nm")</f>
        <v/>
      </c>
      <c r="R78" s="272">
        <f>IFERROR(M78/G78-1,"nm")</f>
        <v/>
      </c>
    </row>
    <row r="79">
      <c r="B79" s="278" t="inlineStr">
        <is>
          <t>Niva Bupa</t>
        </is>
      </c>
      <c r="C79" s="283">
        <f>'Q1''26 GWP'!F79</f>
        <v/>
      </c>
      <c r="D79" s="273">
        <f>D7-D31</f>
        <v/>
      </c>
      <c r="E79" s="273">
        <f>E7-E31</f>
        <v/>
      </c>
      <c r="F79" s="273">
        <f>F7-F31</f>
        <v/>
      </c>
      <c r="G79" s="273">
        <f>G7-G31</f>
        <v/>
      </c>
      <c r="H79" s="273">
        <f>H7-H31</f>
        <v/>
      </c>
      <c r="I79" s="283">
        <f>'Q1''26 GWP'!J79</f>
        <v/>
      </c>
      <c r="J79" s="273">
        <f>J7-J31</f>
        <v/>
      </c>
      <c r="K79" s="273">
        <f>K7-K31</f>
        <v/>
      </c>
      <c r="L79" s="273">
        <f>L7-L31</f>
        <v/>
      </c>
      <c r="M79" s="273">
        <f>M7-M31</f>
        <v/>
      </c>
      <c r="N79" s="273">
        <f>N7-N31</f>
        <v/>
      </c>
      <c r="O79" s="274">
        <f>IFERROR(I79/C79-1,"nm")</f>
        <v/>
      </c>
      <c r="P79" s="274">
        <f>IFERROR(J79/D79-1,"nm")</f>
        <v/>
      </c>
      <c r="Q79" s="275">
        <f>IFERROR(K79/E79-1,"nm")</f>
        <v/>
      </c>
      <c r="R79" s="275">
        <f>IFERROR(M79/G79-1,"nm")</f>
        <v/>
      </c>
    </row>
    <row r="80">
      <c r="B80" s="277" t="inlineStr">
        <is>
          <t>Aditya Birla</t>
        </is>
      </c>
      <c r="C80" s="282">
        <f>'Q1''26 GWP'!F80</f>
        <v/>
      </c>
      <c r="D80" s="219">
        <f>D8-D32</f>
        <v/>
      </c>
      <c r="E80" s="219">
        <f>E8-E32</f>
        <v/>
      </c>
      <c r="F80" s="219">
        <f>F8-F32</f>
        <v/>
      </c>
      <c r="G80" s="219">
        <f>G8-G32</f>
        <v/>
      </c>
      <c r="H80" s="219">
        <f>H8-H32</f>
        <v/>
      </c>
      <c r="I80" s="282">
        <f>'Q1''26 GWP'!J80</f>
        <v/>
      </c>
      <c r="J80" s="219">
        <f>J8-J32</f>
        <v/>
      </c>
      <c r="K80" s="219">
        <f>K8-K32</f>
        <v/>
      </c>
      <c r="L80" s="219">
        <f>L8-L32</f>
        <v/>
      </c>
      <c r="M80" s="219">
        <f>M8-M32</f>
        <v/>
      </c>
      <c r="N80" s="219">
        <f>N8-N32</f>
        <v/>
      </c>
      <c r="O80" s="271">
        <f>IFERROR(I80/C80-1,"nm")</f>
        <v/>
      </c>
      <c r="P80" s="271">
        <f>IFERROR(J80/D80-1,"nm")</f>
        <v/>
      </c>
      <c r="Q80" s="272">
        <f>IFERROR(K80/E80-1,"nm")</f>
        <v/>
      </c>
      <c r="R80" s="272">
        <f>IFERROR(M80/G80-1,"nm")</f>
        <v/>
      </c>
    </row>
    <row r="81">
      <c r="B81" s="277" t="inlineStr">
        <is>
          <t>Manipal Cigna</t>
        </is>
      </c>
      <c r="C81" s="282">
        <f>'Q1''26 GWP'!F81</f>
        <v/>
      </c>
      <c r="D81" s="219">
        <f>D9-D33</f>
        <v/>
      </c>
      <c r="E81" s="219">
        <f>E9-E33</f>
        <v/>
      </c>
      <c r="F81" s="219">
        <f>F9-F33</f>
        <v/>
      </c>
      <c r="G81" s="219">
        <f>G9-G33</f>
        <v/>
      </c>
      <c r="H81" s="219">
        <f>H9-H33</f>
        <v/>
      </c>
      <c r="I81" s="282">
        <f>'Q1''26 GWP'!J81</f>
        <v/>
      </c>
      <c r="J81" s="219">
        <f>J9-J33</f>
        <v/>
      </c>
      <c r="K81" s="219">
        <f>K9-K33</f>
        <v/>
      </c>
      <c r="L81" s="219">
        <f>L9-L33</f>
        <v/>
      </c>
      <c r="M81" s="219">
        <f>M9-M33</f>
        <v/>
      </c>
      <c r="N81" s="219">
        <f>N9-N33</f>
        <v/>
      </c>
      <c r="O81" s="271">
        <f>IFERROR(I81/C81-1,"nm")</f>
        <v/>
      </c>
      <c r="P81" s="271">
        <f>IFERROR(J81/D81-1,"nm")</f>
        <v/>
      </c>
      <c r="Q81" s="272">
        <f>IFERROR(K81/E81-1,"nm")</f>
        <v/>
      </c>
      <c r="R81" s="272">
        <f>IFERROR(M81/G81-1,"nm")</f>
        <v/>
      </c>
    </row>
    <row r="82">
      <c r="B82" s="277" t="inlineStr">
        <is>
          <t>Galaxy Health</t>
        </is>
      </c>
      <c r="C82" s="282">
        <f>'Q1''26 GWP'!F82</f>
        <v/>
      </c>
      <c r="D82" s="219">
        <f>D10-D34</f>
        <v/>
      </c>
      <c r="E82" s="219">
        <f>E10-E34</f>
        <v/>
      </c>
      <c r="F82" s="219">
        <f>F10-F34</f>
        <v/>
      </c>
      <c r="G82" s="219">
        <f>G10-G34</f>
        <v/>
      </c>
      <c r="H82" s="219">
        <f>H10-H34</f>
        <v/>
      </c>
      <c r="I82" s="282">
        <f>'Q1''26 GWP'!J82</f>
        <v/>
      </c>
      <c r="J82" s="219">
        <f>J10-J34</f>
        <v/>
      </c>
      <c r="K82" s="219">
        <f>K10-K34</f>
        <v/>
      </c>
      <c r="L82" s="219">
        <f>L10-L34</f>
        <v/>
      </c>
      <c r="M82" s="219">
        <f>M10-M34</f>
        <v/>
      </c>
      <c r="N82" s="219">
        <f>N10-N34</f>
        <v/>
      </c>
      <c r="O82" s="271">
        <f>IFERROR(I82/C82-1,"nm")</f>
        <v/>
      </c>
      <c r="P82" s="271">
        <f>IFERROR(J82/D82-1,"nm")</f>
        <v/>
      </c>
      <c r="Q82" s="272">
        <f>IFERROR(K82/E82-1,"nm")</f>
        <v/>
      </c>
      <c r="R82" s="272">
        <f>IFERROR(M82/G82-1,"nm")</f>
        <v/>
      </c>
    </row>
    <row r="83">
      <c r="B83" s="277" t="inlineStr">
        <is>
          <t>Narayana Health</t>
        </is>
      </c>
      <c r="C83" s="282">
        <f>'Q1''26 GWP'!F83</f>
        <v/>
      </c>
      <c r="D83" s="219">
        <f>D11-D35</f>
        <v/>
      </c>
      <c r="E83" s="219">
        <f>E11-E35</f>
        <v/>
      </c>
      <c r="F83" s="219">
        <f>F11-F35</f>
        <v/>
      </c>
      <c r="G83" s="219">
        <f>G11-G35</f>
        <v/>
      </c>
      <c r="H83" s="219">
        <f>H11-H35</f>
        <v/>
      </c>
      <c r="I83" s="282">
        <f>'Q1''26 GWP'!J83</f>
        <v/>
      </c>
      <c r="J83" s="219">
        <f>J11-J35</f>
        <v/>
      </c>
      <c r="K83" s="219">
        <f>K11-K35</f>
        <v/>
      </c>
      <c r="L83" s="219">
        <f>L11-L35</f>
        <v/>
      </c>
      <c r="M83" s="219">
        <f>M11-M35</f>
        <v/>
      </c>
      <c r="N83" s="219">
        <f>N11-N35</f>
        <v/>
      </c>
      <c r="O83" s="271">
        <f>IFERROR(I83/C83-1,"nm")</f>
        <v/>
      </c>
      <c r="P83" s="271">
        <f>IFERROR(J83/D83-1,"nm")</f>
        <v/>
      </c>
      <c r="Q83" s="272">
        <f>IFERROR(K83/E83-1,"nm")</f>
        <v/>
      </c>
      <c r="R83" s="272">
        <f>IFERROR(M83/G83-1,"nm")</f>
        <v/>
      </c>
    </row>
    <row r="84">
      <c r="B84" s="276" t="inlineStr">
        <is>
          <t>Private Multi-line &gt;&gt;</t>
        </is>
      </c>
      <c r="C84" s="280" t="n"/>
      <c r="D84" s="268" t="n"/>
      <c r="E84" s="268" t="n"/>
      <c r="F84" s="268" t="n"/>
      <c r="G84" s="268" t="n"/>
      <c r="H84" s="268" t="n"/>
      <c r="I84" s="280" t="n"/>
      <c r="J84" s="268" t="n"/>
      <c r="K84" s="268" t="n"/>
      <c r="L84" s="268" t="n"/>
      <c r="M84" s="268" t="n"/>
      <c r="N84" s="268" t="n"/>
      <c r="O84" s="269" t="n"/>
      <c r="P84" s="269" t="n"/>
      <c r="Q84" s="270" t="n"/>
      <c r="R84" s="270" t="n"/>
    </row>
    <row r="85">
      <c r="B85" s="277" t="inlineStr">
        <is>
          <t>HDFC Ergo</t>
        </is>
      </c>
      <c r="C85" s="282">
        <f>'Q1''26 GWP'!F85</f>
        <v/>
      </c>
      <c r="D85" s="219">
        <f>D13-D37</f>
        <v/>
      </c>
      <c r="E85" s="219">
        <f>E13-E37</f>
        <v/>
      </c>
      <c r="F85" s="219">
        <f>F13-F37</f>
        <v/>
      </c>
      <c r="G85" s="219">
        <f>G13-G37</f>
        <v/>
      </c>
      <c r="H85" s="219">
        <f>H13-H37</f>
        <v/>
      </c>
      <c r="I85" s="282">
        <f>'Q1''26 GWP'!J85</f>
        <v/>
      </c>
      <c r="J85" s="219">
        <f>J13-J37</f>
        <v/>
      </c>
      <c r="K85" s="219">
        <f>K13-K37</f>
        <v/>
      </c>
      <c r="L85" s="219">
        <f>L13-L37</f>
        <v/>
      </c>
      <c r="M85" s="219">
        <f>M13-M37</f>
        <v/>
      </c>
      <c r="N85" s="219">
        <f>N13-N37</f>
        <v/>
      </c>
      <c r="O85" s="271">
        <f>IFERROR(I85/C85-1,"nm")</f>
        <v/>
      </c>
      <c r="P85" s="271">
        <f>IFERROR(J85/D85-1,"nm")</f>
        <v/>
      </c>
      <c r="Q85" s="272">
        <f>IFERROR(K85/E85-1,"nm")</f>
        <v/>
      </c>
      <c r="R85" s="272">
        <f>IFERROR(M85/G85-1,"nm")</f>
        <v/>
      </c>
    </row>
    <row r="86">
      <c r="B86" s="277" t="inlineStr">
        <is>
          <t>ICICI Lombard</t>
        </is>
      </c>
      <c r="C86" s="282">
        <f>'Q1''26 GWP'!F86</f>
        <v/>
      </c>
      <c r="D86" s="219">
        <f>D14-D38</f>
        <v/>
      </c>
      <c r="E86" s="219">
        <f>E14-E38</f>
        <v/>
      </c>
      <c r="F86" s="219">
        <f>F14-F38</f>
        <v/>
      </c>
      <c r="G86" s="219">
        <f>G14-G38</f>
        <v/>
      </c>
      <c r="H86" s="219">
        <f>H14-H38</f>
        <v/>
      </c>
      <c r="I86" s="282">
        <f>'Q1''26 GWP'!J86</f>
        <v/>
      </c>
      <c r="J86" s="219">
        <f>J14-J38</f>
        <v/>
      </c>
      <c r="K86" s="219">
        <f>K14-K38</f>
        <v/>
      </c>
      <c r="L86" s="219">
        <f>L14-L38</f>
        <v/>
      </c>
      <c r="M86" s="219">
        <f>M14-M38</f>
        <v/>
      </c>
      <c r="N86" s="219">
        <f>N14-N38</f>
        <v/>
      </c>
      <c r="O86" s="271">
        <f>IFERROR(I86/C86-1,"nm")</f>
        <v/>
      </c>
      <c r="P86" s="271">
        <f>IFERROR(J86/D86-1,"nm")</f>
        <v/>
      </c>
      <c r="Q86" s="272">
        <f>IFERROR(K86/E86-1,"nm")</f>
        <v/>
      </c>
      <c r="R86" s="272">
        <f>IFERROR(M86/G86-1,"nm")</f>
        <v/>
      </c>
    </row>
    <row r="87">
      <c r="B87" s="279" t="inlineStr">
        <is>
          <t>Bajaj Allianz</t>
        </is>
      </c>
      <c r="C87" s="282">
        <f>'Q1''26 GWP'!F87</f>
        <v/>
      </c>
      <c r="D87" s="219">
        <f>D15-D39</f>
        <v/>
      </c>
      <c r="E87" s="219">
        <f>E15-E39</f>
        <v/>
      </c>
      <c r="F87" s="219">
        <f>F15-F39</f>
        <v/>
      </c>
      <c r="G87" s="219">
        <f>G15-G39</f>
        <v/>
      </c>
      <c r="H87" s="219">
        <f>H15-H39</f>
        <v/>
      </c>
      <c r="I87" s="282">
        <f>'Q1''26 GWP'!J87</f>
        <v/>
      </c>
      <c r="J87" s="219">
        <f>J15-J39</f>
        <v/>
      </c>
      <c r="K87" s="219">
        <f>K15-K39</f>
        <v/>
      </c>
      <c r="L87" s="219">
        <f>L15-L39</f>
        <v/>
      </c>
      <c r="M87" s="219">
        <f>M15-M39</f>
        <v/>
      </c>
      <c r="N87" s="219">
        <f>N15-N39</f>
        <v/>
      </c>
      <c r="O87" s="271">
        <f>IFERROR(I87/C87-1,"nm")</f>
        <v/>
      </c>
      <c r="P87" s="271">
        <f>IFERROR(J87/D87-1,"nm")</f>
        <v/>
      </c>
      <c r="Q87" s="272">
        <f>IFERROR(K87/E87-1,"nm")</f>
        <v/>
      </c>
      <c r="R87" s="272">
        <f>IFERROR(M87/G87-1,"nm")</f>
        <v/>
      </c>
    </row>
    <row r="88">
      <c r="B88" s="279" t="inlineStr">
        <is>
          <t>Reliance</t>
        </is>
      </c>
      <c r="C88" s="282">
        <f>'Q1''26 GWP'!F88</f>
        <v/>
      </c>
      <c r="D88" s="219">
        <f>D16-D40</f>
        <v/>
      </c>
      <c r="E88" s="219">
        <f>E16-E40</f>
        <v/>
      </c>
      <c r="F88" s="219">
        <f>F16-F40</f>
        <v/>
      </c>
      <c r="G88" s="219">
        <f>G16-G40</f>
        <v/>
      </c>
      <c r="H88" s="219">
        <f>H16-H40</f>
        <v/>
      </c>
      <c r="I88" s="282">
        <f>'Q1''26 GWP'!J88</f>
        <v/>
      </c>
      <c r="J88" s="219">
        <f>J16-J40</f>
        <v/>
      </c>
      <c r="K88" s="219">
        <f>K16-K40</f>
        <v/>
      </c>
      <c r="L88" s="219">
        <f>L16-L40</f>
        <v/>
      </c>
      <c r="M88" s="219">
        <f>M16-M40</f>
        <v/>
      </c>
      <c r="N88" s="219">
        <f>N16-N40</f>
        <v/>
      </c>
      <c r="O88" s="271">
        <f>IFERROR(I88/C88-1,"nm")</f>
        <v/>
      </c>
      <c r="P88" s="271">
        <f>IFERROR(J88/D88-1,"nm")</f>
        <v/>
      </c>
      <c r="Q88" s="272">
        <f>IFERROR(K88/E88-1,"nm")</f>
        <v/>
      </c>
      <c r="R88" s="272">
        <f>IFERROR(M88/G88-1,"nm")</f>
        <v/>
      </c>
    </row>
    <row r="89">
      <c r="B89" s="279" t="inlineStr">
        <is>
          <t>SBI GI</t>
        </is>
      </c>
      <c r="C89" s="282">
        <f>'Q1''26 GWP'!F89</f>
        <v/>
      </c>
      <c r="D89" s="219">
        <f>D17-D41</f>
        <v/>
      </c>
      <c r="E89" s="219">
        <f>E17-E41</f>
        <v/>
      </c>
      <c r="F89" s="219">
        <f>F17-F41</f>
        <v/>
      </c>
      <c r="G89" s="219">
        <f>G17-G41</f>
        <v/>
      </c>
      <c r="H89" s="219">
        <f>H17-H41</f>
        <v/>
      </c>
      <c r="I89" s="282">
        <f>'Q1''26 GWP'!J89</f>
        <v/>
      </c>
      <c r="J89" s="219">
        <f>J17-J41</f>
        <v/>
      </c>
      <c r="K89" s="219">
        <f>K17-K41</f>
        <v/>
      </c>
      <c r="L89" s="219">
        <f>L17-L41</f>
        <v/>
      </c>
      <c r="M89" s="219">
        <f>M17-M41</f>
        <v/>
      </c>
      <c r="N89" s="219">
        <f>N17-N41</f>
        <v/>
      </c>
      <c r="O89" s="271">
        <f>IFERROR(I89/C89-1,"nm")</f>
        <v/>
      </c>
      <c r="P89" s="271">
        <f>IFERROR(J89/D89-1,"nm")</f>
        <v/>
      </c>
      <c r="Q89" s="272">
        <f>IFERROR(K89/E89-1,"nm")</f>
        <v/>
      </c>
      <c r="R89" s="272">
        <f>IFERROR(M89/G89-1,"nm")</f>
        <v/>
      </c>
    </row>
    <row r="90">
      <c r="B90" s="276" t="inlineStr">
        <is>
          <t>PSUs &gt;&gt;</t>
        </is>
      </c>
      <c r="C90" s="280" t="n"/>
      <c r="D90" s="268" t="n"/>
      <c r="E90" s="268" t="n"/>
      <c r="F90" s="268" t="n"/>
      <c r="G90" s="268" t="n"/>
      <c r="H90" s="268" t="n"/>
      <c r="I90" s="280" t="n"/>
      <c r="J90" s="268" t="n"/>
      <c r="K90" s="268" t="n"/>
      <c r="L90" s="268" t="n"/>
      <c r="M90" s="268" t="n"/>
      <c r="N90" s="268" t="n"/>
      <c r="O90" s="269" t="n"/>
      <c r="P90" s="269" t="n"/>
      <c r="Q90" s="270" t="n"/>
      <c r="R90" s="270" t="n"/>
    </row>
    <row r="91">
      <c r="B91" s="277" t="inlineStr">
        <is>
          <t>New India</t>
        </is>
      </c>
      <c r="C91" s="282">
        <f>'Q1''26 GWP'!F91</f>
        <v/>
      </c>
      <c r="D91" s="219">
        <f>D19-D43</f>
        <v/>
      </c>
      <c r="E91" s="219">
        <f>E19-E43</f>
        <v/>
      </c>
      <c r="F91" s="219">
        <f>F19-F43</f>
        <v/>
      </c>
      <c r="G91" s="219">
        <f>G19-G43</f>
        <v/>
      </c>
      <c r="H91" s="219">
        <f>H19-H43</f>
        <v/>
      </c>
      <c r="I91" s="282">
        <f>'Q1''26 GWP'!J91</f>
        <v/>
      </c>
      <c r="J91" s="219">
        <f>J19-J43</f>
        <v/>
      </c>
      <c r="K91" s="219">
        <f>K19-K43</f>
        <v/>
      </c>
      <c r="L91" s="219">
        <f>L19-L43</f>
        <v/>
      </c>
      <c r="M91" s="219">
        <f>M19-M43</f>
        <v/>
      </c>
      <c r="N91" s="219">
        <f>N19-N43</f>
        <v/>
      </c>
      <c r="O91" s="271">
        <f>IFERROR(I91/C91-1,"nm")</f>
        <v/>
      </c>
      <c r="P91" s="271">
        <f>IFERROR(J91/D91-1,"nm")</f>
        <v/>
      </c>
      <c r="Q91" s="272">
        <f>IFERROR(K91/E91-1,"nm")</f>
        <v/>
      </c>
      <c r="R91" s="272">
        <f>IFERROR(M91/G91-1,"nm")</f>
        <v/>
      </c>
    </row>
    <row r="92">
      <c r="B92" s="277" t="inlineStr">
        <is>
          <t>National Insurance</t>
        </is>
      </c>
      <c r="C92" s="282">
        <f>'Q1''26 GWP'!F92</f>
        <v/>
      </c>
      <c r="D92" s="219">
        <f>D20-D44</f>
        <v/>
      </c>
      <c r="E92" s="219">
        <f>E20-E44</f>
        <v/>
      </c>
      <c r="F92" s="219">
        <f>F20-F44</f>
        <v/>
      </c>
      <c r="G92" s="219">
        <f>G20-G44</f>
        <v/>
      </c>
      <c r="H92" s="219">
        <f>H20-H44</f>
        <v/>
      </c>
      <c r="I92" s="282">
        <f>'Q1''26 GWP'!J92</f>
        <v/>
      </c>
      <c r="J92" s="219">
        <f>J20-J44</f>
        <v/>
      </c>
      <c r="K92" s="219">
        <f>K20-K44</f>
        <v/>
      </c>
      <c r="L92" s="219">
        <f>L20-L44</f>
        <v/>
      </c>
      <c r="M92" s="219">
        <f>M20-M44</f>
        <v/>
      </c>
      <c r="N92" s="219">
        <f>N20-N44</f>
        <v/>
      </c>
      <c r="O92" s="271">
        <f>IFERROR(I92/C92-1,"nm")</f>
        <v/>
      </c>
      <c r="P92" s="271">
        <f>IFERROR(J92/D92-1,"nm")</f>
        <v/>
      </c>
      <c r="Q92" s="272">
        <f>IFERROR(K92/E92-1,"nm")</f>
        <v/>
      </c>
      <c r="R92" s="272">
        <f>IFERROR(M92/G92-1,"nm")</f>
        <v/>
      </c>
    </row>
    <row r="93">
      <c r="B93" s="104" t="inlineStr">
        <is>
          <t>Oriental Insurance</t>
        </is>
      </c>
      <c r="C93" s="282">
        <f>'Q1''26 GWP'!F93</f>
        <v/>
      </c>
      <c r="D93" s="219">
        <f>D21-D45</f>
        <v/>
      </c>
      <c r="E93" s="219">
        <f>E21-E45</f>
        <v/>
      </c>
      <c r="F93" s="219">
        <f>F21-F45</f>
        <v/>
      </c>
      <c r="G93" s="219">
        <f>G21-G45</f>
        <v/>
      </c>
      <c r="H93" s="219">
        <f>H21-H45</f>
        <v/>
      </c>
      <c r="I93" s="282">
        <f>'Q1''26 GWP'!J93</f>
        <v/>
      </c>
      <c r="J93" s="219">
        <f>J21-J45</f>
        <v/>
      </c>
      <c r="K93" s="219">
        <f>K21-K45</f>
        <v/>
      </c>
      <c r="L93" s="219">
        <f>L21-L45</f>
        <v/>
      </c>
      <c r="M93" s="219">
        <f>M21-M45</f>
        <v/>
      </c>
      <c r="N93" s="219">
        <f>N21-N45</f>
        <v/>
      </c>
      <c r="O93" s="271">
        <f>IFERROR(I93/C93-1,"nm")</f>
        <v/>
      </c>
      <c r="P93" s="271">
        <f>IFERROR(J93/D93-1,"nm")</f>
        <v/>
      </c>
      <c r="Q93" s="272">
        <f>IFERROR(K93/E93-1,"nm")</f>
        <v/>
      </c>
      <c r="R93" s="272">
        <f>IFERROR(M93/G93-1,"nm")</f>
        <v/>
      </c>
    </row>
    <row r="94">
      <c r="B94" s="104" t="inlineStr">
        <is>
          <t>United India</t>
        </is>
      </c>
      <c r="C94" s="282">
        <f>'Q1''26 GWP'!F94</f>
        <v/>
      </c>
      <c r="D94" s="219">
        <f>D22-D46</f>
        <v/>
      </c>
      <c r="E94" s="219">
        <f>E22-E46</f>
        <v/>
      </c>
      <c r="F94" s="219">
        <f>F22-F46</f>
        <v/>
      </c>
      <c r="G94" s="219">
        <f>G22-G46</f>
        <v/>
      </c>
      <c r="H94" s="219">
        <f>H22-H46</f>
        <v/>
      </c>
      <c r="I94" s="282">
        <f>'Q1''26 GWP'!J94</f>
        <v/>
      </c>
      <c r="J94" s="219">
        <f>J22-J46</f>
        <v/>
      </c>
      <c r="K94" s="219">
        <f>K22-K46</f>
        <v/>
      </c>
      <c r="L94" s="219">
        <f>L22-L46</f>
        <v/>
      </c>
      <c r="M94" s="219">
        <f>M22-M46</f>
        <v/>
      </c>
      <c r="N94" s="219">
        <f>N22-N46</f>
        <v/>
      </c>
      <c r="O94" s="271">
        <f>IFERROR(I94/C94-1,"nm")</f>
        <v/>
      </c>
      <c r="P94" s="271">
        <f>IFERROR(J94/D94-1,"nm")</f>
        <v/>
      </c>
      <c r="Q94" s="272">
        <f>IFERROR(K94/E94-1,"nm")</f>
        <v/>
      </c>
      <c r="R94" s="272">
        <f>IFERROR(M94/G94-1,"nm")</f>
        <v/>
      </c>
    </row>
    <row r="95">
      <c r="B95" s="284" t="inlineStr">
        <is>
          <t>Others</t>
        </is>
      </c>
      <c r="C95" s="285">
        <f>'Q1''26 GWP'!F95</f>
        <v/>
      </c>
      <c r="D95" s="286">
        <f>D23-D47</f>
        <v/>
      </c>
      <c r="E95" s="286">
        <f>E23-E47</f>
        <v/>
      </c>
      <c r="F95" s="286">
        <f>F23-F47</f>
        <v/>
      </c>
      <c r="G95" s="286">
        <f>G23-G47</f>
        <v/>
      </c>
      <c r="H95" s="286">
        <f>H23-H47</f>
        <v/>
      </c>
      <c r="I95" s="285">
        <f>'Q1''26 GWP'!J95</f>
        <v/>
      </c>
      <c r="J95" s="286">
        <f>J23-J47</f>
        <v/>
      </c>
      <c r="K95" s="286">
        <f>K23-K47</f>
        <v/>
      </c>
      <c r="L95" s="286">
        <f>L23-L47</f>
        <v/>
      </c>
      <c r="M95" s="286">
        <f>M23-M47</f>
        <v/>
      </c>
      <c r="N95" s="286">
        <f>N23-N47</f>
        <v/>
      </c>
      <c r="O95" s="288">
        <f>IFERROR(I95/C95-1,"nm")</f>
        <v/>
      </c>
      <c r="P95" s="288">
        <f>IFERROR(J95/D95-1,"nm")</f>
        <v/>
      </c>
      <c r="Q95" s="289">
        <f>IFERROR(K95/E95-1,"nm")</f>
        <v/>
      </c>
      <c r="R95" s="289">
        <f>IFERROR(M95/G95-1,"nm")</f>
        <v/>
      </c>
    </row>
    <row r="96">
      <c r="B96" s="290" t="inlineStr">
        <is>
          <t>Total Health GWP (INR cr)</t>
        </is>
      </c>
      <c r="C96" s="291">
        <f>'Q1''26 GWP'!F96</f>
        <v/>
      </c>
      <c r="D96" s="292">
        <f>D24-D48</f>
        <v/>
      </c>
      <c r="E96" s="292">
        <f>E24-E48</f>
        <v/>
      </c>
      <c r="F96" s="292">
        <f>F24-F48</f>
        <v/>
      </c>
      <c r="G96" s="292">
        <f>G24-G48</f>
        <v/>
      </c>
      <c r="H96" s="292">
        <f>H24-H48</f>
        <v/>
      </c>
      <c r="I96" s="291">
        <f>'Q1''26 GWP'!J96</f>
        <v/>
      </c>
      <c r="J96" s="292">
        <f>J24-J48</f>
        <v/>
      </c>
      <c r="K96" s="292">
        <f>K24-K48</f>
        <v/>
      </c>
      <c r="L96" s="292">
        <f>L24-L48</f>
        <v/>
      </c>
      <c r="M96" s="292">
        <f>M24-M48</f>
        <v/>
      </c>
      <c r="N96" s="292">
        <f>N24-N48</f>
        <v/>
      </c>
      <c r="O96" s="294">
        <f>IFERROR(I96/C96-1,"nm")</f>
        <v/>
      </c>
      <c r="P96" s="294">
        <f>IFERROR(J96/D96-1,"nm")</f>
        <v/>
      </c>
      <c r="Q96" s="295">
        <f>IFERROR(K96/E96-1,"nm")</f>
        <v/>
      </c>
      <c r="R96" s="295">
        <f>IFERROR(M96/G96-1,"nm")</f>
        <v/>
      </c>
    </row>
  </sheetData>
  <mergeCells count="8">
    <mergeCell ref="C2:H2"/>
    <mergeCell ref="C50:H50"/>
    <mergeCell ref="I2:N2"/>
    <mergeCell ref="C74:H74"/>
    <mergeCell ref="I50:N50"/>
    <mergeCell ref="I26:N26"/>
    <mergeCell ref="C26:H26"/>
    <mergeCell ref="I74:N74"/>
  </mergeCells>
  <pageMargins left="0.7086614173228347" right="0.7086614173228347" top="0.7480314960629921" bottom="0.7480314960629921" header="0.3149606299212598" footer="0.3149606299212598"/>
  <pageSetup orientation="landscape" paperSize="9" fitToHeight="0"/>
  <rowBreaks count="4" manualBreakCount="4">
    <brk id="25" min="0" max="17" man="1"/>
    <brk id="49" min="0" max="17" man="1"/>
    <brk id="72" min="0" max="17" man="1"/>
    <brk id="97" min="0" max="14"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R96"/>
  <sheetViews>
    <sheetView showGridLines="0" view="pageBreakPreview" zoomScale="105" zoomScaleNormal="130" zoomScaleSheetLayoutView="130" workbookViewId="0">
      <pane xSplit="2" ySplit="3" topLeftCell="C4" activePane="bottomRight" state="frozen"/>
      <selection activeCell="I19" sqref="I19"/>
      <selection pane="topRight" activeCell="I19" sqref="I19"/>
      <selection pane="bottomLeft" activeCell="I19" sqref="I19"/>
      <selection pane="bottomRight" activeCell="G5" sqref="G5"/>
    </sheetView>
  </sheetViews>
  <sheetFormatPr baseColWidth="8" defaultRowHeight="14.5"/>
  <cols>
    <col width="3" bestFit="1" customWidth="1" min="1" max="1"/>
    <col width="28.26953125" bestFit="1" customWidth="1" min="2" max="2"/>
    <col width="9.453125" customWidth="1" min="3" max="10"/>
    <col width="13" customWidth="1" min="7" max="7"/>
    <col width="13" customWidth="1" min="8" max="8"/>
    <col width="13" customWidth="1" min="9" max="9"/>
    <col width="13" customWidth="1" min="10" max="10"/>
    <col hidden="1" outlineLevel="1" width="9.453125" customWidth="1" min="11" max="13"/>
    <col collapsed="1" width="10.453125" customWidth="1" min="14" max="14"/>
    <col width="13" customWidth="1" min="15" max="15"/>
    <col width="13" bestFit="1" customWidth="1" min="16" max="16"/>
    <col width="13" customWidth="1" min="17" max="24"/>
    <col width="13" customWidth="1" min="18" max="18"/>
  </cols>
  <sheetData>
    <row r="1">
      <c r="A1" s="4" t="inlineStr">
        <is>
          <t>xx</t>
        </is>
      </c>
      <c r="B1" s="4" t="inlineStr">
        <is>
          <t>GWP growth</t>
        </is>
      </c>
    </row>
    <row r="2">
      <c r="B2" s="396" t="inlineStr">
        <is>
          <t>Total Health GWP (INR cr)</t>
        </is>
      </c>
      <c r="C2" s="395" t="inlineStr">
        <is>
          <t>Previous FY</t>
        </is>
      </c>
      <c r="D2" s="427" t="n"/>
      <c r="E2" s="427" t="n"/>
      <c r="F2" s="428" t="n"/>
      <c r="G2" s="395" t="inlineStr">
        <is>
          <t>Current FY</t>
        </is>
      </c>
      <c r="H2" s="427" t="n"/>
      <c r="I2" s="427" t="n"/>
      <c r="J2" s="428" t="n"/>
      <c r="K2" s="394" t="inlineStr">
        <is>
          <t>YoY growth</t>
        </is>
      </c>
      <c r="L2" s="427" t="n"/>
      <c r="M2" s="427" t="n"/>
      <c r="N2" s="428" t="n"/>
      <c r="O2" s="434" t="inlineStr">
        <is>
          <t>FY27</t>
        </is>
      </c>
      <c r="P2" s="435" t="n"/>
      <c r="Q2" s="435" t="n"/>
      <c r="R2" s="436" t="n"/>
    </row>
    <row r="3">
      <c r="B3" s="197" t="n"/>
      <c r="C3" s="429" t="inlineStr">
        <is>
          <t>Apr'24</t>
        </is>
      </c>
      <c r="D3" s="430" t="inlineStr">
        <is>
          <t>May'24</t>
        </is>
      </c>
      <c r="E3" s="430" t="inlineStr">
        <is>
          <t>Jun'24</t>
        </is>
      </c>
      <c r="F3" s="431" t="inlineStr">
        <is>
          <t>Q1FY25</t>
        </is>
      </c>
      <c r="G3" s="429" t="inlineStr">
        <is>
          <t>Apr'25</t>
        </is>
      </c>
      <c r="H3" s="430" t="inlineStr">
        <is>
          <t>May'25</t>
        </is>
      </c>
      <c r="I3" s="430" t="inlineStr">
        <is>
          <t>Jun'25</t>
        </is>
      </c>
      <c r="J3" s="431" t="inlineStr">
        <is>
          <t>Q1FY26</t>
        </is>
      </c>
      <c r="K3" s="430" t="inlineStr">
        <is>
          <t>Apr'25</t>
        </is>
      </c>
      <c r="L3" s="430" t="inlineStr">
        <is>
          <t>May'25</t>
        </is>
      </c>
      <c r="M3" s="430" t="inlineStr">
        <is>
          <t>Jun'25</t>
        </is>
      </c>
      <c r="N3" s="431" t="inlineStr">
        <is>
          <t>Q1FY26</t>
        </is>
      </c>
      <c r="O3" s="437" t="inlineStr">
        <is>
          <t>Apr'26</t>
        </is>
      </c>
      <c r="P3" s="438" t="inlineStr">
        <is>
          <t>May'26</t>
        </is>
      </c>
      <c r="Q3" s="438" t="inlineStr">
        <is>
          <t>Jun'26</t>
        </is>
      </c>
      <c r="R3" s="439" t="inlineStr">
        <is>
          <t>Q1FY27</t>
        </is>
      </c>
    </row>
    <row r="4">
      <c r="B4" s="276" t="inlineStr">
        <is>
          <t>SAHIs &gt;&gt;</t>
        </is>
      </c>
      <c r="C4" s="280" t="n"/>
      <c r="D4" s="268" t="n"/>
      <c r="E4" s="268" t="n"/>
      <c r="F4" s="281" t="n"/>
      <c r="G4" s="280" t="n"/>
      <c r="H4" s="268" t="n"/>
      <c r="I4" s="268" t="n"/>
      <c r="J4" s="281" t="n"/>
      <c r="K4" s="269" t="n"/>
      <c r="L4" s="269" t="n"/>
      <c r="M4" s="269" t="n"/>
      <c r="N4" s="270" t="n"/>
      <c r="O4" s="280" t="n"/>
      <c r="P4" s="268" t="n"/>
      <c r="Q4" s="268" t="n"/>
      <c r="R4" s="281" t="n"/>
    </row>
    <row r="5">
      <c r="B5" s="277" t="inlineStr">
        <is>
          <t>Star Health</t>
        </is>
      </c>
      <c r="C5" s="282">
        <f>'[1]Health Portfolio'!$F$72</f>
        <v/>
      </c>
      <c r="D5" s="219" t="n">
        <v>1147.48</v>
      </c>
      <c r="E5" s="219">
        <f>F5-SUM(C5:D5)</f>
        <v/>
      </c>
      <c r="F5" s="234" t="n">
        <v>3475.81</v>
      </c>
      <c r="G5" s="282">
        <f>'[1]Health Portfolio'!$F$71</f>
        <v/>
      </c>
      <c r="H5" s="219" t="n">
        <v>1187.14</v>
      </c>
      <c r="I5" s="219">
        <f>J5-SUM(G5:H5)</f>
        <v/>
      </c>
      <c r="J5" s="234" t="n">
        <v>3597.29</v>
      </c>
      <c r="K5" s="271">
        <f>IFERROR(G5/C5-1,"nm")</f>
        <v/>
      </c>
      <c r="L5" s="271">
        <f>IFERROR(H5/D5-1,"nm")</f>
        <v/>
      </c>
      <c r="M5" s="271">
        <f>IFERROR(I5/E5-1,"nm")</f>
        <v/>
      </c>
      <c r="N5" s="272">
        <f>IFERROR(J5/F5-1,"nm")</f>
        <v/>
      </c>
      <c r="O5" s="440" t="n"/>
      <c r="P5" s="441" t="n"/>
      <c r="Q5" s="441" t="n"/>
      <c r="R5" s="442" t="n"/>
    </row>
    <row r="6">
      <c r="B6" s="277" t="inlineStr">
        <is>
          <t>Care</t>
        </is>
      </c>
      <c r="C6" s="282">
        <f>'[1]Health Portfolio'!$F$64</f>
        <v/>
      </c>
      <c r="D6" s="219" t="n">
        <v>598.52</v>
      </c>
      <c r="E6" s="219">
        <f>F6-SUM(C6:D6)</f>
        <v/>
      </c>
      <c r="F6" s="234" t="n">
        <v>1929.56</v>
      </c>
      <c r="G6" s="282">
        <f>'[1]Health Portfolio'!$F$63</f>
        <v/>
      </c>
      <c r="H6" s="219" t="n">
        <v>629.61</v>
      </c>
      <c r="I6" s="219">
        <f>J6-SUM(G6:H6)</f>
        <v/>
      </c>
      <c r="J6" s="234" t="n">
        <v>2049.43</v>
      </c>
      <c r="K6" s="271">
        <f>IFERROR(G6/C6-1,"nm")</f>
        <v/>
      </c>
      <c r="L6" s="271">
        <f>IFERROR(H6/D6-1,"nm")</f>
        <v/>
      </c>
      <c r="M6" s="271">
        <f>IFERROR(I6/E6-1,"nm")</f>
        <v/>
      </c>
      <c r="N6" s="272">
        <f>IFERROR(J6/F6-1,"nm")</f>
        <v/>
      </c>
      <c r="O6" s="440" t="n"/>
      <c r="P6" s="441" t="n"/>
      <c r="Q6" s="441" t="n"/>
      <c r="R6" s="442" t="n"/>
    </row>
    <row r="7">
      <c r="B7" s="278" t="inlineStr">
        <is>
          <t>Niva Bupa</t>
        </is>
      </c>
      <c r="C7" s="283">
        <f>'[1]Health Portfolio'!$F$60</f>
        <v/>
      </c>
      <c r="D7" s="273" t="n">
        <v>497.41</v>
      </c>
      <c r="E7" s="273">
        <f>F7-SUM(C7:D7)</f>
        <v/>
      </c>
      <c r="F7" s="250" t="n">
        <v>1464.17</v>
      </c>
      <c r="G7" s="283">
        <f>'[1]Health Portfolio'!$F$59</f>
        <v/>
      </c>
      <c r="H7" s="273" t="n">
        <v>546.22</v>
      </c>
      <c r="I7" s="273">
        <f>J7-SUM(G7:H7)</f>
        <v/>
      </c>
      <c r="J7" s="250" t="n">
        <v>1631.9</v>
      </c>
      <c r="K7" s="274">
        <f>IFERROR(G7/C7-1,"nm")</f>
        <v/>
      </c>
      <c r="L7" s="274">
        <f>IFERROR(H7/D7-1,"nm")</f>
        <v/>
      </c>
      <c r="M7" s="274">
        <f>IFERROR(I7/E7-1,"nm")</f>
        <v/>
      </c>
      <c r="N7" s="275">
        <f>IFERROR(J7/F7-1,"nm")</f>
        <v/>
      </c>
      <c r="O7" s="443" t="n"/>
      <c r="P7" s="444" t="n"/>
      <c r="Q7" s="444" t="n"/>
      <c r="R7" s="445" t="n"/>
    </row>
    <row r="8">
      <c r="B8" s="277" t="inlineStr">
        <is>
          <t>Aditya Birla</t>
        </is>
      </c>
      <c r="C8" s="282">
        <f>'[1]Health Portfolio'!$F$62</f>
        <v/>
      </c>
      <c r="D8" s="219" t="n">
        <v>230.8999999999999</v>
      </c>
      <c r="E8" s="219">
        <f>F8-SUM(C8:D8)</f>
        <v/>
      </c>
      <c r="F8" s="234" t="n">
        <v>1040.6</v>
      </c>
      <c r="G8" s="282">
        <f>'[1]Health Portfolio'!$F$61</f>
        <v/>
      </c>
      <c r="H8" s="219" t="n">
        <v>330.73</v>
      </c>
      <c r="I8" s="219">
        <f>J8-SUM(G8:H8)</f>
        <v/>
      </c>
      <c r="J8" s="234" t="n">
        <v>1326.65</v>
      </c>
      <c r="K8" s="271">
        <f>IFERROR(G8/C8-1,"nm")</f>
        <v/>
      </c>
      <c r="L8" s="271">
        <f>IFERROR(H8/D8-1,"nm")</f>
        <v/>
      </c>
      <c r="M8" s="271">
        <f>IFERROR(I8/E8-1,"nm")</f>
        <v/>
      </c>
      <c r="N8" s="272">
        <f>IFERROR(J8/F8-1,"nm")</f>
        <v/>
      </c>
      <c r="O8" s="440" t="n"/>
      <c r="P8" s="441" t="n"/>
      <c r="Q8" s="441" t="n"/>
      <c r="R8" s="442" t="n"/>
    </row>
    <row r="9">
      <c r="B9" s="277" t="inlineStr">
        <is>
          <t>Manipal Cigna</t>
        </is>
      </c>
      <c r="C9" s="282">
        <f>'[1]Health Portfolio'!$F$68</f>
        <v/>
      </c>
      <c r="D9" s="219" t="n">
        <v>117.33</v>
      </c>
      <c r="E9" s="219">
        <f>F9-SUM(C9:D9)</f>
        <v/>
      </c>
      <c r="F9" s="234" t="n">
        <v>410.05</v>
      </c>
      <c r="G9" s="282">
        <f>'[1]Health Portfolio'!$F$67</f>
        <v/>
      </c>
      <c r="H9" s="219" t="n">
        <v>167.21</v>
      </c>
      <c r="I9" s="219">
        <f>J9-SUM(G9:H9)</f>
        <v/>
      </c>
      <c r="J9" s="234" t="n">
        <v>532</v>
      </c>
      <c r="K9" s="271">
        <f>IFERROR(G9/C9-1,"nm")</f>
        <v/>
      </c>
      <c r="L9" s="271">
        <f>IFERROR(H9/D9-1,"nm")</f>
        <v/>
      </c>
      <c r="M9" s="271">
        <f>IFERROR(I9/E9-1,"nm")</f>
        <v/>
      </c>
      <c r="N9" s="272">
        <f>IFERROR(J9/F9-1,"nm")</f>
        <v/>
      </c>
      <c r="O9" s="440" t="n"/>
      <c r="P9" s="441" t="n"/>
      <c r="Q9" s="441" t="n"/>
      <c r="R9" s="442" t="n"/>
    </row>
    <row r="10">
      <c r="B10" s="277" t="inlineStr">
        <is>
          <t>Galaxy Health</t>
        </is>
      </c>
      <c r="C10" s="432">
        <f>'[1]Health Portfolio'!$F$66</f>
        <v/>
      </c>
      <c r="D10" s="433" t="n">
        <v>0</v>
      </c>
      <c r="E10" s="433">
        <f>F10-SUM(C10:D10)</f>
        <v/>
      </c>
      <c r="F10" s="446" t="n">
        <v>0</v>
      </c>
      <c r="G10" s="282">
        <f>'[1]Health Portfolio'!$F$65</f>
        <v/>
      </c>
      <c r="H10" s="219" t="n">
        <v>4.029999999999999</v>
      </c>
      <c r="I10" s="219">
        <f>J10-SUM(G10:H10)</f>
        <v/>
      </c>
      <c r="J10" s="234" t="n">
        <v>12.28</v>
      </c>
      <c r="K10" s="271">
        <f>IFERROR(G10/C10-1,"nm")</f>
        <v/>
      </c>
      <c r="L10" s="271">
        <f>IFERROR(H10/D10-1,"nm")</f>
        <v/>
      </c>
      <c r="M10" s="271">
        <f>IFERROR(I10/E10-1,"nm")</f>
        <v/>
      </c>
      <c r="N10" s="272">
        <f>IFERROR(J10/F10-1,"nm")</f>
        <v/>
      </c>
      <c r="O10" s="440" t="n"/>
      <c r="P10" s="441" t="n"/>
      <c r="Q10" s="441" t="n"/>
      <c r="R10" s="442" t="n"/>
    </row>
    <row r="11">
      <c r="B11" s="277" t="inlineStr">
        <is>
          <t>Narayana Health</t>
        </is>
      </c>
      <c r="C11" s="432">
        <f>'[1]Health Portfolio'!$F$70</f>
        <v/>
      </c>
      <c r="D11" s="433" t="n">
        <v>0</v>
      </c>
      <c r="E11" s="433">
        <f>F11-SUM(C11:D11)</f>
        <v/>
      </c>
      <c r="F11" s="446" t="n">
        <v>0</v>
      </c>
      <c r="G11" s="282">
        <f>'[1]Health Portfolio'!$F$69</f>
        <v/>
      </c>
      <c r="H11" s="219" t="n">
        <v>0.7899999999999999</v>
      </c>
      <c r="I11" s="219">
        <f>J11-SUM(G11:H11)</f>
        <v/>
      </c>
      <c r="J11" s="234" t="n">
        <v>1.72</v>
      </c>
      <c r="K11" s="271">
        <f>IFERROR(G11/C11-1,"nm")</f>
        <v/>
      </c>
      <c r="L11" s="271">
        <f>IFERROR(H11/D11-1,"nm")</f>
        <v/>
      </c>
      <c r="M11" s="271">
        <f>IFERROR(I11/E11-1,"nm")</f>
        <v/>
      </c>
      <c r="N11" s="272">
        <f>IFERROR(J11/F11-1,"nm")</f>
        <v/>
      </c>
      <c r="O11" s="440" t="n"/>
      <c r="P11" s="441" t="n"/>
      <c r="Q11" s="441" t="n"/>
      <c r="R11" s="442" t="n"/>
    </row>
    <row r="12">
      <c r="B12" s="276" t="inlineStr">
        <is>
          <t>Private Multi-line &gt;&gt;</t>
        </is>
      </c>
      <c r="C12" s="280" t="n"/>
      <c r="D12" s="268" t="n"/>
      <c r="E12" s="268" t="n"/>
      <c r="F12" s="281" t="n"/>
      <c r="G12" s="280" t="n"/>
      <c r="H12" s="268" t="n"/>
      <c r="I12" s="268" t="n"/>
      <c r="J12" s="281" t="n"/>
      <c r="K12" s="269" t="n"/>
      <c r="L12" s="269" t="n"/>
      <c r="M12" s="269" t="n"/>
      <c r="N12" s="270" t="n"/>
      <c r="O12" s="280" t="n"/>
      <c r="P12" s="268" t="n"/>
      <c r="Q12" s="268" t="n"/>
      <c r="R12" s="281" t="n"/>
    </row>
    <row r="13">
      <c r="B13" s="277" t="inlineStr">
        <is>
          <t>HDFC Ergo</t>
        </is>
      </c>
      <c r="C13" s="282">
        <f>'[1]Health Portfolio'!$F$16</f>
        <v/>
      </c>
      <c r="D13" s="219" t="n">
        <v>447.64</v>
      </c>
      <c r="E13" s="219">
        <f>F13-SUM(C13:D13)</f>
        <v/>
      </c>
      <c r="F13" s="234" t="n">
        <v>1575.71</v>
      </c>
      <c r="G13" s="282">
        <f>'[1]Health Portfolio'!$F$15</f>
        <v/>
      </c>
      <c r="H13" s="219" t="n">
        <v>410.75</v>
      </c>
      <c r="I13" s="219">
        <f>J13-SUM(G13:H13)</f>
        <v/>
      </c>
      <c r="J13" s="234" t="n">
        <v>1588.29</v>
      </c>
      <c r="K13" s="271">
        <f>IFERROR(G13/C13-1,"nm")</f>
        <v/>
      </c>
      <c r="L13" s="271">
        <f>IFERROR(H13/D13-1,"nm")</f>
        <v/>
      </c>
      <c r="M13" s="271">
        <f>IFERROR(I13/E13-1,"nm")</f>
        <v/>
      </c>
      <c r="N13" s="272">
        <f>IFERROR(J13/F13-1,"nm")</f>
        <v/>
      </c>
      <c r="O13" s="440" t="n"/>
      <c r="P13" s="441" t="n"/>
      <c r="Q13" s="441" t="n"/>
      <c r="R13" s="442" t="n"/>
    </row>
    <row r="14">
      <c r="B14" s="277" t="inlineStr">
        <is>
          <t>ICICI Lombard</t>
        </is>
      </c>
      <c r="C14" s="282">
        <f>'[1]Health Portfolio'!$F$18</f>
        <v/>
      </c>
      <c r="D14" s="219" t="n">
        <v>732.78</v>
      </c>
      <c r="E14" s="219">
        <f>F14-SUM(C14:D14)</f>
        <v/>
      </c>
      <c r="F14" s="234" t="n">
        <v>2583.07</v>
      </c>
      <c r="G14" s="282">
        <f>'[1]Health Portfolio'!$F$17</f>
        <v/>
      </c>
      <c r="H14" s="219" t="n">
        <v>735.1100000000001</v>
      </c>
      <c r="I14" s="219">
        <f>J14-SUM(G14:H14)</f>
        <v/>
      </c>
      <c r="J14" s="234" t="n">
        <v>2595.58</v>
      </c>
      <c r="K14" s="271">
        <f>IFERROR(G14/C14-1,"nm")</f>
        <v/>
      </c>
      <c r="L14" s="271">
        <f>IFERROR(H14/D14-1,"nm")</f>
        <v/>
      </c>
      <c r="M14" s="271">
        <f>IFERROR(I14/E14-1,"nm")</f>
        <v/>
      </c>
      <c r="N14" s="272">
        <f>IFERROR(J14/F14-1,"nm")</f>
        <v/>
      </c>
      <c r="O14" s="440" t="n"/>
      <c r="P14" s="441" t="n"/>
      <c r="Q14" s="441" t="n"/>
      <c r="R14" s="442" t="n"/>
    </row>
    <row r="15">
      <c r="B15" s="279" t="inlineStr">
        <is>
          <t>Bajaj Allianz</t>
        </is>
      </c>
      <c r="C15" s="282">
        <f>'[1]Health Portfolio'!$F$8</f>
        <v/>
      </c>
      <c r="D15" s="219" t="n">
        <v>277.0599999999999</v>
      </c>
      <c r="E15" s="219">
        <f>F15-SUM(C15:D15)</f>
        <v/>
      </c>
      <c r="F15" s="234" t="n">
        <v>1378.73</v>
      </c>
      <c r="G15" s="282">
        <f>'[1]Health Portfolio'!$F$7</f>
        <v/>
      </c>
      <c r="H15" s="219" t="n">
        <v>292.59</v>
      </c>
      <c r="I15" s="219">
        <f>J15-SUM(G15:H15)</f>
        <v/>
      </c>
      <c r="J15" s="234" t="n">
        <v>1309.21</v>
      </c>
      <c r="K15" s="271">
        <f>IFERROR(G15/C15-1,"nm")</f>
        <v/>
      </c>
      <c r="L15" s="271">
        <f>IFERROR(H15/D15-1,"nm")</f>
        <v/>
      </c>
      <c r="M15" s="271">
        <f>IFERROR(I15/E15-1,"nm")</f>
        <v/>
      </c>
      <c r="N15" s="272">
        <f>IFERROR(J15/F15-1,"nm")</f>
        <v/>
      </c>
      <c r="O15" s="440" t="n"/>
      <c r="P15" s="441" t="n"/>
      <c r="Q15" s="441" t="n"/>
      <c r="R15" s="442" t="n"/>
    </row>
    <row r="16">
      <c r="B16" s="279" t="inlineStr">
        <is>
          <t>Reliance</t>
        </is>
      </c>
      <c r="C16" s="282">
        <f>'[1]Health Portfolio'!$F$36</f>
        <v/>
      </c>
      <c r="D16" s="219" t="n">
        <v>138.63</v>
      </c>
      <c r="E16" s="219">
        <f>F16-SUM(C16:D16)</f>
        <v/>
      </c>
      <c r="F16" s="234" t="n">
        <v>741.25</v>
      </c>
      <c r="G16" s="282">
        <f>'[1]Health Portfolio'!$F$35</f>
        <v/>
      </c>
      <c r="H16" s="219" t="n">
        <v>363.4399999999999</v>
      </c>
      <c r="I16" s="219">
        <f>J16-SUM(G16:H16)</f>
        <v/>
      </c>
      <c r="J16" s="234" t="n">
        <v>1022.94</v>
      </c>
      <c r="K16" s="271">
        <f>IFERROR(G16/C16-1,"nm")</f>
        <v/>
      </c>
      <c r="L16" s="271">
        <f>IFERROR(H16/D16-1,"nm")</f>
        <v/>
      </c>
      <c r="M16" s="271">
        <f>IFERROR(I16/E16-1,"nm")</f>
        <v/>
      </c>
      <c r="N16" s="272">
        <f>IFERROR(J16/F16-1,"nm")</f>
        <v/>
      </c>
      <c r="O16" s="440" t="n"/>
      <c r="P16" s="441" t="n"/>
      <c r="Q16" s="441" t="n"/>
      <c r="R16" s="442" t="n"/>
    </row>
    <row r="17">
      <c r="B17" s="279" t="inlineStr">
        <is>
          <t>SBI GI</t>
        </is>
      </c>
      <c r="C17" s="282">
        <f>'[1]Health Portfolio'!$F$40</f>
        <v/>
      </c>
      <c r="D17" s="219" t="n">
        <v>168.21</v>
      </c>
      <c r="E17" s="219">
        <f>F17-SUM(C17:D17)</f>
        <v/>
      </c>
      <c r="F17" s="234" t="n">
        <v>806.52</v>
      </c>
      <c r="G17" s="282">
        <f>'[1]Health Portfolio'!$F$39</f>
        <v/>
      </c>
      <c r="H17" s="219" t="n">
        <v>181.96</v>
      </c>
      <c r="I17" s="219">
        <f>J17-SUM(G17:H17)</f>
        <v/>
      </c>
      <c r="J17" s="234" t="n">
        <v>1192.44</v>
      </c>
      <c r="K17" s="271">
        <f>IFERROR(G17/C17-1,"nm")</f>
        <v/>
      </c>
      <c r="L17" s="271">
        <f>IFERROR(H17/D17-1,"nm")</f>
        <v/>
      </c>
      <c r="M17" s="271">
        <f>IFERROR(I17/E17-1,"nm")</f>
        <v/>
      </c>
      <c r="N17" s="272">
        <f>IFERROR(J17/F17-1,"nm")</f>
        <v/>
      </c>
      <c r="O17" s="440" t="n"/>
      <c r="P17" s="441" t="n"/>
      <c r="Q17" s="441" t="n"/>
      <c r="R17" s="442" t="n"/>
    </row>
    <row r="18">
      <c r="B18" s="276" t="inlineStr">
        <is>
          <t>PSUs &gt;&gt;</t>
        </is>
      </c>
      <c r="C18" s="280" t="n"/>
      <c r="D18" s="268" t="n"/>
      <c r="E18" s="268" t="n"/>
      <c r="F18" s="281" t="n"/>
      <c r="G18" s="280" t="n"/>
      <c r="H18" s="268" t="n"/>
      <c r="I18" s="268" t="n"/>
      <c r="J18" s="281" t="n"/>
      <c r="K18" s="269" t="n"/>
      <c r="L18" s="269" t="n"/>
      <c r="M18" s="269" t="n"/>
      <c r="N18" s="270" t="n"/>
      <c r="O18" s="280" t="n"/>
      <c r="P18" s="268" t="n"/>
      <c r="Q18" s="268" t="n"/>
      <c r="R18" s="281" t="n"/>
    </row>
    <row r="19">
      <c r="B19" s="277" t="inlineStr">
        <is>
          <t>New India</t>
        </is>
      </c>
      <c r="C19" s="282">
        <f>'[1]Health Portfolio'!$F$46</f>
        <v/>
      </c>
      <c r="D19" s="219" t="n">
        <v>968.7799999999997</v>
      </c>
      <c r="E19" s="219">
        <f>F19-SUM(C19:D19)</f>
        <v/>
      </c>
      <c r="F19" s="234" t="n">
        <v>5880.509999999999</v>
      </c>
      <c r="G19" s="282">
        <f>'[1]Health Portfolio'!$F$45</f>
        <v/>
      </c>
      <c r="H19" s="219" t="n">
        <v>1367.98</v>
      </c>
      <c r="I19" s="219">
        <f>J19-SUM(G19:H19)</f>
        <v/>
      </c>
      <c r="J19" s="234" t="n">
        <v>6713.349999999999</v>
      </c>
      <c r="K19" s="271">
        <f>IFERROR(G19/C19-1,"nm")</f>
        <v/>
      </c>
      <c r="L19" s="271">
        <f>IFERROR(H19/D19-1,"nm")</f>
        <v/>
      </c>
      <c r="M19" s="271">
        <f>IFERROR(I19/E19-1,"nm")</f>
        <v/>
      </c>
      <c r="N19" s="272">
        <f>IFERROR(J19/F19-1,"nm")</f>
        <v/>
      </c>
      <c r="O19" s="440" t="n"/>
      <c r="P19" s="441" t="n"/>
      <c r="Q19" s="441" t="n"/>
      <c r="R19" s="442" t="n"/>
    </row>
    <row r="20">
      <c r="B20" s="277" t="inlineStr">
        <is>
          <t>National Insurance</t>
        </is>
      </c>
      <c r="C20" s="282">
        <f>'[1]Health Portfolio'!$F$30</f>
        <v/>
      </c>
      <c r="D20" s="219" t="n">
        <v>426.22</v>
      </c>
      <c r="E20" s="219">
        <f>F20-SUM(C20:D20)</f>
        <v/>
      </c>
      <c r="F20" s="234" t="n">
        <v>1560.42</v>
      </c>
      <c r="G20" s="282">
        <f>'[1]Health Portfolio'!$F$29</f>
        <v/>
      </c>
      <c r="H20" s="219" t="n">
        <v>348.61</v>
      </c>
      <c r="I20" s="219">
        <f>J20-SUM(G20:H20)</f>
        <v/>
      </c>
      <c r="J20" s="234" t="n">
        <v>1742.56</v>
      </c>
      <c r="K20" s="271">
        <f>IFERROR(G20/C20-1,"nm")</f>
        <v/>
      </c>
      <c r="L20" s="271">
        <f>IFERROR(H20/D20-1,"nm")</f>
        <v/>
      </c>
      <c r="M20" s="271">
        <f>IFERROR(I20/E20-1,"nm")</f>
        <v/>
      </c>
      <c r="N20" s="272">
        <f>IFERROR(J20/F20-1,"nm")</f>
        <v/>
      </c>
      <c r="O20" s="440" t="n"/>
      <c r="P20" s="441" t="n"/>
      <c r="Q20" s="441" t="n"/>
      <c r="R20" s="442" t="n"/>
    </row>
    <row r="21">
      <c r="B21" s="104" t="inlineStr">
        <is>
          <t>Oriental Insurance</t>
        </is>
      </c>
      <c r="C21" s="282">
        <f>'[1]Health Portfolio'!$F$48</f>
        <v/>
      </c>
      <c r="D21" s="219" t="n">
        <v>897.1899999999999</v>
      </c>
      <c r="E21" s="219">
        <f>F21-SUM(C21:D21)</f>
        <v/>
      </c>
      <c r="F21" s="234" t="n">
        <v>2749.66</v>
      </c>
      <c r="G21" s="282">
        <f>'[1]Health Portfolio'!$F$47</f>
        <v/>
      </c>
      <c r="H21" s="219" t="n">
        <v>826.62</v>
      </c>
      <c r="I21" s="219">
        <f>J21-SUM(G21:H21)</f>
        <v/>
      </c>
      <c r="J21" s="234" t="n">
        <v>3642.74</v>
      </c>
      <c r="K21" s="271">
        <f>IFERROR(G21/C21-1,"nm")</f>
        <v/>
      </c>
      <c r="L21" s="271">
        <f>IFERROR(H21/D21-1,"nm")</f>
        <v/>
      </c>
      <c r="M21" s="271">
        <f>IFERROR(I21/E21-1,"nm")</f>
        <v/>
      </c>
      <c r="N21" s="272">
        <f>IFERROR(J21/F21-1,"nm")</f>
        <v/>
      </c>
      <c r="O21" s="440" t="n"/>
      <c r="P21" s="441" t="n"/>
      <c r="Q21" s="441" t="n"/>
      <c r="R21" s="442" t="n"/>
    </row>
    <row r="22">
      <c r="B22" s="104" t="inlineStr">
        <is>
          <t>United India</t>
        </is>
      </c>
      <c r="C22" s="282">
        <f>'[1]Health Portfolio'!$F$50</f>
        <v/>
      </c>
      <c r="D22" s="219" t="n">
        <v>716.98</v>
      </c>
      <c r="E22" s="219">
        <f>F22-SUM(C22:D22)</f>
        <v/>
      </c>
      <c r="F22" s="234" t="n">
        <v>2523.6</v>
      </c>
      <c r="G22" s="282">
        <f>'[1]Health Portfolio'!$F$49</f>
        <v/>
      </c>
      <c r="H22" s="219" t="n">
        <v>604.73</v>
      </c>
      <c r="I22" s="219">
        <f>J22-SUM(G22:H22)</f>
        <v/>
      </c>
      <c r="J22" s="234" t="n">
        <v>2124.65</v>
      </c>
      <c r="K22" s="271">
        <f>IFERROR(G22/C22-1,"nm")</f>
        <v/>
      </c>
      <c r="L22" s="271">
        <f>IFERROR(H22/D22-1,"nm")</f>
        <v/>
      </c>
      <c r="M22" s="271">
        <f>IFERROR(I22/E22-1,"nm")</f>
        <v/>
      </c>
      <c r="N22" s="272">
        <f>IFERROR(J22/F22-1,"nm")</f>
        <v/>
      </c>
      <c r="O22" s="440" t="n"/>
      <c r="P22" s="441" t="n"/>
      <c r="Q22" s="441" t="n"/>
      <c r="R22" s="442" t="n"/>
    </row>
    <row r="23">
      <c r="B23" s="276" t="inlineStr">
        <is>
          <t>Others</t>
        </is>
      </c>
      <c r="C23" s="280">
        <f>C24-SUM(C19:C22,C13:C17,C5:C11)</f>
        <v/>
      </c>
      <c r="D23" s="268">
        <f>D24-SUM(D19:D22,D13:D17,D5:D11)</f>
        <v/>
      </c>
      <c r="E23" s="268">
        <f>F23-SUM(C23:D23)</f>
        <v/>
      </c>
      <c r="F23" s="281">
        <f>F24-SUM(F19:F22,F13:F17,F5:F11)</f>
        <v/>
      </c>
      <c r="G23" s="280">
        <f>G24-SUM(G19:G22,G13:G17,G5:G11)</f>
        <v/>
      </c>
      <c r="H23" s="268">
        <f>H24-SUM(H19:H22,H13:H17,H5:H11)</f>
        <v/>
      </c>
      <c r="I23" s="268">
        <f>J23-SUM(G23:H23)</f>
        <v/>
      </c>
      <c r="J23" s="281">
        <f>J24-SUM(J19:J22,J13:J17,J5:J11)</f>
        <v/>
      </c>
      <c r="K23" s="269">
        <f>IFERROR(G23/C23-1,"nm")</f>
        <v/>
      </c>
      <c r="L23" s="269">
        <f>IFERROR(H23/D23-1,"nm")</f>
        <v/>
      </c>
      <c r="M23" s="269">
        <f>IFERROR(I23/E23-1,"nm")</f>
        <v/>
      </c>
      <c r="N23" s="270">
        <f>IFERROR(J23/F23-1,"nm")</f>
        <v/>
      </c>
      <c r="O23" s="280" t="n"/>
      <c r="P23" s="268" t="n"/>
      <c r="Q23" s="268" t="n"/>
      <c r="R23" s="281" t="n"/>
    </row>
    <row r="24">
      <c r="B24" s="290" t="inlineStr">
        <is>
          <t>Total Health GWP (INR cr)</t>
        </is>
      </c>
      <c r="C24" s="291">
        <f>'[1]Health Portfolio'!$F$77</f>
        <v/>
      </c>
      <c r="D24" s="292" t="n">
        <v>8344.579999999998</v>
      </c>
      <c r="E24" s="292">
        <f>F24-SUM(C24:D24)</f>
        <v/>
      </c>
      <c r="F24" s="293" t="n">
        <v>32236.7</v>
      </c>
      <c r="G24" s="291">
        <f>'[1]Health Portfolio'!$F$76</f>
        <v/>
      </c>
      <c r="H24" s="292" t="n">
        <v>9118.539999999999</v>
      </c>
      <c r="I24" s="292">
        <f>J24-SUM(G24:H24)</f>
        <v/>
      </c>
      <c r="J24" s="293" t="n">
        <v>35543.33</v>
      </c>
      <c r="K24" s="294">
        <f>IFERROR(G24/C24-1,"nm")</f>
        <v/>
      </c>
      <c r="L24" s="294">
        <f>IFERROR(H24/D24-1,"nm")</f>
        <v/>
      </c>
      <c r="M24" s="294">
        <f>IFERROR(I24/E24-1,"nm")</f>
        <v/>
      </c>
      <c r="N24" s="295">
        <f>IFERROR(J24/F24-1,"nm")</f>
        <v/>
      </c>
      <c r="O24" s="291" t="n"/>
      <c r="P24" s="292" t="n"/>
      <c r="Q24" s="292" t="n"/>
      <c r="R24" s="293" t="n"/>
    </row>
    <row r="25"/>
    <row r="26">
      <c r="B26" s="396" t="inlineStr">
        <is>
          <t>Retail Health GWP (INR cr)</t>
        </is>
      </c>
      <c r="C26" s="395" t="inlineStr">
        <is>
          <t>Previous FY</t>
        </is>
      </c>
      <c r="D26" s="427" t="n"/>
      <c r="E26" s="427" t="n"/>
      <c r="F26" s="428" t="n"/>
      <c r="G26" s="395" t="inlineStr">
        <is>
          <t>Current FY</t>
        </is>
      </c>
      <c r="H26" s="427" t="n"/>
      <c r="I26" s="427" t="n"/>
      <c r="J26" s="428" t="n"/>
      <c r="K26" s="394" t="inlineStr">
        <is>
          <t>YoY growth</t>
        </is>
      </c>
      <c r="L26" s="427" t="n"/>
      <c r="M26" s="427" t="n"/>
      <c r="N26" s="428" t="n"/>
      <c r="O26" s="434" t="n"/>
      <c r="P26" s="435" t="n"/>
      <c r="Q26" s="435" t="n"/>
      <c r="R26" s="436" t="n"/>
    </row>
    <row r="27">
      <c r="B27" s="197" t="n"/>
      <c r="C27" s="429" t="inlineStr">
        <is>
          <t>Apr'24</t>
        </is>
      </c>
      <c r="D27" s="430" t="inlineStr">
        <is>
          <t>May'24</t>
        </is>
      </c>
      <c r="E27" s="430" t="inlineStr">
        <is>
          <t>Jun'24</t>
        </is>
      </c>
      <c r="F27" s="431" t="inlineStr">
        <is>
          <t>Q1FY25</t>
        </is>
      </c>
      <c r="G27" s="429" t="inlineStr">
        <is>
          <t>Apr'25</t>
        </is>
      </c>
      <c r="H27" s="430" t="inlineStr">
        <is>
          <t>May'25</t>
        </is>
      </c>
      <c r="I27" s="430" t="inlineStr">
        <is>
          <t>Jun'25</t>
        </is>
      </c>
      <c r="J27" s="431" t="inlineStr">
        <is>
          <t>Q1FY26</t>
        </is>
      </c>
      <c r="K27" s="430" t="inlineStr">
        <is>
          <t>Apr'25</t>
        </is>
      </c>
      <c r="L27" s="430" t="inlineStr">
        <is>
          <t>May'25</t>
        </is>
      </c>
      <c r="M27" s="430" t="inlineStr">
        <is>
          <t>Jun'25</t>
        </is>
      </c>
      <c r="N27" s="431" t="inlineStr">
        <is>
          <t>Q1FY26</t>
        </is>
      </c>
      <c r="O27" s="437" t="n"/>
      <c r="P27" s="438" t="n"/>
      <c r="Q27" s="438" t="n"/>
      <c r="R27" s="439" t="n"/>
    </row>
    <row r="28">
      <c r="B28" s="276" t="inlineStr">
        <is>
          <t>SAHIs &gt;&gt;</t>
        </is>
      </c>
      <c r="C28" s="280" t="n"/>
      <c r="D28" s="268" t="n"/>
      <c r="E28" s="268" t="n"/>
      <c r="F28" s="281" t="n"/>
      <c r="G28" s="280" t="n"/>
      <c r="H28" s="268" t="n"/>
      <c r="I28" s="268" t="n"/>
      <c r="J28" s="281" t="n"/>
      <c r="K28" s="269" t="n"/>
      <c r="L28" s="269" t="n"/>
      <c r="M28" s="269" t="n"/>
      <c r="N28" s="270" t="n"/>
      <c r="O28" s="280" t="n"/>
      <c r="P28" s="268" t="n"/>
      <c r="Q28" s="268" t="n"/>
      <c r="R28" s="281" t="n"/>
    </row>
    <row r="29">
      <c r="B29" s="277" t="inlineStr">
        <is>
          <t>Star Health</t>
        </is>
      </c>
      <c r="C29" s="282">
        <f>'[1]Health Portfolio'!$B$72</f>
        <v/>
      </c>
      <c r="D29" s="219" t="n">
        <v>1044.25</v>
      </c>
      <c r="E29" s="219">
        <f>F29-SUM(C29:D29)</f>
        <v/>
      </c>
      <c r="F29" s="234" t="n">
        <v>3101.09</v>
      </c>
      <c r="G29" s="282">
        <f>'[1]Health Portfolio'!$B$71</f>
        <v/>
      </c>
      <c r="H29" s="219" t="n">
        <v>1131.21</v>
      </c>
      <c r="I29" s="219">
        <f>J29-SUM(G29:H29)</f>
        <v/>
      </c>
      <c r="J29" s="234" t="n">
        <v>3385.78</v>
      </c>
      <c r="K29" s="271">
        <f>IFERROR(G29/C29-1,"nm")</f>
        <v/>
      </c>
      <c r="L29" s="271">
        <f>IFERROR(H29/D29-1,"nm")</f>
        <v/>
      </c>
      <c r="M29" s="271" t="n"/>
      <c r="N29" s="272">
        <f>IFERROR(J29/F29-1,"nm")</f>
        <v/>
      </c>
      <c r="O29" s="440" t="n"/>
      <c r="P29" s="441" t="n"/>
      <c r="Q29" s="441" t="n"/>
      <c r="R29" s="442" t="n"/>
    </row>
    <row r="30">
      <c r="B30" s="277" t="inlineStr">
        <is>
          <t>Care</t>
        </is>
      </c>
      <c r="C30" s="282">
        <f>'[1]Health Portfolio'!$B$64</f>
        <v/>
      </c>
      <c r="D30" s="219" t="n">
        <v>351.9</v>
      </c>
      <c r="E30" s="219">
        <f>F30-SUM(C30:D30)</f>
        <v/>
      </c>
      <c r="F30" s="234" t="n">
        <v>1072.45</v>
      </c>
      <c r="G30" s="282">
        <f>'[1]Health Portfolio'!$B$63</f>
        <v/>
      </c>
      <c r="H30" s="219" t="n">
        <v>395.3099999999999</v>
      </c>
      <c r="I30" s="219">
        <f>J30-SUM(G30:H30)</f>
        <v/>
      </c>
      <c r="J30" s="234" t="n">
        <v>1220.45</v>
      </c>
      <c r="K30" s="271">
        <f>IFERROR(G30/C30-1,"nm")</f>
        <v/>
      </c>
      <c r="L30" s="271">
        <f>IFERROR(H30/D30-1,"nm")</f>
        <v/>
      </c>
      <c r="M30" s="271" t="n"/>
      <c r="N30" s="272">
        <f>IFERROR(J30/F30-1,"nm")</f>
        <v/>
      </c>
      <c r="O30" s="440" t="n"/>
      <c r="P30" s="441" t="n"/>
      <c r="Q30" s="441" t="n"/>
      <c r="R30" s="442" t="n"/>
    </row>
    <row r="31">
      <c r="B31" s="278" t="inlineStr">
        <is>
          <t>Niva Bupa</t>
        </is>
      </c>
      <c r="C31" s="283">
        <f>'[1]Health Portfolio'!$B$60</f>
        <v/>
      </c>
      <c r="D31" s="273" t="n">
        <v>343.55</v>
      </c>
      <c r="E31" s="273">
        <f>F31-SUM(C31:D31)</f>
        <v/>
      </c>
      <c r="F31" s="250" t="n">
        <v>990.5700000000001</v>
      </c>
      <c r="G31" s="283">
        <f>'[1]Health Portfolio'!$B$59</f>
        <v/>
      </c>
      <c r="H31" s="273" t="n">
        <v>374.9499999999999</v>
      </c>
      <c r="I31" s="273">
        <f>J31-SUM(G31:H31)</f>
        <v/>
      </c>
      <c r="J31" s="250" t="n">
        <v>1092.38</v>
      </c>
      <c r="K31" s="274">
        <f>IFERROR(G31/C31-1,"nm")</f>
        <v/>
      </c>
      <c r="L31" s="274">
        <f>IFERROR(H31/D31-1,"nm")</f>
        <v/>
      </c>
      <c r="M31" s="274" t="n"/>
      <c r="N31" s="275">
        <f>IFERROR(J31/F31-1,"nm")</f>
        <v/>
      </c>
      <c r="O31" s="443" t="n"/>
      <c r="P31" s="444" t="n"/>
      <c r="Q31" s="444" t="n"/>
      <c r="R31" s="445" t="n"/>
    </row>
    <row r="32">
      <c r="B32" s="277" t="inlineStr">
        <is>
          <t>Aditya Birla</t>
        </is>
      </c>
      <c r="C32" s="282">
        <f>'[1]Health Portfolio'!$B$62</f>
        <v/>
      </c>
      <c r="D32" s="219" t="n">
        <v>109.1</v>
      </c>
      <c r="E32" s="219">
        <f>F32-SUM(C32:D32)</f>
        <v/>
      </c>
      <c r="F32" s="234" t="n">
        <v>318.59</v>
      </c>
      <c r="G32" s="282">
        <f>'[1]Health Portfolio'!$B$61</f>
        <v/>
      </c>
      <c r="H32" s="219" t="n">
        <v>127.05</v>
      </c>
      <c r="I32" s="219">
        <f>J32-SUM(G32:H32)</f>
        <v/>
      </c>
      <c r="J32" s="234" t="n">
        <v>369.61</v>
      </c>
      <c r="K32" s="271">
        <f>IFERROR(G32/C32-1,"nm")</f>
        <v/>
      </c>
      <c r="L32" s="271">
        <f>IFERROR(H32/D32-1,"nm")</f>
        <v/>
      </c>
      <c r="M32" s="271" t="n"/>
      <c r="N32" s="272">
        <f>IFERROR(J32/F32-1,"nm")</f>
        <v/>
      </c>
      <c r="O32" s="440" t="n"/>
      <c r="P32" s="441" t="n"/>
      <c r="Q32" s="441" t="n"/>
      <c r="R32" s="442" t="n"/>
    </row>
    <row r="33">
      <c r="B33" s="277" t="inlineStr">
        <is>
          <t>Manipal Cigna</t>
        </is>
      </c>
      <c r="C33" s="282">
        <f>'[1]Health Portfolio'!$B$68</f>
        <v/>
      </c>
      <c r="D33" s="219" t="n">
        <v>59.41</v>
      </c>
      <c r="E33" s="219">
        <f>F33-SUM(C33:D33)</f>
        <v/>
      </c>
      <c r="F33" s="234" t="n">
        <v>176.82</v>
      </c>
      <c r="G33" s="282">
        <f>'[1]Health Portfolio'!$B$67</f>
        <v/>
      </c>
      <c r="H33" s="219" t="n">
        <v>69.26000000000001</v>
      </c>
      <c r="I33" s="219">
        <f>J33-SUM(G33:H33)</f>
        <v/>
      </c>
      <c r="J33" s="234" t="n">
        <v>206.13</v>
      </c>
      <c r="K33" s="271">
        <f>IFERROR(G33/C33-1,"nm")</f>
        <v/>
      </c>
      <c r="L33" s="271">
        <f>IFERROR(H33/D33-1,"nm")</f>
        <v/>
      </c>
      <c r="M33" s="271" t="n"/>
      <c r="N33" s="272">
        <f>IFERROR(J33/F33-1,"nm")</f>
        <v/>
      </c>
      <c r="O33" s="440" t="n"/>
      <c r="P33" s="441" t="n"/>
      <c r="Q33" s="441" t="n"/>
      <c r="R33" s="442" t="n"/>
    </row>
    <row r="34">
      <c r="B34" s="277" t="inlineStr">
        <is>
          <t>Galaxy Health</t>
        </is>
      </c>
      <c r="C34" s="432">
        <f>'[1]Health Portfolio'!$B$66</f>
        <v/>
      </c>
      <c r="D34" s="433" t="n">
        <v>0</v>
      </c>
      <c r="E34" s="433">
        <f>F34-SUM(C34:D34)</f>
        <v/>
      </c>
      <c r="F34" s="446" t="n">
        <v>0</v>
      </c>
      <c r="G34" s="282">
        <f>'[1]Health Portfolio'!$B$65</f>
        <v/>
      </c>
      <c r="H34" s="219" t="n">
        <v>2.79</v>
      </c>
      <c r="I34" s="219">
        <f>J34-SUM(G34:H34)</f>
        <v/>
      </c>
      <c r="J34" s="234" t="n">
        <v>8.720000000000001</v>
      </c>
      <c r="K34" s="271">
        <f>IFERROR(G34/C34-1,"nm")</f>
        <v/>
      </c>
      <c r="L34" s="271">
        <f>IFERROR(H34/D34-1,"nm")</f>
        <v/>
      </c>
      <c r="M34" s="271" t="n"/>
      <c r="N34" s="272">
        <f>IFERROR(J34/F34-1,"nm")</f>
        <v/>
      </c>
      <c r="O34" s="440" t="n"/>
      <c r="P34" s="441" t="n"/>
      <c r="Q34" s="441" t="n"/>
      <c r="R34" s="442" t="n"/>
    </row>
    <row r="35">
      <c r="B35" s="277" t="inlineStr">
        <is>
          <t>Narayana Health</t>
        </is>
      </c>
      <c r="C35" s="432">
        <f>'[1]Health Portfolio'!$B$70</f>
        <v/>
      </c>
      <c r="D35" s="433" t="n">
        <v>0</v>
      </c>
      <c r="E35" s="433">
        <f>F35-SUM(C35:D35)</f>
        <v/>
      </c>
      <c r="F35" s="446" t="n">
        <v>0</v>
      </c>
      <c r="G35" s="282">
        <f>'[1]Health Portfolio'!$B$69</f>
        <v/>
      </c>
      <c r="H35" s="219" t="n">
        <v>0.7899999999999999</v>
      </c>
      <c r="I35" s="219">
        <f>J35-SUM(G35:H35)</f>
        <v/>
      </c>
      <c r="J35" s="234" t="n">
        <v>1.72</v>
      </c>
      <c r="K35" s="271">
        <f>IFERROR(G35/C35-1,"nm")</f>
        <v/>
      </c>
      <c r="L35" s="271">
        <f>IFERROR(H35/D35-1,"nm")</f>
        <v/>
      </c>
      <c r="M35" s="271" t="n"/>
      <c r="N35" s="272">
        <f>IFERROR(J35/F35-1,"nm")</f>
        <v/>
      </c>
      <c r="O35" s="440" t="n"/>
      <c r="P35" s="441" t="n"/>
      <c r="Q35" s="441" t="n"/>
      <c r="R35" s="442" t="n"/>
    </row>
    <row r="36">
      <c r="B36" s="276" t="inlineStr">
        <is>
          <t>Private Multi-line &gt;&gt;</t>
        </is>
      </c>
      <c r="C36" s="280" t="n"/>
      <c r="D36" s="268" t="n"/>
      <c r="E36" s="268" t="n"/>
      <c r="F36" s="281" t="n"/>
      <c r="G36" s="280" t="n"/>
      <c r="H36" s="268" t="n"/>
      <c r="I36" s="268" t="n"/>
      <c r="J36" s="281" t="n"/>
      <c r="K36" s="269" t="n"/>
      <c r="L36" s="269" t="n"/>
      <c r="M36" s="269" t="n"/>
      <c r="N36" s="270" t="n"/>
      <c r="O36" s="280" t="n"/>
      <c r="P36" s="268" t="n"/>
      <c r="Q36" s="268" t="n"/>
      <c r="R36" s="281" t="n"/>
    </row>
    <row r="37">
      <c r="B37" s="277" t="inlineStr">
        <is>
          <t>HDFC Ergo</t>
        </is>
      </c>
      <c r="C37" s="282">
        <f>'[1]Health Portfolio'!$B$16</f>
        <v/>
      </c>
      <c r="D37" s="219" t="n">
        <v>305.9</v>
      </c>
      <c r="E37" s="219">
        <f>F37-SUM(C37:D37)</f>
        <v/>
      </c>
      <c r="F37" s="234" t="n">
        <v>895.7</v>
      </c>
      <c r="G37" s="282">
        <f>'[1]Health Portfolio'!$B$15</f>
        <v/>
      </c>
      <c r="H37" s="219" t="n">
        <v>311.16</v>
      </c>
      <c r="I37" s="219">
        <f>J37-SUM(G37:H37)</f>
        <v/>
      </c>
      <c r="J37" s="234" t="n">
        <v>927.85</v>
      </c>
      <c r="K37" s="271">
        <f>IFERROR(G37/C37-1,"nm")</f>
        <v/>
      </c>
      <c r="L37" s="271">
        <f>IFERROR(H37/D37-1,"nm")</f>
        <v/>
      </c>
      <c r="M37" s="271" t="n"/>
      <c r="N37" s="272">
        <f>IFERROR(J37/F37-1,"nm")</f>
        <v/>
      </c>
      <c r="O37" s="440" t="n"/>
      <c r="P37" s="441" t="n"/>
      <c r="Q37" s="441" t="n"/>
      <c r="R37" s="442" t="n"/>
    </row>
    <row r="38">
      <c r="B38" s="277" t="inlineStr">
        <is>
          <t>ICICI Lombard</t>
        </is>
      </c>
      <c r="C38" s="282">
        <f>'[1]Health Portfolio'!$B$18</f>
        <v/>
      </c>
      <c r="D38" s="219" t="n">
        <v>98.44000000000001</v>
      </c>
      <c r="E38" s="219">
        <f>F38-SUM(C38:D38)</f>
        <v/>
      </c>
      <c r="F38" s="234" t="n">
        <v>292.7</v>
      </c>
      <c r="G38" s="282">
        <f>'[1]Health Portfolio'!$B$17</f>
        <v/>
      </c>
      <c r="H38" s="219" t="n">
        <v>129.99</v>
      </c>
      <c r="I38" s="219">
        <f>J38-SUM(G38:H38)</f>
        <v/>
      </c>
      <c r="J38" s="234" t="n">
        <v>387.03</v>
      </c>
      <c r="K38" s="271">
        <f>IFERROR(G38/C38-1,"nm")</f>
        <v/>
      </c>
      <c r="L38" s="271">
        <f>IFERROR(H38/D38-1,"nm")</f>
        <v/>
      </c>
      <c r="M38" s="271" t="n"/>
      <c r="N38" s="272">
        <f>IFERROR(J38/F38-1,"nm")</f>
        <v/>
      </c>
      <c r="O38" s="440" t="n"/>
      <c r="P38" s="441" t="n"/>
      <c r="Q38" s="441" t="n"/>
      <c r="R38" s="442" t="n"/>
    </row>
    <row r="39">
      <c r="B39" s="279" t="inlineStr">
        <is>
          <t>Bajaj Allianz</t>
        </is>
      </c>
      <c r="C39" s="282">
        <f>'[1]Health Portfolio'!$B$8</f>
        <v/>
      </c>
      <c r="D39" s="219" t="n">
        <v>77.02</v>
      </c>
      <c r="E39" s="219">
        <f>F39-SUM(C39:D39)</f>
        <v/>
      </c>
      <c r="F39" s="234" t="n">
        <v>229.02</v>
      </c>
      <c r="G39" s="282">
        <f>'[1]Health Portfolio'!$B$7</f>
        <v/>
      </c>
      <c r="H39" s="219" t="n">
        <v>85.39</v>
      </c>
      <c r="I39" s="219">
        <f>J39-SUM(G39:H39)</f>
        <v/>
      </c>
      <c r="J39" s="234" t="n">
        <v>261.38</v>
      </c>
      <c r="K39" s="271">
        <f>IFERROR(G39/C39-1,"nm")</f>
        <v/>
      </c>
      <c r="L39" s="271">
        <f>IFERROR(H39/D39-1,"nm")</f>
        <v/>
      </c>
      <c r="M39" s="271" t="n"/>
      <c r="N39" s="272">
        <f>IFERROR(J39/F39-1,"nm")</f>
        <v/>
      </c>
      <c r="O39" s="440" t="n"/>
      <c r="P39" s="441" t="n"/>
      <c r="Q39" s="441" t="n"/>
      <c r="R39" s="442" t="n"/>
    </row>
    <row r="40">
      <c r="B40" s="279" t="inlineStr">
        <is>
          <t>Reliance</t>
        </is>
      </c>
      <c r="C40" s="282">
        <f>'[1]Health Portfolio'!$B$36</f>
        <v/>
      </c>
      <c r="D40" s="219" t="n">
        <v>32.02</v>
      </c>
      <c r="E40" s="219">
        <f>F40-SUM(C40:D40)</f>
        <v/>
      </c>
      <c r="F40" s="234" t="n">
        <v>96.3</v>
      </c>
      <c r="G40" s="282">
        <f>'[1]Health Portfolio'!$B$35</f>
        <v/>
      </c>
      <c r="H40" s="219" t="n">
        <v>31.23</v>
      </c>
      <c r="I40" s="219">
        <f>J40-SUM(G40:H40)</f>
        <v/>
      </c>
      <c r="J40" s="234" t="n">
        <v>95.16</v>
      </c>
      <c r="K40" s="271">
        <f>IFERROR(G40/C40-1,"nm")</f>
        <v/>
      </c>
      <c r="L40" s="271">
        <f>IFERROR(H40/D40-1,"nm")</f>
        <v/>
      </c>
      <c r="M40" s="271" t="n"/>
      <c r="N40" s="272">
        <f>IFERROR(J40/F40-1,"nm")</f>
        <v/>
      </c>
      <c r="O40" s="440" t="n"/>
      <c r="P40" s="441" t="n"/>
      <c r="Q40" s="441" t="n"/>
      <c r="R40" s="442" t="n"/>
    </row>
    <row r="41">
      <c r="B41" s="279" t="inlineStr">
        <is>
          <t>SBI GI</t>
        </is>
      </c>
      <c r="C41" s="282">
        <f>'[1]Health Portfolio'!$B$40</f>
        <v/>
      </c>
      <c r="D41" s="219" t="n">
        <v>35.39</v>
      </c>
      <c r="E41" s="219">
        <f>F41-SUM(C41:D41)</f>
        <v/>
      </c>
      <c r="F41" s="234" t="n">
        <v>102.6</v>
      </c>
      <c r="G41" s="282">
        <f>'[1]Health Portfolio'!$B$39</f>
        <v/>
      </c>
      <c r="H41" s="219" t="n">
        <v>25.96</v>
      </c>
      <c r="I41" s="219">
        <f>J41-SUM(G41:H41)</f>
        <v/>
      </c>
      <c r="J41" s="234" t="n">
        <v>74.39</v>
      </c>
      <c r="K41" s="271">
        <f>IFERROR(G41/C41-1,"nm")</f>
        <v/>
      </c>
      <c r="L41" s="271">
        <f>IFERROR(H41/D41-1,"nm")</f>
        <v/>
      </c>
      <c r="M41" s="271" t="n"/>
      <c r="N41" s="272">
        <f>IFERROR(J41/F41-1,"nm")</f>
        <v/>
      </c>
      <c r="O41" s="440" t="n"/>
      <c r="P41" s="441" t="n"/>
      <c r="Q41" s="441" t="n"/>
      <c r="R41" s="442" t="n"/>
    </row>
    <row r="42">
      <c r="B42" s="276" t="inlineStr">
        <is>
          <t>PSUs &gt;&gt;</t>
        </is>
      </c>
      <c r="C42" s="280" t="n"/>
      <c r="D42" s="268" t="n"/>
      <c r="E42" s="268" t="n"/>
      <c r="F42" s="281" t="n"/>
      <c r="G42" s="280" t="n"/>
      <c r="H42" s="268" t="n"/>
      <c r="I42" s="268" t="n"/>
      <c r="J42" s="281" t="n"/>
      <c r="K42" s="269" t="n"/>
      <c r="L42" s="269" t="n"/>
      <c r="M42" s="269" t="n"/>
      <c r="N42" s="270" t="n"/>
      <c r="O42" s="280" t="n"/>
      <c r="P42" s="268" t="n"/>
      <c r="Q42" s="268" t="n"/>
      <c r="R42" s="281" t="n"/>
    </row>
    <row r="43">
      <c r="B43" s="277" t="inlineStr">
        <is>
          <t>New India</t>
        </is>
      </c>
      <c r="C43" s="282">
        <f>'[1]Health Portfolio'!$B$46</f>
        <v/>
      </c>
      <c r="D43" s="219" t="n">
        <v>229.02</v>
      </c>
      <c r="E43" s="219">
        <f>F43-SUM(C43:D43)</f>
        <v/>
      </c>
      <c r="F43" s="234" t="n">
        <v>741.1900000000001</v>
      </c>
      <c r="G43" s="282">
        <f>'[1]Health Portfolio'!$B$45</f>
        <v/>
      </c>
      <c r="H43" s="219" t="n">
        <v>247.87</v>
      </c>
      <c r="I43" s="219">
        <f>J43-SUM(G43:H43)</f>
        <v/>
      </c>
      <c r="J43" s="234" t="n">
        <v>809.09</v>
      </c>
      <c r="K43" s="271">
        <f>IFERROR(G43/C43-1,"nm")</f>
        <v/>
      </c>
      <c r="L43" s="271">
        <f>IFERROR(H43/D43-1,"nm")</f>
        <v/>
      </c>
      <c r="M43" s="271" t="n"/>
      <c r="N43" s="272">
        <f>IFERROR(J43/F43-1,"nm")</f>
        <v/>
      </c>
      <c r="O43" s="440" t="n"/>
      <c r="P43" s="441" t="n"/>
      <c r="Q43" s="441" t="n"/>
      <c r="R43" s="442" t="n"/>
    </row>
    <row r="44">
      <c r="B44" s="277" t="inlineStr">
        <is>
          <t>National Insurance</t>
        </is>
      </c>
      <c r="C44" s="282">
        <f>'[1]Health Portfolio'!$B$30</f>
        <v/>
      </c>
      <c r="D44" s="219" t="n">
        <v>174.92</v>
      </c>
      <c r="E44" s="219">
        <f>F44-SUM(C44:D44)</f>
        <v/>
      </c>
      <c r="F44" s="234" t="n">
        <v>539.72</v>
      </c>
      <c r="G44" s="282">
        <f>'[1]Health Portfolio'!$B$29</f>
        <v/>
      </c>
      <c r="H44" s="219" t="n">
        <v>185.82</v>
      </c>
      <c r="I44" s="219">
        <f>J44-SUM(G44:H44)</f>
        <v/>
      </c>
      <c r="J44" s="234" t="n">
        <v>582.71</v>
      </c>
      <c r="K44" s="271">
        <f>IFERROR(G44/C44-1,"nm")</f>
        <v/>
      </c>
      <c r="L44" s="271">
        <f>IFERROR(H44/D44-1,"nm")</f>
        <v/>
      </c>
      <c r="M44" s="271" t="n"/>
      <c r="N44" s="272">
        <f>IFERROR(J44/F44-1,"nm")</f>
        <v/>
      </c>
      <c r="O44" s="440" t="n"/>
      <c r="P44" s="441" t="n"/>
      <c r="Q44" s="441" t="n"/>
      <c r="R44" s="442" t="n"/>
    </row>
    <row r="45">
      <c r="B45" s="104" t="inlineStr">
        <is>
          <t>Oriental Insurance</t>
        </is>
      </c>
      <c r="C45" s="282">
        <f>'[1]Health Portfolio'!$B$48</f>
        <v/>
      </c>
      <c r="D45" s="219" t="n">
        <v>134.38</v>
      </c>
      <c r="E45" s="219">
        <f>F45-SUM(C45:D45)</f>
        <v/>
      </c>
      <c r="F45" s="234" t="n">
        <v>412.91</v>
      </c>
      <c r="G45" s="282">
        <f>'[1]Health Portfolio'!$B$47</f>
        <v/>
      </c>
      <c r="H45" s="219" t="n">
        <v>141.14</v>
      </c>
      <c r="I45" s="219">
        <f>J45-SUM(G45:H45)</f>
        <v/>
      </c>
      <c r="J45" s="234" t="n">
        <v>447.87</v>
      </c>
      <c r="K45" s="271">
        <f>IFERROR(G45/C45-1,"nm")</f>
        <v/>
      </c>
      <c r="L45" s="271">
        <f>IFERROR(H45/D45-1,"nm")</f>
        <v/>
      </c>
      <c r="M45" s="271" t="n"/>
      <c r="N45" s="272">
        <f>IFERROR(J45/F45-1,"nm")</f>
        <v/>
      </c>
      <c r="O45" s="440" t="n"/>
      <c r="P45" s="441" t="n"/>
      <c r="Q45" s="441" t="n"/>
      <c r="R45" s="442" t="n"/>
    </row>
    <row r="46">
      <c r="B46" s="104" t="inlineStr">
        <is>
          <t>United India</t>
        </is>
      </c>
      <c r="C46" s="282">
        <f>'[1]Health Portfolio'!$B$50</f>
        <v/>
      </c>
      <c r="D46" s="219" t="n">
        <v>139.27</v>
      </c>
      <c r="E46" s="219">
        <f>F46-SUM(C46:D46)</f>
        <v/>
      </c>
      <c r="F46" s="234" t="n">
        <v>426.44</v>
      </c>
      <c r="G46" s="282">
        <f>'[1]Health Portfolio'!$B$49</f>
        <v/>
      </c>
      <c r="H46" s="219" t="n">
        <v>142.5</v>
      </c>
      <c r="I46" s="219">
        <f>J46-SUM(G46:H46)</f>
        <v/>
      </c>
      <c r="J46" s="234" t="n">
        <v>452.49</v>
      </c>
      <c r="K46" s="271">
        <f>IFERROR(G46/C46-1,"nm")</f>
        <v/>
      </c>
      <c r="L46" s="271">
        <f>IFERROR(H46/D46-1,"nm")</f>
        <v/>
      </c>
      <c r="M46" s="271" t="n"/>
      <c r="N46" s="272">
        <f>IFERROR(J46/F46-1,"nm")</f>
        <v/>
      </c>
      <c r="O46" s="440" t="n"/>
      <c r="P46" s="441" t="n"/>
      <c r="Q46" s="441" t="n"/>
      <c r="R46" s="442" t="n"/>
    </row>
    <row r="47">
      <c r="B47" s="284" t="inlineStr">
        <is>
          <t>Others</t>
        </is>
      </c>
      <c r="C47" s="285">
        <f>C48-SUM(C43:C46,C37:C41,C29:C35)</f>
        <v/>
      </c>
      <c r="D47" s="286" t="n">
        <v>211.3100000000004</v>
      </c>
      <c r="E47" s="268">
        <f>F47-SUM(C47:D47)</f>
        <v/>
      </c>
      <c r="F47" s="287">
        <f>F48-SUM(F43:F46,F37:F41,F29:F35)</f>
        <v/>
      </c>
      <c r="G47" s="285">
        <f>G48-SUM(G43:G46,G37:G41,G29:G35)</f>
        <v/>
      </c>
      <c r="H47" s="286" t="n">
        <v>216.860000000001</v>
      </c>
      <c r="I47" s="268">
        <f>J47-SUM(G47:H47)</f>
        <v/>
      </c>
      <c r="J47" s="287">
        <f>J48-SUM(J43:J46,J37:J41,J29:J35)</f>
        <v/>
      </c>
      <c r="K47" s="288">
        <f>IFERROR(G47/C47-1,"nm")</f>
        <v/>
      </c>
      <c r="L47" s="288">
        <f>IFERROR(H47/D47-1,"nm")</f>
        <v/>
      </c>
      <c r="M47" s="288" t="n"/>
      <c r="N47" s="289">
        <f>IFERROR(J47/F47-1,"nm")</f>
        <v/>
      </c>
      <c r="O47" s="447" t="n"/>
      <c r="P47" s="448" t="n"/>
      <c r="Q47" s="268" t="n"/>
      <c r="R47" s="449" t="n"/>
    </row>
    <row r="48">
      <c r="B48" s="290" t="inlineStr">
        <is>
          <t>Total Health GWP (INR cr)</t>
        </is>
      </c>
      <c r="C48" s="291">
        <f>'[1]Health Portfolio'!$B$77</f>
        <v/>
      </c>
      <c r="D48" s="292" t="n">
        <v>3345.88</v>
      </c>
      <c r="E48" s="292">
        <f>F48-SUM(C48:D48)</f>
        <v/>
      </c>
      <c r="F48" s="293" t="n">
        <v>10028.9</v>
      </c>
      <c r="G48" s="291">
        <f>'[1]Health Portfolio'!$B$76</f>
        <v/>
      </c>
      <c r="H48" s="292" t="n">
        <v>3619.28</v>
      </c>
      <c r="I48" s="292">
        <f>J48-SUM(G48:H48)</f>
        <v/>
      </c>
      <c r="J48" s="293" t="n">
        <v>10974.02</v>
      </c>
      <c r="K48" s="294">
        <f>IFERROR(G48/C48-1,"nm")</f>
        <v/>
      </c>
      <c r="L48" s="294">
        <f>IFERROR(H48/D48-1,"nm")</f>
        <v/>
      </c>
      <c r="M48" s="294" t="n"/>
      <c r="N48" s="295">
        <f>IFERROR(J48/F48-1,"nm")</f>
        <v/>
      </c>
      <c r="O48" s="291" t="n"/>
      <c r="P48" s="292" t="n"/>
      <c r="Q48" s="292" t="n"/>
      <c r="R48" s="293" t="n"/>
    </row>
    <row r="49"/>
    <row r="50">
      <c r="B50" s="396" t="inlineStr">
        <is>
          <t>Retail Health Mix (%)</t>
        </is>
      </c>
      <c r="C50" s="395" t="inlineStr">
        <is>
          <t>Previous FY</t>
        </is>
      </c>
      <c r="D50" s="427" t="n"/>
      <c r="E50" s="427" t="n"/>
      <c r="F50" s="428" t="n"/>
      <c r="G50" s="395" t="inlineStr">
        <is>
          <t>Current FY</t>
        </is>
      </c>
      <c r="H50" s="427" t="n"/>
      <c r="I50" s="427" t="n"/>
      <c r="J50" s="428" t="n"/>
      <c r="O50" s="434" t="n"/>
      <c r="P50" s="435" t="n"/>
      <c r="Q50" s="435" t="n"/>
      <c r="R50" s="436" t="n"/>
    </row>
    <row r="51">
      <c r="B51" s="197" t="n"/>
      <c r="C51" s="429" t="inlineStr">
        <is>
          <t>Apr'24</t>
        </is>
      </c>
      <c r="D51" s="430" t="inlineStr">
        <is>
          <t>May'24</t>
        </is>
      </c>
      <c r="E51" s="430" t="inlineStr">
        <is>
          <t>Jun'24</t>
        </is>
      </c>
      <c r="F51" s="431" t="inlineStr">
        <is>
          <t>Q1FY25</t>
        </is>
      </c>
      <c r="G51" s="429" t="inlineStr">
        <is>
          <t>Apr'25</t>
        </is>
      </c>
      <c r="H51" s="430" t="inlineStr">
        <is>
          <t>May'25</t>
        </is>
      </c>
      <c r="I51" s="430" t="inlineStr">
        <is>
          <t>Jun'25</t>
        </is>
      </c>
      <c r="J51" s="431" t="inlineStr">
        <is>
          <t>Q1FY26</t>
        </is>
      </c>
      <c r="O51" s="437" t="n"/>
      <c r="P51" s="438" t="n"/>
      <c r="Q51" s="438" t="n"/>
      <c r="R51" s="439" t="n"/>
    </row>
    <row r="52">
      <c r="B52" s="276" t="inlineStr">
        <is>
          <t>SAHIs &gt;&gt;</t>
        </is>
      </c>
      <c r="C52" s="280" t="n"/>
      <c r="D52" s="268" t="n"/>
      <c r="E52" s="268" t="n"/>
      <c r="F52" s="281" t="n"/>
      <c r="G52" s="280" t="n"/>
      <c r="H52" s="268" t="n"/>
      <c r="I52" s="268" t="n"/>
      <c r="J52" s="281" t="n"/>
      <c r="O52" s="280" t="n"/>
      <c r="P52" s="268" t="n"/>
      <c r="Q52" s="268" t="n"/>
      <c r="R52" s="281" t="n"/>
    </row>
    <row r="53">
      <c r="B53" s="277" t="inlineStr">
        <is>
          <t>Star Health</t>
        </is>
      </c>
      <c r="C53" s="296">
        <f>IFERROR(C29/C5,"nm")</f>
        <v/>
      </c>
      <c r="D53" s="271">
        <f>IFERROR(D29/D5,"nm")</f>
        <v/>
      </c>
      <c r="E53" s="271">
        <f>IFERROR(E29/E5,"nm")</f>
        <v/>
      </c>
      <c r="F53" s="272">
        <f>IFERROR(F29/F5,"nm")</f>
        <v/>
      </c>
      <c r="G53" s="296">
        <f>IFERROR(G29/G5,"nm")</f>
        <v/>
      </c>
      <c r="H53" s="271">
        <f>IFERROR(H29/H5,"nm")</f>
        <v/>
      </c>
      <c r="I53" s="271">
        <f>IFERROR(I29/I5,"nm")</f>
        <v/>
      </c>
      <c r="J53" s="272">
        <f>IFERROR(J29/J5,"nm")</f>
        <v/>
      </c>
      <c r="O53" s="450" t="n"/>
      <c r="P53" s="451" t="n"/>
      <c r="Q53" s="451" t="n"/>
      <c r="R53" s="452" t="n"/>
    </row>
    <row r="54">
      <c r="B54" s="277" t="inlineStr">
        <is>
          <t>Care</t>
        </is>
      </c>
      <c r="C54" s="296">
        <f>IFERROR(C30/C6,"nm")</f>
        <v/>
      </c>
      <c r="D54" s="271">
        <f>IFERROR(D30/D6,"nm")</f>
        <v/>
      </c>
      <c r="E54" s="271">
        <f>IFERROR(E30/E6,"nm")</f>
        <v/>
      </c>
      <c r="F54" s="272">
        <f>IFERROR(F30/F6,"nm")</f>
        <v/>
      </c>
      <c r="G54" s="296">
        <f>IFERROR(G30/G6,"nm")</f>
        <v/>
      </c>
      <c r="H54" s="271">
        <f>IFERROR(H30/H6,"nm")</f>
        <v/>
      </c>
      <c r="I54" s="271">
        <f>IFERROR(I30/I6,"nm")</f>
        <v/>
      </c>
      <c r="J54" s="272">
        <f>IFERROR(J30/J6,"nm")</f>
        <v/>
      </c>
      <c r="O54" s="450" t="n"/>
      <c r="P54" s="451" t="n"/>
      <c r="Q54" s="451" t="n"/>
      <c r="R54" s="452" t="n"/>
    </row>
    <row r="55">
      <c r="B55" s="278" t="inlineStr">
        <is>
          <t>Niva Bupa</t>
        </is>
      </c>
      <c r="C55" s="297">
        <f>IFERROR(C31/C7,"nm")</f>
        <v/>
      </c>
      <c r="D55" s="274">
        <f>IFERROR(D31/D7,"nm")</f>
        <v/>
      </c>
      <c r="E55" s="274">
        <f>IFERROR(E31/E7,"nm")</f>
        <v/>
      </c>
      <c r="F55" s="275">
        <f>IFERROR(F31/F7,"nm")</f>
        <v/>
      </c>
      <c r="G55" s="297">
        <f>IFERROR(G31/G7,"nm")</f>
        <v/>
      </c>
      <c r="H55" s="274">
        <f>IFERROR(H31/H7,"nm")</f>
        <v/>
      </c>
      <c r="I55" s="274">
        <f>IFERROR(I31/I7,"nm")</f>
        <v/>
      </c>
      <c r="J55" s="275">
        <f>IFERROR(J31/J7,"nm")</f>
        <v/>
      </c>
      <c r="O55" s="453" t="n"/>
      <c r="P55" s="454" t="n"/>
      <c r="Q55" s="454" t="n"/>
      <c r="R55" s="455" t="n"/>
    </row>
    <row r="56">
      <c r="B56" s="277" t="inlineStr">
        <is>
          <t>Aditya Birla</t>
        </is>
      </c>
      <c r="C56" s="296">
        <f>IFERROR(C32/C8,"nm")</f>
        <v/>
      </c>
      <c r="D56" s="271">
        <f>IFERROR(D32/D8,"nm")</f>
        <v/>
      </c>
      <c r="E56" s="271">
        <f>IFERROR(E32/E8,"nm")</f>
        <v/>
      </c>
      <c r="F56" s="272">
        <f>IFERROR(F32/F8,"nm")</f>
        <v/>
      </c>
      <c r="G56" s="296">
        <f>IFERROR(G32/G8,"nm")</f>
        <v/>
      </c>
      <c r="H56" s="271">
        <f>IFERROR(H32/H8,"nm")</f>
        <v/>
      </c>
      <c r="I56" s="271">
        <f>IFERROR(I32/I8,"nm")</f>
        <v/>
      </c>
      <c r="J56" s="272">
        <f>IFERROR(J32/J8,"nm")</f>
        <v/>
      </c>
      <c r="O56" s="450" t="n"/>
      <c r="P56" s="451" t="n"/>
      <c r="Q56" s="451" t="n"/>
      <c r="R56" s="452" t="n"/>
    </row>
    <row r="57">
      <c r="B57" s="277" t="inlineStr">
        <is>
          <t>Manipal Cigna</t>
        </is>
      </c>
      <c r="C57" s="296">
        <f>IFERROR(C33/C9,"nm")</f>
        <v/>
      </c>
      <c r="D57" s="271">
        <f>IFERROR(D33/D9,"nm")</f>
        <v/>
      </c>
      <c r="E57" s="271">
        <f>IFERROR(E33/E9,"nm")</f>
        <v/>
      </c>
      <c r="F57" s="272">
        <f>IFERROR(F33/F9,"nm")</f>
        <v/>
      </c>
      <c r="G57" s="296">
        <f>IFERROR(G33/G9,"nm")</f>
        <v/>
      </c>
      <c r="H57" s="271">
        <f>IFERROR(H33/H9,"nm")</f>
        <v/>
      </c>
      <c r="I57" s="271">
        <f>IFERROR(I33/I9,"nm")</f>
        <v/>
      </c>
      <c r="J57" s="272">
        <f>IFERROR(J33/J9,"nm")</f>
        <v/>
      </c>
      <c r="O57" s="450" t="n"/>
      <c r="P57" s="451" t="n"/>
      <c r="Q57" s="451" t="n"/>
      <c r="R57" s="452" t="n"/>
    </row>
    <row r="58">
      <c r="B58" s="277" t="inlineStr">
        <is>
          <t>Galaxy Health</t>
        </is>
      </c>
      <c r="C58" s="296">
        <f>IFERROR(C34/C10,"nm")</f>
        <v/>
      </c>
      <c r="D58" s="271">
        <f>IFERROR(D34/D10,"nm")</f>
        <v/>
      </c>
      <c r="E58" s="271">
        <f>IFERROR(E34/E10,"nm")</f>
        <v/>
      </c>
      <c r="F58" s="272">
        <f>IFERROR(F34/F10,"nm")</f>
        <v/>
      </c>
      <c r="G58" s="296">
        <f>IFERROR(G34/G10,"nm")</f>
        <v/>
      </c>
      <c r="H58" s="271">
        <f>IFERROR(H34/H10,"nm")</f>
        <v/>
      </c>
      <c r="I58" s="271">
        <f>IFERROR(I34/I10,"nm")</f>
        <v/>
      </c>
      <c r="J58" s="272">
        <f>IFERROR(J34/J10,"nm")</f>
        <v/>
      </c>
      <c r="O58" s="450" t="n"/>
      <c r="P58" s="451" t="n"/>
      <c r="Q58" s="451" t="n"/>
      <c r="R58" s="452" t="n"/>
    </row>
    <row r="59">
      <c r="B59" s="277" t="inlineStr">
        <is>
          <t>Narayana Health</t>
        </is>
      </c>
      <c r="C59" s="296">
        <f>IFERROR(C35/C11,"nm")</f>
        <v/>
      </c>
      <c r="D59" s="271">
        <f>IFERROR(D35/D11,"nm")</f>
        <v/>
      </c>
      <c r="E59" s="271">
        <f>IFERROR(E35/E11,"nm")</f>
        <v/>
      </c>
      <c r="F59" s="272">
        <f>IFERROR(F35/F11,"nm")</f>
        <v/>
      </c>
      <c r="G59" s="296">
        <f>IFERROR(G35/G11,"nm")</f>
        <v/>
      </c>
      <c r="H59" s="271">
        <f>IFERROR(H35/H11,"nm")</f>
        <v/>
      </c>
      <c r="I59" s="271">
        <f>IFERROR(I35/I11,"nm")</f>
        <v/>
      </c>
      <c r="J59" s="272">
        <f>IFERROR(J35/J11,"nm")</f>
        <v/>
      </c>
      <c r="O59" s="450" t="n"/>
      <c r="P59" s="451" t="n"/>
      <c r="Q59" s="451" t="n"/>
      <c r="R59" s="452" t="n"/>
    </row>
    <row r="60">
      <c r="B60" s="276" t="inlineStr">
        <is>
          <t>Private Multi-line &gt;&gt;</t>
        </is>
      </c>
      <c r="C60" s="298" t="n"/>
      <c r="D60" s="299" t="n"/>
      <c r="E60" s="299" t="n"/>
      <c r="F60" s="300" t="n"/>
      <c r="G60" s="298" t="n"/>
      <c r="H60" s="299" t="n"/>
      <c r="I60" s="299" t="n"/>
      <c r="J60" s="300" t="n"/>
      <c r="O60" s="298" t="n"/>
      <c r="P60" s="299" t="n"/>
      <c r="Q60" s="299" t="n"/>
      <c r="R60" s="300" t="n"/>
    </row>
    <row r="61">
      <c r="B61" s="277" t="inlineStr">
        <is>
          <t>HDFC Ergo</t>
        </is>
      </c>
      <c r="C61" s="296">
        <f>IFERROR(C37/C13,"nm")</f>
        <v/>
      </c>
      <c r="D61" s="271">
        <f>IFERROR(D37/D13,"nm")</f>
        <v/>
      </c>
      <c r="E61" s="271">
        <f>IFERROR(E37/E13,"nm")</f>
        <v/>
      </c>
      <c r="F61" s="272">
        <f>IFERROR(F37/F13,"nm")</f>
        <v/>
      </c>
      <c r="G61" s="296">
        <f>IFERROR(G37/G13,"nm")</f>
        <v/>
      </c>
      <c r="H61" s="271">
        <f>IFERROR(H37/H13,"nm")</f>
        <v/>
      </c>
      <c r="I61" s="271">
        <f>IFERROR(I37/I13,"nm")</f>
        <v/>
      </c>
      <c r="J61" s="272">
        <f>IFERROR(J37/J13,"nm")</f>
        <v/>
      </c>
      <c r="O61" s="450" t="n"/>
      <c r="P61" s="451" t="n"/>
      <c r="Q61" s="451" t="n"/>
      <c r="R61" s="452" t="n"/>
    </row>
    <row r="62">
      <c r="B62" s="277" t="inlineStr">
        <is>
          <t>ICICI Lombard</t>
        </is>
      </c>
      <c r="C62" s="296">
        <f>IFERROR(C38/C14,"nm")</f>
        <v/>
      </c>
      <c r="D62" s="271">
        <f>IFERROR(D38/D14,"nm")</f>
        <v/>
      </c>
      <c r="E62" s="271">
        <f>IFERROR(E38/E14,"nm")</f>
        <v/>
      </c>
      <c r="F62" s="272">
        <f>IFERROR(F38/F14,"nm")</f>
        <v/>
      </c>
      <c r="G62" s="296">
        <f>IFERROR(G38/G14,"nm")</f>
        <v/>
      </c>
      <c r="H62" s="271">
        <f>IFERROR(H38/H14,"nm")</f>
        <v/>
      </c>
      <c r="I62" s="271">
        <f>IFERROR(I38/I14,"nm")</f>
        <v/>
      </c>
      <c r="J62" s="272">
        <f>IFERROR(J38/J14,"nm")</f>
        <v/>
      </c>
      <c r="O62" s="450" t="n"/>
      <c r="P62" s="451" t="n"/>
      <c r="Q62" s="451" t="n"/>
      <c r="R62" s="452" t="n"/>
    </row>
    <row r="63">
      <c r="B63" s="279" t="inlineStr">
        <is>
          <t>Bajaj Allianz</t>
        </is>
      </c>
      <c r="C63" s="296">
        <f>IFERROR(C39/C15,"nm")</f>
        <v/>
      </c>
      <c r="D63" s="271">
        <f>IFERROR(D39/D15,"nm")</f>
        <v/>
      </c>
      <c r="E63" s="271">
        <f>IFERROR(E39/E15,"nm")</f>
        <v/>
      </c>
      <c r="F63" s="272">
        <f>IFERROR(F39/F15,"nm")</f>
        <v/>
      </c>
      <c r="G63" s="296">
        <f>IFERROR(G39/G15,"nm")</f>
        <v/>
      </c>
      <c r="H63" s="271">
        <f>IFERROR(H39/H15,"nm")</f>
        <v/>
      </c>
      <c r="I63" s="271">
        <f>IFERROR(I39/I15,"nm")</f>
        <v/>
      </c>
      <c r="J63" s="272">
        <f>IFERROR(J39/J15,"nm")</f>
        <v/>
      </c>
      <c r="O63" s="450" t="n"/>
      <c r="P63" s="451" t="n"/>
      <c r="Q63" s="451" t="n"/>
      <c r="R63" s="452" t="n"/>
    </row>
    <row r="64">
      <c r="B64" s="279" t="inlineStr">
        <is>
          <t>Reliance</t>
        </is>
      </c>
      <c r="C64" s="296">
        <f>IFERROR(C40/C16,"nm")</f>
        <v/>
      </c>
      <c r="D64" s="271">
        <f>IFERROR(D40/D16,"nm")</f>
        <v/>
      </c>
      <c r="E64" s="271">
        <f>IFERROR(E40/E16,"nm")</f>
        <v/>
      </c>
      <c r="F64" s="272">
        <f>IFERROR(F40/F16,"nm")</f>
        <v/>
      </c>
      <c r="G64" s="296">
        <f>IFERROR(G40/G16,"nm")</f>
        <v/>
      </c>
      <c r="H64" s="271">
        <f>IFERROR(H40/H16,"nm")</f>
        <v/>
      </c>
      <c r="I64" s="271">
        <f>IFERROR(I40/I16,"nm")</f>
        <v/>
      </c>
      <c r="J64" s="272">
        <f>IFERROR(J40/J16,"nm")</f>
        <v/>
      </c>
      <c r="O64" s="450" t="n"/>
      <c r="P64" s="451" t="n"/>
      <c r="Q64" s="451" t="n"/>
      <c r="R64" s="452" t="n"/>
    </row>
    <row r="65">
      <c r="B65" s="279" t="inlineStr">
        <is>
          <t>SBI GI</t>
        </is>
      </c>
      <c r="C65" s="296">
        <f>IFERROR(C41/C17,"nm")</f>
        <v/>
      </c>
      <c r="D65" s="271">
        <f>IFERROR(D41/D17,"nm")</f>
        <v/>
      </c>
      <c r="E65" s="271">
        <f>IFERROR(E41/E17,"nm")</f>
        <v/>
      </c>
      <c r="F65" s="272">
        <f>IFERROR(F41/F17,"nm")</f>
        <v/>
      </c>
      <c r="G65" s="296">
        <f>IFERROR(G41/G17,"nm")</f>
        <v/>
      </c>
      <c r="H65" s="271">
        <f>IFERROR(H41/H17,"nm")</f>
        <v/>
      </c>
      <c r="I65" s="271">
        <f>IFERROR(I41/I17,"nm")</f>
        <v/>
      </c>
      <c r="J65" s="272">
        <f>IFERROR(J41/J17,"nm")</f>
        <v/>
      </c>
      <c r="O65" s="450" t="n"/>
      <c r="P65" s="451" t="n"/>
      <c r="Q65" s="451" t="n"/>
      <c r="R65" s="452" t="n"/>
    </row>
    <row r="66">
      <c r="B66" s="276" t="inlineStr">
        <is>
          <t>PSUs &gt;&gt;</t>
        </is>
      </c>
      <c r="C66" s="298" t="n"/>
      <c r="D66" s="299" t="n"/>
      <c r="E66" s="299" t="n"/>
      <c r="F66" s="300" t="n"/>
      <c r="G66" s="298" t="n"/>
      <c r="H66" s="299" t="n"/>
      <c r="I66" s="299" t="n"/>
      <c r="J66" s="300" t="n"/>
      <c r="O66" s="298" t="n"/>
      <c r="P66" s="299" t="n"/>
      <c r="Q66" s="299" t="n"/>
      <c r="R66" s="300" t="n"/>
    </row>
    <row r="67">
      <c r="B67" s="277" t="inlineStr">
        <is>
          <t>New India</t>
        </is>
      </c>
      <c r="C67" s="296">
        <f>IFERROR(C43/C19,"nm")</f>
        <v/>
      </c>
      <c r="D67" s="271">
        <f>IFERROR(D43/D19,"nm")</f>
        <v/>
      </c>
      <c r="E67" s="271">
        <f>IFERROR(E43/E19,"nm")</f>
        <v/>
      </c>
      <c r="F67" s="272">
        <f>IFERROR(F43/F19,"nm")</f>
        <v/>
      </c>
      <c r="G67" s="296">
        <f>IFERROR(G43/G19,"nm")</f>
        <v/>
      </c>
      <c r="H67" s="271">
        <f>IFERROR(H43/H19,"nm")</f>
        <v/>
      </c>
      <c r="I67" s="271">
        <f>IFERROR(I43/I19,"nm")</f>
        <v/>
      </c>
      <c r="J67" s="272">
        <f>IFERROR(J43/J19,"nm")</f>
        <v/>
      </c>
      <c r="O67" s="450" t="n"/>
      <c r="P67" s="451" t="n"/>
      <c r="Q67" s="451" t="n"/>
      <c r="R67" s="452" t="n"/>
    </row>
    <row r="68">
      <c r="B68" s="277" t="inlineStr">
        <is>
          <t>National Insurance</t>
        </is>
      </c>
      <c r="C68" s="296">
        <f>IFERROR(C44/C20,"nm")</f>
        <v/>
      </c>
      <c r="D68" s="271">
        <f>IFERROR(D44/D20,"nm")</f>
        <v/>
      </c>
      <c r="E68" s="271">
        <f>IFERROR(E44/E20,"nm")</f>
        <v/>
      </c>
      <c r="F68" s="272">
        <f>IFERROR(F44/F20,"nm")</f>
        <v/>
      </c>
      <c r="G68" s="296">
        <f>IFERROR(G44/G20,"nm")</f>
        <v/>
      </c>
      <c r="H68" s="271">
        <f>IFERROR(H44/H20,"nm")</f>
        <v/>
      </c>
      <c r="I68" s="271">
        <f>IFERROR(I44/I20,"nm")</f>
        <v/>
      </c>
      <c r="J68" s="272">
        <f>IFERROR(J44/J20,"nm")</f>
        <v/>
      </c>
      <c r="O68" s="450" t="n"/>
      <c r="P68" s="451" t="n"/>
      <c r="Q68" s="451" t="n"/>
      <c r="R68" s="452" t="n"/>
    </row>
    <row r="69">
      <c r="B69" s="104" t="inlineStr">
        <is>
          <t>Oriental Insurance</t>
        </is>
      </c>
      <c r="C69" s="296">
        <f>IFERROR(C45/C21,"nm")</f>
        <v/>
      </c>
      <c r="D69" s="271">
        <f>IFERROR(D45/D21,"nm")</f>
        <v/>
      </c>
      <c r="E69" s="271">
        <f>IFERROR(E45/E21,"nm")</f>
        <v/>
      </c>
      <c r="F69" s="272">
        <f>IFERROR(F45/F21,"nm")</f>
        <v/>
      </c>
      <c r="G69" s="296">
        <f>IFERROR(G45/G21,"nm")</f>
        <v/>
      </c>
      <c r="H69" s="271">
        <f>IFERROR(H45/H21,"nm")</f>
        <v/>
      </c>
      <c r="I69" s="271">
        <f>IFERROR(I45/I21,"nm")</f>
        <v/>
      </c>
      <c r="J69" s="272">
        <f>IFERROR(J45/J21,"nm")</f>
        <v/>
      </c>
      <c r="O69" s="450" t="n"/>
      <c r="P69" s="451" t="n"/>
      <c r="Q69" s="451" t="n"/>
      <c r="R69" s="452" t="n"/>
    </row>
    <row r="70">
      <c r="B70" s="104" t="inlineStr">
        <is>
          <t>United India</t>
        </is>
      </c>
      <c r="C70" s="296">
        <f>IFERROR(C46/C22,"nm")</f>
        <v/>
      </c>
      <c r="D70" s="271">
        <f>IFERROR(D46/D22,"nm")</f>
        <v/>
      </c>
      <c r="E70" s="271">
        <f>IFERROR(E46/E22,"nm")</f>
        <v/>
      </c>
      <c r="F70" s="272">
        <f>IFERROR(F46/F22,"nm")</f>
        <v/>
      </c>
      <c r="G70" s="296">
        <f>IFERROR(G46/G22,"nm")</f>
        <v/>
      </c>
      <c r="H70" s="271">
        <f>IFERROR(H46/H22,"nm")</f>
        <v/>
      </c>
      <c r="I70" s="271">
        <f>IFERROR(I46/I22,"nm")</f>
        <v/>
      </c>
      <c r="J70" s="272">
        <f>IFERROR(J46/J22,"nm")</f>
        <v/>
      </c>
      <c r="O70" s="450" t="n"/>
      <c r="P70" s="451" t="n"/>
      <c r="Q70" s="451" t="n"/>
      <c r="R70" s="452" t="n"/>
    </row>
    <row r="71">
      <c r="B71" s="284" t="inlineStr">
        <is>
          <t>Others</t>
        </is>
      </c>
      <c r="C71" s="301">
        <f>IFERROR(C47/C23,"nm")</f>
        <v/>
      </c>
      <c r="D71" s="288">
        <f>IFERROR(D47/D23,"nm")</f>
        <v/>
      </c>
      <c r="E71" s="288">
        <f>IFERROR(E47/E23,"nm")</f>
        <v/>
      </c>
      <c r="F71" s="289">
        <f>IFERROR(F47/F23,"nm")</f>
        <v/>
      </c>
      <c r="G71" s="301">
        <f>IFERROR(G47/G23,"nm")</f>
        <v/>
      </c>
      <c r="H71" s="288">
        <f>IFERROR(H47/H23,"nm")</f>
        <v/>
      </c>
      <c r="I71" s="288">
        <f>IFERROR(I47/I23,"nm")</f>
        <v/>
      </c>
      <c r="J71" s="289">
        <f>IFERROR(J47/J23,"nm")</f>
        <v/>
      </c>
      <c r="O71" s="456" t="n"/>
      <c r="P71" s="457" t="n"/>
      <c r="Q71" s="457" t="n"/>
      <c r="R71" s="458" t="n"/>
    </row>
    <row r="72">
      <c r="B72" s="290" t="inlineStr">
        <is>
          <t>Total Health GWP (INR cr)</t>
        </is>
      </c>
      <c r="C72" s="302">
        <f>IFERROR(C48/C24,"nm")</f>
        <v/>
      </c>
      <c r="D72" s="294">
        <f>IFERROR(D48/D24,"nm")</f>
        <v/>
      </c>
      <c r="E72" s="294">
        <f>IFERROR(E48/E24,"nm")</f>
        <v/>
      </c>
      <c r="F72" s="295">
        <f>IFERROR(F48/F24,"nm")</f>
        <v/>
      </c>
      <c r="G72" s="302">
        <f>IFERROR(G48/G24,"nm")</f>
        <v/>
      </c>
      <c r="H72" s="294">
        <f>IFERROR(H48/H24,"nm")</f>
        <v/>
      </c>
      <c r="I72" s="294">
        <f>IFERROR(I48/I24,"nm")</f>
        <v/>
      </c>
      <c r="J72" s="295">
        <f>IFERROR(J48/J24,"nm")</f>
        <v/>
      </c>
      <c r="O72" s="302" t="n"/>
      <c r="P72" s="294" t="n"/>
      <c r="Q72" s="294" t="n"/>
      <c r="R72" s="295" t="n"/>
    </row>
    <row r="73"/>
    <row r="74">
      <c r="B74" s="396" t="inlineStr">
        <is>
          <t>Group Health GWP (INR cr)</t>
        </is>
      </c>
      <c r="C74" s="395" t="inlineStr">
        <is>
          <t>Previous FY</t>
        </is>
      </c>
      <c r="D74" s="427" t="n"/>
      <c r="E74" s="427" t="n"/>
      <c r="F74" s="428" t="n"/>
      <c r="G74" s="395" t="inlineStr">
        <is>
          <t>Current FY</t>
        </is>
      </c>
      <c r="H74" s="427" t="n"/>
      <c r="I74" s="427" t="n"/>
      <c r="J74" s="428" t="n"/>
      <c r="K74" s="394" t="inlineStr">
        <is>
          <t>YoY growth</t>
        </is>
      </c>
      <c r="L74" s="427" t="n"/>
      <c r="M74" s="427" t="n"/>
      <c r="N74" s="428" t="n"/>
      <c r="O74" s="434" t="n"/>
      <c r="P74" s="435" t="n"/>
      <c r="Q74" s="435" t="n"/>
      <c r="R74" s="436" t="n"/>
    </row>
    <row r="75">
      <c r="B75" s="197" t="n"/>
      <c r="C75" s="429" t="inlineStr">
        <is>
          <t>Apr'24</t>
        </is>
      </c>
      <c r="D75" s="430" t="inlineStr">
        <is>
          <t>May'24</t>
        </is>
      </c>
      <c r="E75" s="430" t="inlineStr">
        <is>
          <t>Jun'25</t>
        </is>
      </c>
      <c r="F75" s="431" t="inlineStr">
        <is>
          <t>Q1FY25</t>
        </is>
      </c>
      <c r="G75" s="429" t="inlineStr">
        <is>
          <t>Apr'25</t>
        </is>
      </c>
      <c r="H75" s="430" t="inlineStr">
        <is>
          <t>May'25</t>
        </is>
      </c>
      <c r="I75" s="430" t="inlineStr">
        <is>
          <t>Jun'25</t>
        </is>
      </c>
      <c r="J75" s="431" t="inlineStr">
        <is>
          <t>Q1FY26</t>
        </is>
      </c>
      <c r="K75" s="430" t="inlineStr">
        <is>
          <t>Apr'25</t>
        </is>
      </c>
      <c r="L75" s="430" t="inlineStr">
        <is>
          <t>May'25</t>
        </is>
      </c>
      <c r="M75" s="430" t="inlineStr">
        <is>
          <t>Jun'25</t>
        </is>
      </c>
      <c r="N75" s="431" t="inlineStr">
        <is>
          <t>Q1FY26</t>
        </is>
      </c>
      <c r="O75" s="437" t="n"/>
      <c r="P75" s="438" t="n"/>
      <c r="Q75" s="438" t="n"/>
      <c r="R75" s="439" t="n"/>
    </row>
    <row r="76">
      <c r="B76" s="276" t="inlineStr">
        <is>
          <t>SAHIs &gt;&gt;</t>
        </is>
      </c>
      <c r="C76" s="280" t="n"/>
      <c r="D76" s="268" t="n"/>
      <c r="E76" s="268" t="n"/>
      <c r="F76" s="281" t="n"/>
      <c r="G76" s="280" t="n"/>
      <c r="H76" s="268" t="n"/>
      <c r="I76" s="268" t="n"/>
      <c r="J76" s="281" t="n"/>
      <c r="K76" s="269" t="n"/>
      <c r="L76" s="269" t="n"/>
      <c r="M76" s="269" t="n"/>
      <c r="N76" s="270" t="n"/>
      <c r="O76" s="280" t="n"/>
      <c r="P76" s="268" t="n"/>
      <c r="Q76" s="268" t="n"/>
      <c r="R76" s="281" t="n"/>
    </row>
    <row r="77">
      <c r="B77" s="277" t="inlineStr">
        <is>
          <t>Star Health</t>
        </is>
      </c>
      <c r="C77" s="282">
        <f>C5-C29</f>
        <v/>
      </c>
      <c r="D77" s="219">
        <f>D5-D29</f>
        <v/>
      </c>
      <c r="E77" s="219">
        <f>E5-E29</f>
        <v/>
      </c>
      <c r="F77" s="234">
        <f>F5-F29</f>
        <v/>
      </c>
      <c r="G77" s="282">
        <f>G5-G29</f>
        <v/>
      </c>
      <c r="H77" s="219">
        <f>H5-H29</f>
        <v/>
      </c>
      <c r="I77" s="219">
        <f>I5-I29</f>
        <v/>
      </c>
      <c r="J77" s="234">
        <f>J5-J29</f>
        <v/>
      </c>
      <c r="K77" s="271">
        <f>IFERROR(G77/C77-1,"nm")</f>
        <v/>
      </c>
      <c r="L77" s="271">
        <f>IFERROR(H77/D77-1,"nm")</f>
        <v/>
      </c>
      <c r="M77" s="271" t="n"/>
      <c r="N77" s="272">
        <f>IFERROR(J77/F77-1,"nm")</f>
        <v/>
      </c>
      <c r="O77" s="440" t="n"/>
      <c r="P77" s="441" t="n"/>
      <c r="Q77" s="441" t="n"/>
      <c r="R77" s="442" t="n"/>
    </row>
    <row r="78">
      <c r="B78" s="277" t="inlineStr">
        <is>
          <t>Care</t>
        </is>
      </c>
      <c r="C78" s="282">
        <f>C6-C30</f>
        <v/>
      </c>
      <c r="D78" s="219">
        <f>D6-D30</f>
        <v/>
      </c>
      <c r="E78" s="219">
        <f>E6-E30</f>
        <v/>
      </c>
      <c r="F78" s="234">
        <f>F6-F30</f>
        <v/>
      </c>
      <c r="G78" s="282">
        <f>G6-G30</f>
        <v/>
      </c>
      <c r="H78" s="219">
        <f>H6-H30</f>
        <v/>
      </c>
      <c r="I78" s="219">
        <f>I6-I30</f>
        <v/>
      </c>
      <c r="J78" s="234">
        <f>J6-J30</f>
        <v/>
      </c>
      <c r="K78" s="271">
        <f>IFERROR(G78/C78-1,"nm")</f>
        <v/>
      </c>
      <c r="L78" s="271">
        <f>IFERROR(H78/D78-1,"nm")</f>
        <v/>
      </c>
      <c r="M78" s="271" t="n"/>
      <c r="N78" s="272">
        <f>IFERROR(J78/F78-1,"nm")</f>
        <v/>
      </c>
      <c r="O78" s="440" t="n"/>
      <c r="P78" s="441" t="n"/>
      <c r="Q78" s="441" t="n"/>
      <c r="R78" s="442" t="n"/>
    </row>
    <row r="79">
      <c r="B79" s="278" t="inlineStr">
        <is>
          <t>Niva Bupa</t>
        </is>
      </c>
      <c r="C79" s="283">
        <f>C7-C31</f>
        <v/>
      </c>
      <c r="D79" s="273">
        <f>D7-D31</f>
        <v/>
      </c>
      <c r="E79" s="273">
        <f>E7-E31</f>
        <v/>
      </c>
      <c r="F79" s="250">
        <f>F7-F31</f>
        <v/>
      </c>
      <c r="G79" s="283">
        <f>G7-G31</f>
        <v/>
      </c>
      <c r="H79" s="273">
        <f>H7-H31</f>
        <v/>
      </c>
      <c r="I79" s="273">
        <f>I7-I31</f>
        <v/>
      </c>
      <c r="J79" s="250">
        <f>J7-J31</f>
        <v/>
      </c>
      <c r="K79" s="274">
        <f>IFERROR(G79/C79-1,"nm")</f>
        <v/>
      </c>
      <c r="L79" s="274">
        <f>IFERROR(H79/D79-1,"nm")</f>
        <v/>
      </c>
      <c r="M79" s="274" t="n"/>
      <c r="N79" s="275">
        <f>IFERROR(J79/F79-1,"nm")</f>
        <v/>
      </c>
      <c r="O79" s="443" t="n"/>
      <c r="P79" s="444" t="n"/>
      <c r="Q79" s="444" t="n"/>
      <c r="R79" s="445" t="n"/>
    </row>
    <row r="80">
      <c r="B80" s="277" t="inlineStr">
        <is>
          <t>Aditya Birla</t>
        </is>
      </c>
      <c r="C80" s="282">
        <f>C8-C32</f>
        <v/>
      </c>
      <c r="D80" s="219">
        <f>D8-D32</f>
        <v/>
      </c>
      <c r="E80" s="219">
        <f>E8-E32</f>
        <v/>
      </c>
      <c r="F80" s="234">
        <f>F8-F32</f>
        <v/>
      </c>
      <c r="G80" s="282">
        <f>G8-G32</f>
        <v/>
      </c>
      <c r="H80" s="219">
        <f>H8-H32</f>
        <v/>
      </c>
      <c r="I80" s="219">
        <f>I8-I32</f>
        <v/>
      </c>
      <c r="J80" s="234">
        <f>J8-J32</f>
        <v/>
      </c>
      <c r="K80" s="271">
        <f>IFERROR(G80/C80-1,"nm")</f>
        <v/>
      </c>
      <c r="L80" s="271">
        <f>IFERROR(H80/D80-1,"nm")</f>
        <v/>
      </c>
      <c r="M80" s="271" t="n"/>
      <c r="N80" s="272">
        <f>IFERROR(J80/F80-1,"nm")</f>
        <v/>
      </c>
      <c r="O80" s="440" t="n"/>
      <c r="P80" s="441" t="n"/>
      <c r="Q80" s="441" t="n"/>
      <c r="R80" s="442" t="n"/>
    </row>
    <row r="81">
      <c r="B81" s="277" t="inlineStr">
        <is>
          <t>Manipal Cigna</t>
        </is>
      </c>
      <c r="C81" s="282">
        <f>C9-C33</f>
        <v/>
      </c>
      <c r="D81" s="219">
        <f>D9-D33</f>
        <v/>
      </c>
      <c r="E81" s="219">
        <f>E9-E33</f>
        <v/>
      </c>
      <c r="F81" s="234">
        <f>F9-F33</f>
        <v/>
      </c>
      <c r="G81" s="282">
        <f>G9-G33</f>
        <v/>
      </c>
      <c r="H81" s="219">
        <f>H9-H33</f>
        <v/>
      </c>
      <c r="I81" s="219">
        <f>I9-I33</f>
        <v/>
      </c>
      <c r="J81" s="234">
        <f>J9-J33</f>
        <v/>
      </c>
      <c r="K81" s="271">
        <f>IFERROR(G81/C81-1,"nm")</f>
        <v/>
      </c>
      <c r="L81" s="271">
        <f>IFERROR(H81/D81-1,"nm")</f>
        <v/>
      </c>
      <c r="M81" s="271" t="n"/>
      <c r="N81" s="272">
        <f>IFERROR(J81/F81-1,"nm")</f>
        <v/>
      </c>
      <c r="O81" s="440" t="n"/>
      <c r="P81" s="441" t="n"/>
      <c r="Q81" s="441" t="n"/>
      <c r="R81" s="442" t="n"/>
    </row>
    <row r="82">
      <c r="B82" s="277" t="inlineStr">
        <is>
          <t>Galaxy Health</t>
        </is>
      </c>
      <c r="C82" s="282">
        <f>C10-C34</f>
        <v/>
      </c>
      <c r="D82" s="219">
        <f>D10-D34</f>
        <v/>
      </c>
      <c r="E82" s="219">
        <f>E10-E34</f>
        <v/>
      </c>
      <c r="F82" s="234">
        <f>F10-F34</f>
        <v/>
      </c>
      <c r="G82" s="282">
        <f>G10-G34</f>
        <v/>
      </c>
      <c r="H82" s="219">
        <f>H10-H34</f>
        <v/>
      </c>
      <c r="I82" s="219">
        <f>I10-I34</f>
        <v/>
      </c>
      <c r="J82" s="234">
        <f>J10-J34</f>
        <v/>
      </c>
      <c r="K82" s="271">
        <f>IFERROR(G82/C82-1,"nm")</f>
        <v/>
      </c>
      <c r="L82" s="271">
        <f>IFERROR(H82/D82-1,"nm")</f>
        <v/>
      </c>
      <c r="M82" s="271" t="n"/>
      <c r="N82" s="272">
        <f>IFERROR(J82/F82-1,"nm")</f>
        <v/>
      </c>
      <c r="O82" s="440" t="n"/>
      <c r="P82" s="441" t="n"/>
      <c r="Q82" s="441" t="n"/>
      <c r="R82" s="442" t="n"/>
    </row>
    <row r="83">
      <c r="B83" s="277" t="inlineStr">
        <is>
          <t>Narayana Health</t>
        </is>
      </c>
      <c r="C83" s="282">
        <f>C11-C35</f>
        <v/>
      </c>
      <c r="D83" s="219">
        <f>D11-D35</f>
        <v/>
      </c>
      <c r="E83" s="219">
        <f>E11-E35</f>
        <v/>
      </c>
      <c r="F83" s="234">
        <f>F11-F35</f>
        <v/>
      </c>
      <c r="G83" s="282">
        <f>G11-G35</f>
        <v/>
      </c>
      <c r="H83" s="219">
        <f>H11-H35</f>
        <v/>
      </c>
      <c r="I83" s="219">
        <f>I11-I35</f>
        <v/>
      </c>
      <c r="J83" s="234">
        <f>J11-J35</f>
        <v/>
      </c>
      <c r="K83" s="271">
        <f>IFERROR(G83/C83-1,"nm")</f>
        <v/>
      </c>
      <c r="L83" s="271">
        <f>IFERROR(H83/D83-1,"nm")</f>
        <v/>
      </c>
      <c r="M83" s="271" t="n"/>
      <c r="N83" s="272">
        <f>IFERROR(J83/F83-1,"nm")</f>
        <v/>
      </c>
      <c r="O83" s="440" t="n"/>
      <c r="P83" s="441" t="n"/>
      <c r="Q83" s="441" t="n"/>
      <c r="R83" s="442" t="n"/>
    </row>
    <row r="84">
      <c r="B84" s="276" t="inlineStr">
        <is>
          <t>Private Multi-line &gt;&gt;</t>
        </is>
      </c>
      <c r="C84" s="280" t="n"/>
      <c r="D84" s="268" t="n"/>
      <c r="E84" s="268" t="n"/>
      <c r="F84" s="281" t="n"/>
      <c r="G84" s="280" t="n"/>
      <c r="H84" s="268" t="n"/>
      <c r="I84" s="268" t="n"/>
      <c r="J84" s="281" t="n"/>
      <c r="K84" s="269" t="n"/>
      <c r="L84" s="269" t="n"/>
      <c r="M84" s="269" t="n"/>
      <c r="N84" s="270" t="n"/>
      <c r="O84" s="280" t="n"/>
      <c r="P84" s="268" t="n"/>
      <c r="Q84" s="268" t="n"/>
      <c r="R84" s="281" t="n"/>
    </row>
    <row r="85">
      <c r="B85" s="277" t="inlineStr">
        <is>
          <t>HDFC Ergo</t>
        </is>
      </c>
      <c r="C85" s="282">
        <f>C13-C37</f>
        <v/>
      </c>
      <c r="D85" s="219">
        <f>D13-D37</f>
        <v/>
      </c>
      <c r="E85" s="219">
        <f>E13-E37</f>
        <v/>
      </c>
      <c r="F85" s="234">
        <f>F13-F37</f>
        <v/>
      </c>
      <c r="G85" s="282">
        <f>G13-G37</f>
        <v/>
      </c>
      <c r="H85" s="219">
        <f>H13-H37</f>
        <v/>
      </c>
      <c r="I85" s="219">
        <f>I13-I37</f>
        <v/>
      </c>
      <c r="J85" s="234">
        <f>J13-J37</f>
        <v/>
      </c>
      <c r="K85" s="271">
        <f>IFERROR(G85/C85-1,"nm")</f>
        <v/>
      </c>
      <c r="L85" s="271">
        <f>IFERROR(H85/D85-1,"nm")</f>
        <v/>
      </c>
      <c r="M85" s="271" t="n"/>
      <c r="N85" s="272">
        <f>IFERROR(J85/F85-1,"nm")</f>
        <v/>
      </c>
      <c r="O85" s="440" t="n"/>
      <c r="P85" s="441" t="n"/>
      <c r="Q85" s="441" t="n"/>
      <c r="R85" s="442" t="n"/>
    </row>
    <row r="86">
      <c r="B86" s="277" t="inlineStr">
        <is>
          <t>ICICI Lombard</t>
        </is>
      </c>
      <c r="C86" s="282">
        <f>C14-C38</f>
        <v/>
      </c>
      <c r="D86" s="219">
        <f>D14-D38</f>
        <v/>
      </c>
      <c r="E86" s="219">
        <f>E14-E38</f>
        <v/>
      </c>
      <c r="F86" s="234">
        <f>F14-F38</f>
        <v/>
      </c>
      <c r="G86" s="282">
        <f>G14-G38</f>
        <v/>
      </c>
      <c r="H86" s="219">
        <f>H14-H38</f>
        <v/>
      </c>
      <c r="I86" s="219">
        <f>I14-I38</f>
        <v/>
      </c>
      <c r="J86" s="234">
        <f>J14-J38</f>
        <v/>
      </c>
      <c r="K86" s="271">
        <f>IFERROR(G86/C86-1,"nm")</f>
        <v/>
      </c>
      <c r="L86" s="271">
        <f>IFERROR(H86/D86-1,"nm")</f>
        <v/>
      </c>
      <c r="M86" s="271" t="n"/>
      <c r="N86" s="272">
        <f>IFERROR(J86/F86-1,"nm")</f>
        <v/>
      </c>
      <c r="O86" s="440" t="n"/>
      <c r="P86" s="441" t="n"/>
      <c r="Q86" s="441" t="n"/>
      <c r="R86" s="442" t="n"/>
    </row>
    <row r="87">
      <c r="B87" s="279" t="inlineStr">
        <is>
          <t>Bajaj Allianz</t>
        </is>
      </c>
      <c r="C87" s="282">
        <f>C15-C39</f>
        <v/>
      </c>
      <c r="D87" s="219">
        <f>D15-D39</f>
        <v/>
      </c>
      <c r="E87" s="219">
        <f>E15-E39</f>
        <v/>
      </c>
      <c r="F87" s="234">
        <f>F15-F39</f>
        <v/>
      </c>
      <c r="G87" s="282">
        <f>G15-G39</f>
        <v/>
      </c>
      <c r="H87" s="219">
        <f>H15-H39</f>
        <v/>
      </c>
      <c r="I87" s="219">
        <f>I15-I39</f>
        <v/>
      </c>
      <c r="J87" s="234">
        <f>J15-J39</f>
        <v/>
      </c>
      <c r="K87" s="271">
        <f>IFERROR(G87/C87-1,"nm")</f>
        <v/>
      </c>
      <c r="L87" s="271">
        <f>IFERROR(H87/D87-1,"nm")</f>
        <v/>
      </c>
      <c r="M87" s="271" t="n"/>
      <c r="N87" s="272">
        <f>IFERROR(J87/F87-1,"nm")</f>
        <v/>
      </c>
      <c r="O87" s="440" t="n"/>
      <c r="P87" s="441" t="n"/>
      <c r="Q87" s="441" t="n"/>
      <c r="R87" s="442" t="n"/>
    </row>
    <row r="88">
      <c r="B88" s="279" t="inlineStr">
        <is>
          <t>Reliance</t>
        </is>
      </c>
      <c r="C88" s="282">
        <f>C16-C40</f>
        <v/>
      </c>
      <c r="D88" s="219">
        <f>D16-D40</f>
        <v/>
      </c>
      <c r="E88" s="219">
        <f>E16-E40</f>
        <v/>
      </c>
      <c r="F88" s="234">
        <f>F16-F40</f>
        <v/>
      </c>
      <c r="G88" s="282">
        <f>G16-G40</f>
        <v/>
      </c>
      <c r="H88" s="219">
        <f>H16-H40</f>
        <v/>
      </c>
      <c r="I88" s="219">
        <f>I16-I40</f>
        <v/>
      </c>
      <c r="J88" s="234">
        <f>J16-J40</f>
        <v/>
      </c>
      <c r="K88" s="271">
        <f>IFERROR(G88/C88-1,"nm")</f>
        <v/>
      </c>
      <c r="L88" s="271">
        <f>IFERROR(H88/D88-1,"nm")</f>
        <v/>
      </c>
      <c r="M88" s="271" t="n"/>
      <c r="N88" s="272">
        <f>IFERROR(J88/F88-1,"nm")</f>
        <v/>
      </c>
      <c r="O88" s="440" t="n"/>
      <c r="P88" s="441" t="n"/>
      <c r="Q88" s="441" t="n"/>
      <c r="R88" s="442" t="n"/>
    </row>
    <row r="89">
      <c r="B89" s="279" t="inlineStr">
        <is>
          <t>SBI GI</t>
        </is>
      </c>
      <c r="C89" s="282">
        <f>C17-C41</f>
        <v/>
      </c>
      <c r="D89" s="219">
        <f>D17-D41</f>
        <v/>
      </c>
      <c r="E89" s="219">
        <f>E17-E41</f>
        <v/>
      </c>
      <c r="F89" s="234">
        <f>F17-F41</f>
        <v/>
      </c>
      <c r="G89" s="282">
        <f>G17-G41</f>
        <v/>
      </c>
      <c r="H89" s="219">
        <f>H17-H41</f>
        <v/>
      </c>
      <c r="I89" s="219">
        <f>I17-I41</f>
        <v/>
      </c>
      <c r="J89" s="234">
        <f>J17-J41</f>
        <v/>
      </c>
      <c r="K89" s="271">
        <f>IFERROR(G89/C89-1,"nm")</f>
        <v/>
      </c>
      <c r="L89" s="271">
        <f>IFERROR(H89/D89-1,"nm")</f>
        <v/>
      </c>
      <c r="M89" s="271" t="n"/>
      <c r="N89" s="272">
        <f>IFERROR(J89/F89-1,"nm")</f>
        <v/>
      </c>
      <c r="O89" s="440" t="n"/>
      <c r="P89" s="441" t="n"/>
      <c r="Q89" s="441" t="n"/>
      <c r="R89" s="442" t="n"/>
    </row>
    <row r="90">
      <c r="B90" s="276" t="inlineStr">
        <is>
          <t>PSUs &gt;&gt;</t>
        </is>
      </c>
      <c r="C90" s="280" t="n"/>
      <c r="D90" s="268" t="n"/>
      <c r="E90" s="268" t="n"/>
      <c r="F90" s="281" t="n"/>
      <c r="G90" s="280" t="n"/>
      <c r="H90" s="268" t="n"/>
      <c r="I90" s="268" t="n"/>
      <c r="J90" s="281" t="n"/>
      <c r="K90" s="269" t="n"/>
      <c r="L90" s="269" t="n"/>
      <c r="M90" s="269" t="n"/>
      <c r="N90" s="270" t="n"/>
      <c r="O90" s="280" t="n"/>
      <c r="P90" s="268" t="n"/>
      <c r="Q90" s="268" t="n"/>
      <c r="R90" s="281" t="n"/>
    </row>
    <row r="91">
      <c r="B91" s="277" t="inlineStr">
        <is>
          <t>New India</t>
        </is>
      </c>
      <c r="C91" s="282">
        <f>C19-C43</f>
        <v/>
      </c>
      <c r="D91" s="219">
        <f>D19-D43</f>
        <v/>
      </c>
      <c r="E91" s="219">
        <f>E19-E43</f>
        <v/>
      </c>
      <c r="F91" s="234">
        <f>F19-F43</f>
        <v/>
      </c>
      <c r="G91" s="282">
        <f>G19-G43</f>
        <v/>
      </c>
      <c r="H91" s="219">
        <f>H19-H43</f>
        <v/>
      </c>
      <c r="I91" s="219">
        <f>I19-I43</f>
        <v/>
      </c>
      <c r="J91" s="234">
        <f>J19-J43</f>
        <v/>
      </c>
      <c r="K91" s="271">
        <f>IFERROR(G91/C91-1,"nm")</f>
        <v/>
      </c>
      <c r="L91" s="271">
        <f>IFERROR(H91/D91-1,"nm")</f>
        <v/>
      </c>
      <c r="M91" s="271" t="n"/>
      <c r="N91" s="272">
        <f>IFERROR(J91/F91-1,"nm")</f>
        <v/>
      </c>
      <c r="O91" s="440" t="n"/>
      <c r="P91" s="441" t="n"/>
      <c r="Q91" s="441" t="n"/>
      <c r="R91" s="442" t="n"/>
    </row>
    <row r="92">
      <c r="B92" s="277" t="inlineStr">
        <is>
          <t>National Insurance</t>
        </is>
      </c>
      <c r="C92" s="282">
        <f>C20-C44</f>
        <v/>
      </c>
      <c r="D92" s="219">
        <f>D20-D44</f>
        <v/>
      </c>
      <c r="E92" s="219">
        <f>E20-E44</f>
        <v/>
      </c>
      <c r="F92" s="234">
        <f>F20-F44</f>
        <v/>
      </c>
      <c r="G92" s="282">
        <f>G20-G44</f>
        <v/>
      </c>
      <c r="H92" s="219">
        <f>H20-H44</f>
        <v/>
      </c>
      <c r="I92" s="219">
        <f>I20-I44</f>
        <v/>
      </c>
      <c r="J92" s="234">
        <f>J20-J44</f>
        <v/>
      </c>
      <c r="K92" s="271">
        <f>IFERROR(G92/C92-1,"nm")</f>
        <v/>
      </c>
      <c r="L92" s="271">
        <f>IFERROR(H92/D92-1,"nm")</f>
        <v/>
      </c>
      <c r="M92" s="271" t="n"/>
      <c r="N92" s="272">
        <f>IFERROR(J92/F92-1,"nm")</f>
        <v/>
      </c>
      <c r="O92" s="440" t="n"/>
      <c r="P92" s="441" t="n"/>
      <c r="Q92" s="441" t="n"/>
      <c r="R92" s="442" t="n"/>
    </row>
    <row r="93">
      <c r="B93" s="104" t="inlineStr">
        <is>
          <t>Oriental Insurance</t>
        </is>
      </c>
      <c r="C93" s="282">
        <f>C21-C45</f>
        <v/>
      </c>
      <c r="D93" s="219">
        <f>D21-D45</f>
        <v/>
      </c>
      <c r="E93" s="219">
        <f>E21-E45</f>
        <v/>
      </c>
      <c r="F93" s="234">
        <f>F21-F45</f>
        <v/>
      </c>
      <c r="G93" s="282">
        <f>G21-G45</f>
        <v/>
      </c>
      <c r="H93" s="219">
        <f>H21-H45</f>
        <v/>
      </c>
      <c r="I93" s="219">
        <f>I21-I45</f>
        <v/>
      </c>
      <c r="J93" s="234">
        <f>J21-J45</f>
        <v/>
      </c>
      <c r="K93" s="271">
        <f>IFERROR(G93/C93-1,"nm")</f>
        <v/>
      </c>
      <c r="L93" s="271">
        <f>IFERROR(H93/D93-1,"nm")</f>
        <v/>
      </c>
      <c r="M93" s="271" t="n"/>
      <c r="N93" s="272">
        <f>IFERROR(J93/F93-1,"nm")</f>
        <v/>
      </c>
      <c r="O93" s="440" t="n"/>
      <c r="P93" s="441" t="n"/>
      <c r="Q93" s="441" t="n"/>
      <c r="R93" s="442" t="n"/>
    </row>
    <row r="94">
      <c r="B94" s="104" t="inlineStr">
        <is>
          <t>United India</t>
        </is>
      </c>
      <c r="C94" s="282">
        <f>C22-C46</f>
        <v/>
      </c>
      <c r="D94" s="219">
        <f>D22-D46</f>
        <v/>
      </c>
      <c r="E94" s="219">
        <f>E22-E46</f>
        <v/>
      </c>
      <c r="F94" s="234">
        <f>F22-F46</f>
        <v/>
      </c>
      <c r="G94" s="282">
        <f>G22-G46</f>
        <v/>
      </c>
      <c r="H94" s="219">
        <f>H22-H46</f>
        <v/>
      </c>
      <c r="I94" s="219">
        <f>I22-I46</f>
        <v/>
      </c>
      <c r="J94" s="234">
        <f>J22-J46</f>
        <v/>
      </c>
      <c r="K94" s="271">
        <f>IFERROR(G94/C94-1,"nm")</f>
        <v/>
      </c>
      <c r="L94" s="271">
        <f>IFERROR(H94/D94-1,"nm")</f>
        <v/>
      </c>
      <c r="M94" s="271" t="n"/>
      <c r="N94" s="272">
        <f>IFERROR(J94/F94-1,"nm")</f>
        <v/>
      </c>
      <c r="O94" s="440" t="n"/>
      <c r="P94" s="441" t="n"/>
      <c r="Q94" s="441" t="n"/>
      <c r="R94" s="442" t="n"/>
    </row>
    <row r="95">
      <c r="B95" s="284" t="inlineStr">
        <is>
          <t>Others</t>
        </is>
      </c>
      <c r="C95" s="285">
        <f>C23-C47</f>
        <v/>
      </c>
      <c r="D95" s="286">
        <f>D23-D47</f>
        <v/>
      </c>
      <c r="E95" s="286">
        <f>E23-E47</f>
        <v/>
      </c>
      <c r="F95" s="287">
        <f>F23-F47</f>
        <v/>
      </c>
      <c r="G95" s="285">
        <f>G23-G47</f>
        <v/>
      </c>
      <c r="H95" s="286">
        <f>H23-H47</f>
        <v/>
      </c>
      <c r="I95" s="286">
        <f>I23-I47</f>
        <v/>
      </c>
      <c r="J95" s="287">
        <f>J23-J47</f>
        <v/>
      </c>
      <c r="K95" s="288">
        <f>IFERROR(G95/C95-1,"nm")</f>
        <v/>
      </c>
      <c r="L95" s="288">
        <f>IFERROR(H95/D95-1,"nm")</f>
        <v/>
      </c>
      <c r="M95" s="288" t="n"/>
      <c r="N95" s="289">
        <f>IFERROR(J95/F95-1,"nm")</f>
        <v/>
      </c>
      <c r="O95" s="447" t="n"/>
      <c r="P95" s="448" t="n"/>
      <c r="Q95" s="448" t="n"/>
      <c r="R95" s="449" t="n"/>
    </row>
    <row r="96">
      <c r="B96" s="290" t="inlineStr">
        <is>
          <t>Total Health GWP (INR cr)</t>
        </is>
      </c>
      <c r="C96" s="291">
        <f>C24-C48</f>
        <v/>
      </c>
      <c r="D96" s="292">
        <f>D24-D48</f>
        <v/>
      </c>
      <c r="E96" s="292">
        <f>E24-E48</f>
        <v/>
      </c>
      <c r="F96" s="293">
        <f>F24-F48</f>
        <v/>
      </c>
      <c r="G96" s="291">
        <f>G24-G48</f>
        <v/>
      </c>
      <c r="H96" s="292">
        <f>H24-H48</f>
        <v/>
      </c>
      <c r="I96" s="292">
        <f>I24-I48</f>
        <v/>
      </c>
      <c r="J96" s="293">
        <f>J24-J48</f>
        <v/>
      </c>
      <c r="K96" s="294">
        <f>IFERROR(G96/C96-1,"nm")</f>
        <v/>
      </c>
      <c r="L96" s="294">
        <f>IFERROR(H96/D96-1,"nm")</f>
        <v/>
      </c>
      <c r="M96" s="294" t="n"/>
      <c r="N96" s="295">
        <f>IFERROR(J96/F96-1,"nm")</f>
        <v/>
      </c>
      <c r="O96" s="291" t="n"/>
      <c r="P96" s="292" t="n"/>
      <c r="Q96" s="292" t="n"/>
      <c r="R96" s="293" t="n"/>
    </row>
  </sheetData>
  <mergeCells count="15">
    <mergeCell ref="C74:F74"/>
    <mergeCell ref="G26:J26"/>
    <mergeCell ref="K26:N26"/>
    <mergeCell ref="B74:B75"/>
    <mergeCell ref="K74:N74"/>
    <mergeCell ref="C26:F26"/>
    <mergeCell ref="G74:J74"/>
    <mergeCell ref="C2:F2"/>
    <mergeCell ref="G2:J2"/>
    <mergeCell ref="B2:B3"/>
    <mergeCell ref="K2:N2"/>
    <mergeCell ref="B50:B51"/>
    <mergeCell ref="B26:B27"/>
    <mergeCell ref="C50:F50"/>
    <mergeCell ref="G50:J50"/>
  </mergeCells>
  <pageMargins left="0.7086614173228347" right="0.7086614173228347" top="0.7480314960629921" bottom="0.7480314960629921" header="0.3149606299212598" footer="0.3149606299212598"/>
  <pageSetup orientation="landscape" paperSize="9" scale="71" fitToHeight="0"/>
  <rowBreaks count="3" manualBreakCount="3">
    <brk id="25" min="0" max="14" man="1"/>
    <brk id="72" min="0" max="14" man="1"/>
    <brk id="97" min="0" max="14" man="1"/>
  </rowBreaks>
  <colBreaks count="1" manualBreakCount="1">
    <brk id="15" min="0" max="1048575" man="1"/>
  </colBreaks>
</worksheet>
</file>

<file path=xl/worksheets/sheet4.xml><?xml version="1.0" encoding="utf-8"?>
<worksheet xmlns="http://schemas.openxmlformats.org/spreadsheetml/2006/main">
  <sheetPr>
    <tabColor rgb="FF002060"/>
    <outlinePr summaryBelow="1" summaryRight="1"/>
    <pageSetUpPr fitToPage="1"/>
  </sheetPr>
  <dimension ref="A1:BD47"/>
  <sheetViews>
    <sheetView showGridLines="0" view="pageBreakPreview" zoomScale="88" zoomScaleNormal="130" zoomScaleSheetLayoutView="100" workbookViewId="0">
      <pane xSplit="2" ySplit="4" topLeftCell="C5" activePane="bottomRight" state="frozen"/>
      <selection activeCell="E9" sqref="E9"/>
      <selection pane="topRight" activeCell="E9" sqref="E9"/>
      <selection pane="bottomLeft" activeCell="E9" sqref="E9"/>
      <selection pane="bottomRight" activeCell="O11" sqref="O11"/>
    </sheetView>
  </sheetViews>
  <sheetFormatPr baseColWidth="8" defaultRowHeight="14.5"/>
  <cols>
    <col width="2.7265625" bestFit="1" customWidth="1" min="1" max="1"/>
    <col width="28.26953125" bestFit="1" customWidth="1" min="2" max="2"/>
    <col width="8.6328125" customWidth="1" style="459" min="3" max="6"/>
    <col width="7.26953125" bestFit="1" customWidth="1" style="71" min="7" max="7"/>
    <col hidden="1" width="9.54296875" customWidth="1" style="459" min="8" max="9"/>
    <col width="8.6328125" customWidth="1" style="459" min="10" max="10"/>
    <col hidden="1" width="9.54296875" customWidth="1" style="459" min="11" max="12"/>
    <col width="8.6328125" customWidth="1" style="459" min="13" max="13"/>
    <col width="7.26953125" bestFit="1" customWidth="1" style="71" min="14" max="14"/>
    <col width="0.81640625" customWidth="1" min="15" max="15"/>
    <col width="8.6328125" customWidth="1" style="459" min="16" max="19"/>
    <col width="7.26953125" bestFit="1" customWidth="1" style="71" min="20" max="20"/>
    <col hidden="1" width="9" customWidth="1" style="459" min="21" max="22"/>
    <col width="8.6328125" customWidth="1" style="459" min="23" max="23"/>
    <col hidden="1" width="9.1796875" customWidth="1" style="459" min="24" max="25"/>
    <col width="8.6328125" customWidth="1" style="459" min="26" max="26"/>
    <col width="7.6328125" bestFit="1" customWidth="1" style="71" min="27" max="27"/>
    <col width="0.81640625" customWidth="1" min="28" max="28"/>
    <col width="8.6328125" customWidth="1" style="459" min="29" max="32"/>
    <col width="7.7265625" bestFit="1" customWidth="1" style="71" min="33" max="33"/>
    <col hidden="1" width="9" customWidth="1" style="459" min="34" max="35"/>
    <col width="9" customWidth="1" style="459" min="36" max="36"/>
    <col hidden="1" width="7.81640625" customWidth="1" style="459" min="37" max="38"/>
    <col width="7.81640625" customWidth="1" style="459" min="39" max="39"/>
    <col width="7.26953125" bestFit="1" customWidth="1" style="71" min="40" max="40"/>
    <col width="0.81640625" customWidth="1" min="41" max="41"/>
    <col hidden="1" width="10.453125" customWidth="1" style="459" min="42" max="44"/>
    <col hidden="1" width="10.453125" customWidth="1" style="71" min="45" max="45"/>
    <col hidden="1" width="9" customWidth="1" style="459" min="46" max="46"/>
    <col hidden="1" width="7.81640625" customWidth="1" style="459" min="47" max="47"/>
    <col hidden="1" width="7.26953125" customWidth="1" style="71" min="48" max="48"/>
    <col hidden="1" width="0.81640625" customWidth="1" min="49" max="49"/>
    <col hidden="1" width="9.81640625" customWidth="1" style="459" min="50" max="52"/>
    <col hidden="1" width="9.81640625" customWidth="1" style="71" min="53" max="53"/>
    <col hidden="1" width="9" customWidth="1" style="459" min="54" max="54"/>
    <col hidden="1" width="7.81640625" customWidth="1" style="459" min="55" max="55"/>
    <col hidden="1" width="7.26953125" customWidth="1" style="71" min="56" max="56"/>
  </cols>
  <sheetData>
    <row r="1">
      <c r="A1" s="1" t="inlineStr">
        <is>
          <t>xx</t>
        </is>
      </c>
      <c r="B1" s="1" t="inlineStr">
        <is>
          <t>Detailed comparison of SAHIs</t>
        </is>
      </c>
      <c r="C1" s="351" t="n"/>
      <c r="D1" s="351" t="n"/>
      <c r="E1" s="351" t="n"/>
      <c r="F1" s="351" t="n"/>
      <c r="G1" s="351" t="n"/>
      <c r="H1" s="351" t="n"/>
      <c r="I1" s="351" t="n"/>
      <c r="J1" s="351" t="n"/>
      <c r="K1" s="351" t="n"/>
      <c r="L1" s="351" t="n"/>
      <c r="M1" s="351" t="n"/>
      <c r="N1" s="351" t="n"/>
      <c r="O1" s="351" t="n"/>
      <c r="P1" s="351" t="n"/>
      <c r="Q1" s="351" t="n"/>
      <c r="R1" s="351" t="n"/>
      <c r="S1" s="351" t="n"/>
      <c r="T1" s="351" t="n"/>
      <c r="U1" s="351" t="n"/>
      <c r="V1" s="351" t="n"/>
      <c r="W1" s="351" t="n"/>
      <c r="X1" s="351" t="n"/>
      <c r="Y1" s="351" t="n"/>
      <c r="Z1" s="351" t="n"/>
      <c r="AA1" s="351" t="n"/>
      <c r="AB1" s="351" t="n"/>
      <c r="AC1" s="351" t="n"/>
      <c r="AD1" s="351" t="n"/>
      <c r="AE1" s="351" t="n"/>
      <c r="AF1" s="351" t="n"/>
      <c r="AG1" s="351" t="n"/>
      <c r="AH1" s="351" t="n"/>
      <c r="AI1" s="351" t="n"/>
      <c r="AJ1" s="351" t="n"/>
      <c r="AK1" s="351" t="n"/>
      <c r="AL1" s="351" t="n"/>
      <c r="AM1" s="351" t="n"/>
      <c r="AN1" s="351" t="n"/>
      <c r="AO1" s="351" t="n"/>
      <c r="AP1" s="459" t="n"/>
      <c r="AQ1" s="459" t="n"/>
      <c r="AR1" s="459" t="n"/>
      <c r="AS1" s="71" t="n"/>
      <c r="AT1" s="351" t="n"/>
      <c r="AU1" s="351" t="n"/>
      <c r="AV1" s="71" t="n"/>
      <c r="AW1" s="10" t="n"/>
      <c r="AX1" s="459" t="n"/>
      <c r="AY1" s="459" t="n"/>
      <c r="AZ1" s="459" t="n"/>
      <c r="BA1" s="71" t="n"/>
      <c r="BB1" s="351" t="n"/>
      <c r="BC1" s="351" t="n"/>
      <c r="BD1" s="71" t="n"/>
    </row>
    <row r="2" ht="5.15" customHeight="1" thickBot="1">
      <c r="A2" s="1" t="n"/>
      <c r="B2" s="1" t="n"/>
      <c r="C2" s="459" t="n"/>
      <c r="D2" s="459" t="n"/>
      <c r="E2" s="459" t="n"/>
      <c r="F2" s="459" t="n"/>
      <c r="G2" s="71" t="n"/>
      <c r="H2" s="459" t="n"/>
      <c r="I2" s="459" t="n"/>
      <c r="J2" s="459" t="n"/>
      <c r="K2" s="351" t="n"/>
      <c r="L2" s="351" t="n"/>
      <c r="M2" s="351" t="n"/>
      <c r="N2" s="351" t="n"/>
      <c r="O2" s="351" t="n"/>
      <c r="P2" s="351" t="n"/>
      <c r="Q2" s="351" t="n"/>
      <c r="R2" s="351" t="n"/>
      <c r="S2" s="351" t="n"/>
      <c r="T2" s="351" t="n"/>
      <c r="U2" s="351" t="n"/>
      <c r="V2" s="351" t="n"/>
      <c r="W2" s="351" t="n"/>
      <c r="X2" s="351" t="n"/>
      <c r="Y2" s="351" t="n"/>
      <c r="Z2" s="351" t="n"/>
      <c r="AA2" s="351" t="n"/>
      <c r="AB2" s="351" t="n"/>
      <c r="AC2" s="351" t="n"/>
      <c r="AD2" s="351" t="n"/>
      <c r="AE2" s="351" t="n"/>
      <c r="AF2" s="351" t="n"/>
      <c r="AG2" s="351" t="n"/>
      <c r="AH2" s="351" t="n"/>
      <c r="AI2" s="351" t="n"/>
      <c r="AJ2" s="351" t="n"/>
      <c r="AK2" s="351" t="n"/>
      <c r="AL2" s="351" t="n"/>
      <c r="AM2" s="351" t="n"/>
      <c r="AN2" s="351" t="n"/>
      <c r="AO2" s="351" t="n"/>
      <c r="AP2" s="459" t="n"/>
      <c r="AQ2" s="459" t="n"/>
      <c r="AR2" s="459" t="n"/>
      <c r="AS2" s="71" t="n"/>
      <c r="AT2" s="459" t="n"/>
      <c r="AU2" s="459" t="n"/>
      <c r="AV2" s="71" t="n"/>
      <c r="AW2" s="10" t="n"/>
      <c r="AX2" s="459" t="n"/>
      <c r="AY2" s="459" t="n"/>
      <c r="AZ2" s="459" t="n"/>
      <c r="BA2" s="71" t="n"/>
      <c r="BB2" s="459" t="n"/>
      <c r="BC2" s="459" t="n"/>
      <c r="BD2" s="71" t="n"/>
    </row>
    <row r="3" ht="15" customHeight="1" thickBot="1">
      <c r="B3" s="460" t="n"/>
      <c r="C3" s="461" t="inlineStr">
        <is>
          <t>Niva Bupa</t>
        </is>
      </c>
      <c r="D3" s="461" t="n"/>
      <c r="E3" s="461" t="n"/>
      <c r="F3" s="461" t="n"/>
      <c r="G3" s="461" t="n"/>
      <c r="H3" s="461" t="n"/>
      <c r="I3" s="461" t="n"/>
      <c r="J3" s="461" t="n"/>
      <c r="K3" s="461" t="n"/>
      <c r="L3" s="461" t="n"/>
      <c r="M3" s="461" t="n"/>
      <c r="N3" s="461" t="n"/>
      <c r="O3" s="10" t="n"/>
      <c r="P3" s="461" t="inlineStr">
        <is>
          <t>Star</t>
        </is>
      </c>
      <c r="Q3" s="461" t="n"/>
      <c r="R3" s="461" t="n"/>
      <c r="S3" s="461" t="n"/>
      <c r="T3" s="461" t="n"/>
      <c r="U3" s="461" t="n"/>
      <c r="V3" s="461" t="n"/>
      <c r="W3" s="461" t="n"/>
      <c r="X3" s="461" t="n"/>
      <c r="Y3" s="461" t="n"/>
      <c r="Z3" s="461" t="n"/>
      <c r="AA3" s="461" t="n"/>
      <c r="AB3" s="10" t="n"/>
      <c r="AC3" s="461" t="inlineStr">
        <is>
          <t>Care</t>
        </is>
      </c>
      <c r="AD3" s="461" t="n"/>
      <c r="AE3" s="461" t="n"/>
      <c r="AF3" s="461" t="n"/>
      <c r="AG3" s="461" t="n"/>
      <c r="AH3" s="461" t="n"/>
      <c r="AI3" s="461" t="n"/>
      <c r="AJ3" s="461" t="n"/>
      <c r="AK3" s="461" t="n"/>
      <c r="AL3" s="461" t="n"/>
      <c r="AM3" s="461" t="n"/>
      <c r="AN3" s="461" t="n"/>
      <c r="AO3" s="10" t="n"/>
      <c r="AP3" s="462" t="inlineStr">
        <is>
          <t>Manipal Cigna</t>
        </is>
      </c>
      <c r="AW3" s="10" t="n"/>
      <c r="AX3" s="462" t="inlineStr">
        <is>
          <t>Aditya Birla</t>
        </is>
      </c>
    </row>
    <row r="4" ht="29" customHeight="1">
      <c r="B4" s="12" t="inlineStr">
        <is>
          <t>Niva Bupa</t>
        </is>
      </c>
      <c r="C4" s="429" t="inlineStr">
        <is>
          <t>FY23</t>
        </is>
      </c>
      <c r="D4" s="430" t="inlineStr">
        <is>
          <t>FY24</t>
        </is>
      </c>
      <c r="E4" s="430" t="inlineStr">
        <is>
          <t>FY25</t>
        </is>
      </c>
      <c r="F4" s="430" t="inlineStr">
        <is>
          <t>FY26</t>
        </is>
      </c>
      <c r="G4" s="16" t="inlineStr">
        <is>
          <t>FY26
growth</t>
        </is>
      </c>
      <c r="H4" s="430" t="inlineStr">
        <is>
          <t>H1FY25</t>
        </is>
      </c>
      <c r="I4" s="430" t="inlineStr">
        <is>
          <t>upto Q3FY25</t>
        </is>
      </c>
      <c r="J4" s="430" t="inlineStr">
        <is>
          <t>Q4FY25</t>
        </is>
      </c>
      <c r="K4" s="430" t="inlineStr">
        <is>
          <t>H1FY26</t>
        </is>
      </c>
      <c r="L4" s="430" t="inlineStr">
        <is>
          <t>upto Q3FY26</t>
        </is>
      </c>
      <c r="M4" s="430" t="inlineStr">
        <is>
          <t>Q4FY26</t>
        </is>
      </c>
      <c r="N4" s="16" t="inlineStr">
        <is>
          <t>Q4 Growth</t>
        </is>
      </c>
      <c r="O4" s="10" t="n"/>
      <c r="P4" s="429" t="inlineStr">
        <is>
          <t>FY23</t>
        </is>
      </c>
      <c r="Q4" s="430" t="inlineStr">
        <is>
          <t>FY24</t>
        </is>
      </c>
      <c r="R4" s="430" t="inlineStr">
        <is>
          <t>FY25</t>
        </is>
      </c>
      <c r="S4" s="430" t="inlineStr">
        <is>
          <t>FY26</t>
        </is>
      </c>
      <c r="T4" s="16" t="inlineStr">
        <is>
          <t>FY26 growth</t>
        </is>
      </c>
      <c r="U4" s="430" t="inlineStr">
        <is>
          <t>H1FY25</t>
        </is>
      </c>
      <c r="V4" s="430" t="inlineStr">
        <is>
          <t>upto Q3FY25</t>
        </is>
      </c>
      <c r="W4" s="430" t="inlineStr">
        <is>
          <t>Q4FY25</t>
        </is>
      </c>
      <c r="X4" s="430" t="inlineStr">
        <is>
          <t>H1FY26</t>
        </is>
      </c>
      <c r="Y4" s="430" t="inlineStr">
        <is>
          <t>upto Q3FY26</t>
        </is>
      </c>
      <c r="Z4" s="430" t="inlineStr">
        <is>
          <t>Q4FY26</t>
        </is>
      </c>
      <c r="AA4" s="16" t="inlineStr">
        <is>
          <t>Q4 growth</t>
        </is>
      </c>
      <c r="AB4" s="10" t="n"/>
      <c r="AC4" s="463" t="inlineStr">
        <is>
          <t>FY23</t>
        </is>
      </c>
      <c r="AD4" s="464" t="inlineStr">
        <is>
          <t>FY24</t>
        </is>
      </c>
      <c r="AE4" s="464" t="inlineStr">
        <is>
          <t>FY25</t>
        </is>
      </c>
      <c r="AF4" s="430" t="inlineStr">
        <is>
          <t>FY26</t>
        </is>
      </c>
      <c r="AG4" s="16" t="inlineStr">
        <is>
          <t>FY26 growth</t>
        </is>
      </c>
      <c r="AH4" s="430" t="inlineStr">
        <is>
          <t>Q1FY25</t>
        </is>
      </c>
      <c r="AI4" s="430" t="inlineStr">
        <is>
          <t>YTD Q3 FY25</t>
        </is>
      </c>
      <c r="AJ4" s="430" t="inlineStr">
        <is>
          <t>Q4FY25</t>
        </is>
      </c>
      <c r="AK4" s="430" t="inlineStr">
        <is>
          <t>Q1FY26</t>
        </is>
      </c>
      <c r="AL4" s="430" t="inlineStr">
        <is>
          <t>YTD Q3FY26</t>
        </is>
      </c>
      <c r="AM4" s="430" t="inlineStr">
        <is>
          <t>Q4FY26</t>
        </is>
      </c>
      <c r="AN4" s="16" t="inlineStr">
        <is>
          <t>Q4 growth</t>
        </is>
      </c>
      <c r="AO4" s="10" t="n"/>
      <c r="AP4" s="463" t="inlineStr">
        <is>
          <t>FY23</t>
        </is>
      </c>
      <c r="AQ4" s="464" t="inlineStr">
        <is>
          <t>FY24</t>
        </is>
      </c>
      <c r="AR4" s="464" t="inlineStr">
        <is>
          <t>FY25</t>
        </is>
      </c>
      <c r="AS4" s="16" t="inlineStr">
        <is>
          <t>YoY growth</t>
        </is>
      </c>
      <c r="AT4" s="430" t="inlineStr">
        <is>
          <t>Q1FY25</t>
        </is>
      </c>
      <c r="AU4" s="430" t="inlineStr">
        <is>
          <t>Q1FY26</t>
        </is>
      </c>
      <c r="AV4" s="16" t="inlineStr">
        <is>
          <t>YoY growth</t>
        </is>
      </c>
      <c r="AW4" s="10" t="n"/>
      <c r="AX4" s="463" t="inlineStr">
        <is>
          <t>FY23</t>
        </is>
      </c>
      <c r="AY4" s="464" t="inlineStr">
        <is>
          <t>FY24</t>
        </is>
      </c>
      <c r="AZ4" s="464" t="inlineStr">
        <is>
          <t>FY25</t>
        </is>
      </c>
      <c r="BA4" s="16" t="inlineStr">
        <is>
          <t>YoY growth</t>
        </is>
      </c>
      <c r="BB4" s="430" t="inlineStr">
        <is>
          <t>Q1FY25</t>
        </is>
      </c>
      <c r="BC4" s="430" t="inlineStr">
        <is>
          <t>Q1FY26</t>
        </is>
      </c>
      <c r="BD4" s="16" t="inlineStr">
        <is>
          <t>YoY growth</t>
        </is>
      </c>
    </row>
    <row r="5">
      <c r="B5" s="19" t="inlineStr">
        <is>
          <t>Retail GWP</t>
        </is>
      </c>
      <c r="C5" s="465" t="n">
        <v>2969.74</v>
      </c>
      <c r="D5" s="459" t="n">
        <v>3839.73</v>
      </c>
      <c r="E5" s="459" t="n">
        <v>4432.5</v>
      </c>
      <c r="F5" s="459" t="n">
        <v>5747.59</v>
      </c>
      <c r="G5" s="60">
        <f>F5/E5-1</f>
        <v/>
      </c>
      <c r="H5" s="459" t="n">
        <v>2201.31</v>
      </c>
      <c r="I5" s="459" t="n">
        <v>3136</v>
      </c>
      <c r="J5" s="459">
        <f>E5-I5</f>
        <v/>
      </c>
      <c r="K5" s="459" t="n">
        <v>2371.76</v>
      </c>
      <c r="L5" s="459" t="n">
        <v>3817.38</v>
      </c>
      <c r="M5" s="459">
        <f>F5-L5</f>
        <v/>
      </c>
      <c r="N5" s="60">
        <f>M5/J5-1</f>
        <v/>
      </c>
      <c r="O5" s="10" t="n"/>
      <c r="P5" s="465" t="n">
        <v>11947.5</v>
      </c>
      <c r="Q5" s="459" t="n">
        <v>13951.2</v>
      </c>
      <c r="R5" s="459" t="n">
        <v>15413</v>
      </c>
      <c r="S5" s="459">
        <f>'FY26 GWP'!N29</f>
        <v/>
      </c>
      <c r="T5" s="60">
        <f>S5/R5-1</f>
        <v/>
      </c>
      <c r="U5" s="459">
        <f>'FY26 GWP'!E29</f>
        <v/>
      </c>
      <c r="V5" s="459" t="n"/>
      <c r="W5" s="459">
        <f>'FY26 GWP'!G29</f>
        <v/>
      </c>
      <c r="X5" s="459">
        <f>'FY26 GWP'!K29</f>
        <v/>
      </c>
      <c r="Y5" s="459" t="n"/>
      <c r="Z5" s="459">
        <f>'FY26 GWP'!M29</f>
        <v/>
      </c>
      <c r="AA5" s="60">
        <f>Z5/W5-1</f>
        <v/>
      </c>
      <c r="AB5" s="10" t="n"/>
      <c r="AC5" s="465" t="n">
        <v>2727.7</v>
      </c>
      <c r="AD5" s="459" t="n">
        <v>3973.83</v>
      </c>
      <c r="AE5" s="459" t="n">
        <v>5111.36</v>
      </c>
      <c r="AF5" s="459">
        <f>'FY26 GWP'!N30</f>
        <v/>
      </c>
      <c r="AG5" s="60">
        <f>AF5/AE5-1</f>
        <v/>
      </c>
      <c r="AH5" s="459">
        <f>'Q1''26 GWP'!F30</f>
        <v/>
      </c>
      <c r="AI5" s="459" t="n"/>
      <c r="AJ5" s="459">
        <f>'FY26 GWP'!G30</f>
        <v/>
      </c>
      <c r="AK5" s="459">
        <f>'Q1''26 GWP'!J30</f>
        <v/>
      </c>
      <c r="AL5" s="459" t="n"/>
      <c r="AM5" s="459">
        <f>'FY26 GWP'!M30</f>
        <v/>
      </c>
      <c r="AN5" s="60">
        <f>AM5/AJ5-1</f>
        <v/>
      </c>
      <c r="AO5" s="10" t="n"/>
      <c r="AP5" s="465" t="n">
        <v>578.5700000000001</v>
      </c>
      <c r="AQ5" s="459" t="n">
        <v>746.08</v>
      </c>
      <c r="AR5" s="459" t="n">
        <v>841.12</v>
      </c>
      <c r="AS5" s="60">
        <f>AR5/AQ5-1</f>
        <v/>
      </c>
      <c r="AT5" s="459" t="n"/>
      <c r="AU5" s="459" t="n"/>
      <c r="AV5" s="60">
        <f>AU5/AT5-1</f>
        <v/>
      </c>
      <c r="AW5" s="10" t="n"/>
      <c r="AX5" s="465" t="n">
        <v>835.36</v>
      </c>
      <c r="AY5" s="459" t="n">
        <v>1127.23</v>
      </c>
      <c r="AZ5" s="459" t="n">
        <v>1440.17</v>
      </c>
      <c r="BA5" s="60">
        <f>AZ5/AY5-1</f>
        <v/>
      </c>
      <c r="BB5" s="459" t="n"/>
      <c r="BC5" s="459" t="n"/>
      <c r="BD5" s="60">
        <f>BC5/BB5-1</f>
        <v/>
      </c>
    </row>
    <row r="6">
      <c r="B6" s="19" t="inlineStr">
        <is>
          <t>Group and others GWP</t>
        </is>
      </c>
      <c r="C6" s="465">
        <f>C7-C5</f>
        <v/>
      </c>
      <c r="D6" s="459">
        <f>D7-D5</f>
        <v/>
      </c>
      <c r="E6" s="459">
        <f>E7-E5</f>
        <v/>
      </c>
      <c r="F6" s="459">
        <f>F7-F5</f>
        <v/>
      </c>
      <c r="G6" s="60">
        <f>F6/E6-1</f>
        <v/>
      </c>
      <c r="H6" s="459">
        <f>H7-H5</f>
        <v/>
      </c>
      <c r="I6" s="459">
        <f>I7-I5</f>
        <v/>
      </c>
      <c r="J6" s="459">
        <f>J7-J5</f>
        <v/>
      </c>
      <c r="K6" s="459">
        <f>K7-K5</f>
        <v/>
      </c>
      <c r="L6" s="459">
        <f>L7-L5</f>
        <v/>
      </c>
      <c r="M6" s="459">
        <f>M7-M5</f>
        <v/>
      </c>
      <c r="N6" s="60">
        <f>M6/J6-1</f>
        <v/>
      </c>
      <c r="O6" s="10" t="n"/>
      <c r="P6" s="465">
        <f>P7-P5</f>
        <v/>
      </c>
      <c r="Q6" s="459">
        <f>Q7-Q5</f>
        <v/>
      </c>
      <c r="R6" s="459">
        <f>R7-R5</f>
        <v/>
      </c>
      <c r="S6" s="459">
        <f>S7-S5</f>
        <v/>
      </c>
      <c r="T6" s="60">
        <f>S6/R6-1</f>
        <v/>
      </c>
      <c r="U6" s="459">
        <f>U7-U5</f>
        <v/>
      </c>
      <c r="V6" s="459" t="n"/>
      <c r="W6" s="459">
        <f>W7-W5</f>
        <v/>
      </c>
      <c r="X6" s="459">
        <f>X7-X5</f>
        <v/>
      </c>
      <c r="Y6" s="459" t="n"/>
      <c r="Z6" s="459">
        <f>Z7-Z5</f>
        <v/>
      </c>
      <c r="AA6" s="60">
        <f>Z6/W6-1</f>
        <v/>
      </c>
      <c r="AB6" s="10" t="n"/>
      <c r="AC6" s="465">
        <f>AC7-AC5</f>
        <v/>
      </c>
      <c r="AD6" s="459">
        <f>AD7-AD5</f>
        <v/>
      </c>
      <c r="AE6" s="459">
        <f>AE7-AE5</f>
        <v/>
      </c>
      <c r="AF6" s="459">
        <f>AF7-AF5</f>
        <v/>
      </c>
      <c r="AG6" s="60">
        <f>AF6/AE6-1</f>
        <v/>
      </c>
      <c r="AH6" s="459">
        <f>AH7-AH5</f>
        <v/>
      </c>
      <c r="AI6" s="459" t="n"/>
      <c r="AJ6" s="459">
        <f>AJ7-AJ5</f>
        <v/>
      </c>
      <c r="AK6" s="459">
        <f>AK7-AK5</f>
        <v/>
      </c>
      <c r="AL6" s="459" t="n"/>
      <c r="AM6" s="459">
        <f>AM7-AM5</f>
        <v/>
      </c>
      <c r="AN6" s="60">
        <f>AM6/AJ6-1</f>
        <v/>
      </c>
      <c r="AO6" s="10" t="n"/>
      <c r="AP6" s="465" t="n">
        <v>748.78</v>
      </c>
      <c r="AQ6" s="459" t="n">
        <v>909.84</v>
      </c>
      <c r="AR6" s="459" t="n">
        <v>923.59</v>
      </c>
      <c r="AS6" s="60">
        <f>AR6/AQ6-1</f>
        <v/>
      </c>
      <c r="AT6" s="459" t="n"/>
      <c r="AU6" s="459" t="n"/>
      <c r="AV6" s="60">
        <f>AU6/AT6-1</f>
        <v/>
      </c>
      <c r="AW6" s="10" t="n"/>
      <c r="AX6" s="465" t="n">
        <v>1721.15</v>
      </c>
      <c r="AY6" s="459" t="n">
        <v>2319.92</v>
      </c>
      <c r="AZ6" s="459" t="n">
        <v>2956.87</v>
      </c>
      <c r="BA6" s="60">
        <f>AZ6/AY6-1</f>
        <v/>
      </c>
      <c r="BB6" s="459" t="n"/>
      <c r="BC6" s="459" t="n"/>
      <c r="BD6" s="60">
        <f>BC6/BB6-1</f>
        <v/>
      </c>
    </row>
    <row r="7">
      <c r="B7" s="22" t="inlineStr">
        <is>
          <t>Total GWP</t>
        </is>
      </c>
      <c r="C7" s="466" t="n">
        <v>4073</v>
      </c>
      <c r="D7" s="467" t="n">
        <v>5608</v>
      </c>
      <c r="E7" s="467" t="n">
        <v>6762.23</v>
      </c>
      <c r="F7" s="467" t="n">
        <v>8585.92</v>
      </c>
      <c r="G7" s="25">
        <f>F7/E7-1</f>
        <v/>
      </c>
      <c r="H7" s="467" t="n">
        <v>3241.51</v>
      </c>
      <c r="I7" s="467" t="n">
        <v>4591.58</v>
      </c>
      <c r="J7" s="467">
        <f>E7-I7</f>
        <v/>
      </c>
      <c r="K7" s="467" t="n">
        <v>3474.57</v>
      </c>
      <c r="L7" s="467" t="n">
        <v>5633.17</v>
      </c>
      <c r="M7" s="467">
        <f>F7-L7</f>
        <v/>
      </c>
      <c r="N7" s="25">
        <f>M7/J7-1</f>
        <v/>
      </c>
      <c r="O7" s="26" t="n"/>
      <c r="P7" s="466" t="n">
        <v>12952</v>
      </c>
      <c r="Q7" s="467" t="n">
        <v>15255</v>
      </c>
      <c r="R7" s="467" t="n">
        <v>16716.2</v>
      </c>
      <c r="S7" s="467" t="n">
        <v>18605.53</v>
      </c>
      <c r="T7" s="25">
        <f>S7/R7-1</f>
        <v/>
      </c>
      <c r="U7" s="467">
        <f>'FY26 GWP'!E5</f>
        <v/>
      </c>
      <c r="V7" s="467" t="n">
        <v>11603.14</v>
      </c>
      <c r="W7" s="467">
        <f>R7-V7</f>
        <v/>
      </c>
      <c r="X7" s="467">
        <f>'FY26 GWP'!K5</f>
        <v/>
      </c>
      <c r="Y7" s="467" t="n">
        <v>12638.44</v>
      </c>
      <c r="Z7" s="467">
        <f>S7-Y7</f>
        <v/>
      </c>
      <c r="AA7" s="25">
        <f>Z7/W7-1</f>
        <v/>
      </c>
      <c r="AB7" s="26" t="n"/>
      <c r="AC7" s="466" t="n">
        <v>5142</v>
      </c>
      <c r="AD7" s="467" t="n">
        <v>6864</v>
      </c>
      <c r="AE7" s="467" t="n">
        <v>8318.25</v>
      </c>
      <c r="AF7" s="467" t="n">
        <v>10031.29</v>
      </c>
      <c r="AG7" s="25">
        <f>AF7/AE7-1</f>
        <v/>
      </c>
      <c r="AH7" s="467" t="n">
        <v>1931</v>
      </c>
      <c r="AI7" s="467" t="n">
        <v>5996.67</v>
      </c>
      <c r="AJ7" s="467">
        <f>AE7-AI7</f>
        <v/>
      </c>
      <c r="AK7" s="467" t="n">
        <v>2049</v>
      </c>
      <c r="AL7" s="467" t="n">
        <v>6878.91</v>
      </c>
      <c r="AM7" s="467">
        <f>AF7-AL7</f>
        <v/>
      </c>
      <c r="AN7" s="25">
        <f>AM7/AJ7-1</f>
        <v/>
      </c>
      <c r="AO7" s="26" t="n"/>
      <c r="AP7" s="466" t="n">
        <v>1359.7912</v>
      </c>
      <c r="AQ7" s="467" t="n">
        <v>1691.5</v>
      </c>
      <c r="AR7" s="467" t="n">
        <v>1797</v>
      </c>
      <c r="AS7" s="25">
        <f>AR7/AQ7-1</f>
        <v/>
      </c>
      <c r="AT7" s="467">
        <f>#REF!+#REF!</f>
        <v/>
      </c>
      <c r="AU7" s="467">
        <f>#REF!+#REF!</f>
        <v/>
      </c>
      <c r="AV7" s="25">
        <f>AU7/AT7-1</f>
        <v/>
      </c>
      <c r="AW7" s="26" t="n"/>
      <c r="AX7" s="466" t="n">
        <v>2717.03</v>
      </c>
      <c r="AY7" s="467" t="n">
        <v>3701.31</v>
      </c>
      <c r="AZ7" s="467" t="n">
        <v>4821.7</v>
      </c>
      <c r="BA7" s="25">
        <f>AZ7/AY7-1</f>
        <v/>
      </c>
      <c r="BB7" s="467">
        <f>#REF!+#REF!</f>
        <v/>
      </c>
      <c r="BC7" s="467">
        <f>#REF!+#REF!</f>
        <v/>
      </c>
      <c r="BD7" s="25">
        <f>BC7/BB7-1</f>
        <v/>
      </c>
    </row>
    <row r="8">
      <c r="B8" s="28" t="inlineStr">
        <is>
          <t>Retail market share %</t>
        </is>
      </c>
      <c r="C8" s="7" t="n">
        <v>0.08382846798671838</v>
      </c>
      <c r="D8" s="351" t="n">
        <v>0.0909881079185362</v>
      </c>
      <c r="E8" s="351" t="n">
        <v>0.09372765840291453</v>
      </c>
      <c r="F8" s="351">
        <f>'Industry Growth'!P56</f>
        <v/>
      </c>
      <c r="G8" s="29" t="n"/>
      <c r="H8" s="351">
        <f>H5/'FY26 GWP'!E48</f>
        <v/>
      </c>
      <c r="I8" s="351" t="n"/>
      <c r="J8" s="351">
        <f>J5/'FY26 GWP'!G48</f>
        <v/>
      </c>
      <c r="K8" s="351">
        <f>K5/'FY26 GWP'!K48</f>
        <v/>
      </c>
      <c r="L8" s="351" t="n"/>
      <c r="M8" s="351">
        <f>M5/'FY26 GWP'!M48</f>
        <v/>
      </c>
      <c r="N8" s="29" t="n"/>
      <c r="O8" s="10" t="n"/>
      <c r="P8" s="7" t="n">
        <v>0.3372485878465178</v>
      </c>
      <c r="Q8" s="351" t="n">
        <v>0.3305944145013015</v>
      </c>
      <c r="R8" s="351" t="n">
        <v>0.3259163900652277</v>
      </c>
      <c r="S8" s="351">
        <f>'Industry Growth'!P54</f>
        <v/>
      </c>
      <c r="T8" s="29" t="n"/>
      <c r="U8" s="351">
        <f>U5/'FY26 GWP'!E48</f>
        <v/>
      </c>
      <c r="V8" s="351" t="n"/>
      <c r="W8" s="351">
        <f>W5/'FY26 GWP'!G48</f>
        <v/>
      </c>
      <c r="X8" s="351">
        <f>X5/'FY26 GWP'!K48</f>
        <v/>
      </c>
      <c r="Y8" s="351" t="n"/>
      <c r="Z8" s="351">
        <f>Z5/'FY26 GWP'!M48</f>
        <v/>
      </c>
      <c r="AA8" s="29" t="n"/>
      <c r="AB8" s="10" t="n"/>
      <c r="AC8" s="7" t="n">
        <v>0.07699627311730041</v>
      </c>
      <c r="AD8" s="351" t="n">
        <v>0.09416580668169812</v>
      </c>
      <c r="AE8" s="351" t="n">
        <v>0.108</v>
      </c>
      <c r="AF8" s="351">
        <f>'Industry Growth'!P55</f>
        <v/>
      </c>
      <c r="AG8" s="29" t="n"/>
      <c r="AH8" s="351">
        <f>AH5/'Q1''26 GWP'!F48</f>
        <v/>
      </c>
      <c r="AI8" s="351" t="n"/>
      <c r="AJ8" s="351">
        <f>AJ5/'FY26 GWP'!G48</f>
        <v/>
      </c>
      <c r="AK8" s="351">
        <f>AK5/'Q1''26 GWP'!J48</f>
        <v/>
      </c>
      <c r="AL8" s="351" t="n"/>
      <c r="AM8" s="351">
        <f>AM5/'FY26 GWP'!M48</f>
        <v/>
      </c>
      <c r="AN8" s="29" t="n"/>
      <c r="AO8" s="10" t="n"/>
      <c r="AP8" s="7" t="n">
        <v>0.016</v>
      </c>
      <c r="AQ8" s="351" t="n">
        <v>0.0177</v>
      </c>
      <c r="AR8" s="351" t="n">
        <v>0.0178</v>
      </c>
      <c r="AS8" s="29" t="n"/>
      <c r="AT8" s="351" t="n"/>
      <c r="AU8" s="351" t="n"/>
      <c r="AV8" s="29" t="n"/>
      <c r="AW8" s="10" t="n"/>
      <c r="AX8" s="7" t="n">
        <v>0.024</v>
      </c>
      <c r="AY8" s="351" t="n">
        <v>0.027</v>
      </c>
      <c r="AZ8" s="351" t="n">
        <v>0.03</v>
      </c>
      <c r="BA8" s="29" t="n"/>
      <c r="BB8" s="351" t="n"/>
      <c r="BC8" s="351" t="n"/>
      <c r="BD8" s="29" t="n"/>
    </row>
    <row r="9">
      <c r="B9" s="28" t="inlineStr">
        <is>
          <t>Overall health market share %</t>
        </is>
      </c>
      <c r="C9" s="7" t="n">
        <v>0.04404396289002802</v>
      </c>
      <c r="D9" s="351" t="n">
        <v>0.05059216953365934</v>
      </c>
      <c r="E9" s="351" t="n">
        <v>0.0558989396900814</v>
      </c>
      <c r="F9" s="351" t="n">
        <v>0.06183013152700445</v>
      </c>
      <c r="G9" s="29" t="n"/>
      <c r="H9" s="351">
        <f>H7/'FY26 GWP'!E24</f>
        <v/>
      </c>
      <c r="I9" s="351" t="n"/>
      <c r="J9" s="351">
        <f>J7/'FY26 GWP'!G24</f>
        <v/>
      </c>
      <c r="K9" s="351">
        <f>H7/'FY26 GWP'!K24</f>
        <v/>
      </c>
      <c r="L9" s="351" t="n"/>
      <c r="M9" s="351">
        <f>M7/'FY26 GWP'!M24</f>
        <v/>
      </c>
      <c r="N9" s="29" t="n"/>
      <c r="O9" s="10" t="n"/>
      <c r="P9" s="7" t="n">
        <v>0.1407145817208382</v>
      </c>
      <c r="Q9" s="351" t="n">
        <v>0.1379669101346806</v>
      </c>
      <c r="R9" s="351" t="n">
        <v>0.1392</v>
      </c>
      <c r="S9" s="351" t="n">
        <v>0.1344205956259553</v>
      </c>
      <c r="T9" s="29" t="n"/>
      <c r="U9" s="351">
        <f>U7/'FY26 GWP'!E24</f>
        <v/>
      </c>
      <c r="V9" s="351" t="n"/>
      <c r="W9" s="351">
        <f>W7/'FY26 GWP'!G24</f>
        <v/>
      </c>
      <c r="X9" s="351">
        <f>X7/'FY26 GWP'!K24</f>
        <v/>
      </c>
      <c r="Y9" s="351" t="n"/>
      <c r="Z9" s="351">
        <f>Z7/'FY26 GWP'!M24</f>
        <v/>
      </c>
      <c r="AA9" s="29" t="n"/>
      <c r="AB9" s="10" t="n"/>
      <c r="AC9" s="7" t="n">
        <v>0.05316504592639753</v>
      </c>
      <c r="AD9" s="351" t="n">
        <v>0.06107536970862092</v>
      </c>
      <c r="AE9" s="351" t="n">
        <v>0.0685440323591428</v>
      </c>
      <c r="AF9" s="351" t="n">
        <v>0.07122708420012008</v>
      </c>
      <c r="AG9" s="29" t="n"/>
      <c r="AH9" s="351">
        <f>AH7/'Q1''26 GWP'!F24</f>
        <v/>
      </c>
      <c r="AI9" s="351" t="n"/>
      <c r="AJ9" s="351">
        <f>AJ7/'FY26 GWP'!G24</f>
        <v/>
      </c>
      <c r="AK9" s="351">
        <f>AK7/'Q1''26 GWP'!J24</f>
        <v/>
      </c>
      <c r="AL9" s="351" t="n"/>
      <c r="AM9" s="351">
        <f>AM7/'FY26 GWP'!M24</f>
        <v/>
      </c>
      <c r="AN9" s="29" t="n"/>
      <c r="AO9" s="10" t="n"/>
      <c r="AP9" s="7" t="n">
        <v>0.0147</v>
      </c>
      <c r="AQ9" s="351" t="n">
        <v>0.0152</v>
      </c>
      <c r="AR9" s="351" t="n">
        <v>0.0149</v>
      </c>
      <c r="AS9" s="29" t="n"/>
      <c r="AT9" s="351" t="n"/>
      <c r="AU9" s="351" t="n"/>
      <c r="AV9" s="29" t="n"/>
      <c r="AW9" s="10" t="n"/>
      <c r="AX9" s="7" t="n">
        <v>0.028</v>
      </c>
      <c r="AY9" s="351" t="n">
        <v>0.032</v>
      </c>
      <c r="AZ9" s="351" t="n">
        <v>0.037</v>
      </c>
      <c r="BA9" s="29" t="n"/>
      <c r="BB9" s="351" t="n"/>
      <c r="BC9" s="351" t="n"/>
      <c r="BD9" s="29" t="n"/>
    </row>
    <row r="10" ht="5.15" customHeight="1">
      <c r="B10" s="30" t="n"/>
      <c r="C10" s="468" t="n"/>
      <c r="D10" s="469" t="n"/>
      <c r="E10" s="469" t="n"/>
      <c r="F10" s="469" t="n"/>
      <c r="G10" s="33" t="n"/>
      <c r="H10" s="469" t="n"/>
      <c r="I10" s="469" t="n"/>
      <c r="J10" s="469" t="n"/>
      <c r="K10" s="469" t="n"/>
      <c r="L10" s="469" t="n"/>
      <c r="M10" s="469" t="n"/>
      <c r="N10" s="33" t="n"/>
      <c r="O10" s="10" t="n"/>
      <c r="P10" s="468" t="n"/>
      <c r="Q10" s="469" t="n"/>
      <c r="R10" s="469" t="n"/>
      <c r="S10" s="469" t="n"/>
      <c r="T10" s="33" t="n"/>
      <c r="U10" s="469" t="n"/>
      <c r="V10" s="469" t="n"/>
      <c r="W10" s="469" t="n"/>
      <c r="X10" s="469" t="n"/>
      <c r="Y10" s="469" t="n"/>
      <c r="Z10" s="469" t="n"/>
      <c r="AA10" s="33" t="n"/>
      <c r="AB10" s="10" t="n"/>
      <c r="AC10" s="468" t="n"/>
      <c r="AD10" s="469" t="n"/>
      <c r="AE10" s="469" t="n"/>
      <c r="AF10" s="469" t="n"/>
      <c r="AG10" s="33" t="n"/>
      <c r="AH10" s="469" t="n"/>
      <c r="AI10" s="469" t="n"/>
      <c r="AJ10" s="469" t="n"/>
      <c r="AK10" s="469" t="n"/>
      <c r="AL10" s="469" t="n"/>
      <c r="AM10" s="469" t="n"/>
      <c r="AN10" s="33" t="n"/>
      <c r="AO10" s="10" t="n"/>
      <c r="AP10" s="468" t="n"/>
      <c r="AQ10" s="469" t="n"/>
      <c r="AR10" s="469" t="n"/>
      <c r="AS10" s="33" t="n"/>
      <c r="AT10" s="469" t="n"/>
      <c r="AU10" s="469" t="n"/>
      <c r="AV10" s="33" t="n"/>
      <c r="AW10" s="10" t="n"/>
      <c r="AX10" s="468" t="n"/>
      <c r="AY10" s="469" t="n"/>
      <c r="AZ10" s="469" t="n"/>
      <c r="BA10" s="33" t="n"/>
      <c r="BB10" s="469" t="n"/>
      <c r="BC10" s="469" t="n"/>
      <c r="BD10" s="33" t="n"/>
    </row>
    <row r="11">
      <c r="B11" s="19" t="inlineStr">
        <is>
          <t>NWP</t>
        </is>
      </c>
      <c r="C11" s="465" t="n">
        <v>3183</v>
      </c>
      <c r="D11" s="459" t="n">
        <v>4421</v>
      </c>
      <c r="E11" s="459" t="n">
        <v>5369.43</v>
      </c>
      <c r="F11" s="459" t="n">
        <v>6806.3</v>
      </c>
      <c r="G11" s="60">
        <f>F11/E11-1</f>
        <v/>
      </c>
      <c r="H11" s="459" t="n">
        <v>2544.89</v>
      </c>
      <c r="I11" s="459" t="n"/>
      <c r="J11" s="459" t="n">
        <v>1672.1</v>
      </c>
      <c r="K11" s="459" t="n">
        <v>2737.93</v>
      </c>
      <c r="L11" s="459" t="n"/>
      <c r="M11" s="459" t="n">
        <v>2301.7</v>
      </c>
      <c r="N11" s="60">
        <f>M11/J11-1</f>
        <v/>
      </c>
      <c r="O11" s="10" t="n"/>
      <c r="P11" s="465" t="n">
        <v>12319</v>
      </c>
      <c r="Q11" s="459" t="n">
        <v>14067</v>
      </c>
      <c r="R11" s="459" t="n">
        <v>15525.22</v>
      </c>
      <c r="S11" s="459" t="n">
        <v>17650.25</v>
      </c>
      <c r="T11" s="60">
        <f>S11/R11-1</f>
        <v/>
      </c>
      <c r="U11" s="459" t="n"/>
      <c r="V11" s="459" t="n"/>
      <c r="W11" s="459" t="n">
        <v>4360.91</v>
      </c>
      <c r="X11" s="459" t="n"/>
      <c r="Y11" s="459" t="n"/>
      <c r="Z11" s="459" t="n">
        <v>5598.57</v>
      </c>
      <c r="AA11" s="60">
        <f>Z11/W11-1</f>
        <v/>
      </c>
      <c r="AB11" s="10" t="n"/>
      <c r="AC11" s="465" t="n">
        <v>4591</v>
      </c>
      <c r="AD11" s="459" t="n">
        <v>6047</v>
      </c>
      <c r="AE11" s="459" t="n">
        <v>6732.71</v>
      </c>
      <c r="AF11" s="459">
        <f>AF7*80%</f>
        <v/>
      </c>
      <c r="AG11" s="60">
        <f>AF11/AE11-1</f>
        <v/>
      </c>
      <c r="AH11" s="459" t="n">
        <v>1716</v>
      </c>
      <c r="AI11" s="459" t="n"/>
      <c r="AJ11" s="459" t="n">
        <v>1805.54</v>
      </c>
      <c r="AK11" s="459" t="n">
        <v>1652</v>
      </c>
      <c r="AL11" s="459" t="n"/>
      <c r="AM11" s="459">
        <f>AM7*80%</f>
        <v/>
      </c>
      <c r="AN11" s="60">
        <f>AM11/AJ11-1</f>
        <v/>
      </c>
      <c r="AO11" s="10" t="n"/>
      <c r="AP11" s="465" t="n">
        <v>1301.1534</v>
      </c>
      <c r="AQ11" s="459" t="n">
        <v>1617.9101</v>
      </c>
      <c r="AR11" s="459" t="n">
        <v>1876.34</v>
      </c>
      <c r="AS11" s="60">
        <f>AR11/AQ11-1</f>
        <v/>
      </c>
      <c r="AT11" s="459" t="n"/>
      <c r="AU11" s="459" t="n"/>
      <c r="AV11" s="60">
        <f>AU11/AT11-1</f>
        <v/>
      </c>
      <c r="AW11" s="10" t="n"/>
      <c r="AX11" s="465" t="n">
        <v>2254.77</v>
      </c>
      <c r="AY11" s="459" t="n">
        <v>2930.9</v>
      </c>
      <c r="AZ11" s="459" t="n">
        <v>3647.29</v>
      </c>
      <c r="BA11" s="60">
        <f>AZ11/AY11-1</f>
        <v/>
      </c>
      <c r="BB11" s="459" t="n"/>
      <c r="BC11" s="459" t="n"/>
      <c r="BD11" s="60">
        <f>BC11/BB11-1</f>
        <v/>
      </c>
    </row>
    <row r="12">
      <c r="B12" s="19" t="inlineStr">
        <is>
          <t>NEP</t>
        </is>
      </c>
      <c r="C12" s="465" t="n">
        <v>2663</v>
      </c>
      <c r="D12" s="459" t="n">
        <v>3811</v>
      </c>
      <c r="E12" s="459" t="n">
        <v>4894.46</v>
      </c>
      <c r="F12" s="459" t="n">
        <v>6067.6</v>
      </c>
      <c r="G12" s="60">
        <f>F12/E12-1</f>
        <v/>
      </c>
      <c r="H12" s="459" t="n">
        <v>2231.24</v>
      </c>
      <c r="I12" s="459" t="n"/>
      <c r="J12" s="459" t="n">
        <v>1527.5</v>
      </c>
      <c r="K12" s="459" t="n">
        <v>2642.04</v>
      </c>
      <c r="L12" s="459" t="n"/>
      <c r="M12" s="459" t="n">
        <v>1972</v>
      </c>
      <c r="N12" s="60">
        <f>M12/J12-1</f>
        <v/>
      </c>
      <c r="O12" s="10" t="n"/>
      <c r="P12" s="465" t="n">
        <v>11262</v>
      </c>
      <c r="Q12" s="459" t="n">
        <v>12938</v>
      </c>
      <c r="R12" s="459" t="n">
        <v>14822.2</v>
      </c>
      <c r="S12" s="459" t="n">
        <v>16597</v>
      </c>
      <c r="T12" s="60">
        <f>S12/R12-1</f>
        <v/>
      </c>
      <c r="U12" s="459" t="n"/>
      <c r="V12" s="459" t="n"/>
      <c r="W12" s="459" t="n">
        <v>4250.44</v>
      </c>
      <c r="X12" s="459" t="n"/>
      <c r="Y12" s="459" t="n"/>
      <c r="Z12" s="459" t="n">
        <v>4327.15</v>
      </c>
      <c r="AA12" s="60">
        <f>Z12/W12-1</f>
        <v/>
      </c>
      <c r="AB12" s="10" t="n"/>
      <c r="AC12" s="465" t="n">
        <v>3932</v>
      </c>
      <c r="AD12" s="459" t="n">
        <v>5329</v>
      </c>
      <c r="AE12" s="459" t="n">
        <v>6347.22</v>
      </c>
      <c r="AF12" s="459" t="n">
        <v>7256</v>
      </c>
      <c r="AG12" s="60">
        <f>AF12/AE12-1</f>
        <v/>
      </c>
      <c r="AH12" s="459" t="n">
        <v>1445</v>
      </c>
      <c r="AI12" s="459" t="n"/>
      <c r="AJ12" s="459" t="n">
        <v>1786</v>
      </c>
      <c r="AK12" s="459" t="n">
        <v>1581</v>
      </c>
      <c r="AL12" s="459" t="n"/>
      <c r="AM12" s="459" t="n">
        <v>2133</v>
      </c>
      <c r="AN12" s="60">
        <f>AM12/AJ12-1</f>
        <v/>
      </c>
      <c r="AO12" s="10" t="n"/>
      <c r="AP12" s="465" t="n">
        <v>1117.7741</v>
      </c>
      <c r="AQ12" s="459" t="n">
        <v>1459.2404</v>
      </c>
      <c r="AR12" s="459" t="n">
        <v>1747.44</v>
      </c>
      <c r="AS12" s="60">
        <f>AR12/AQ12-1</f>
        <v/>
      </c>
      <c r="AT12" s="459" t="n"/>
      <c r="AU12" s="459" t="n"/>
      <c r="AV12" s="60">
        <f>AU12/AT12-1</f>
        <v/>
      </c>
      <c r="AW12" s="10" t="n"/>
      <c r="AX12" s="465" t="n">
        <v>1837.8</v>
      </c>
      <c r="AY12" s="459" t="n">
        <v>2600.12</v>
      </c>
      <c r="AZ12" s="459" t="n">
        <v>3304.05</v>
      </c>
      <c r="BA12" s="60">
        <f>AZ12/AY12-1</f>
        <v/>
      </c>
      <c r="BB12" s="459" t="n"/>
      <c r="BC12" s="459" t="n"/>
      <c r="BD12" s="60">
        <f>BC12/BB12-1</f>
        <v/>
      </c>
    </row>
    <row r="13" customFormat="1" s="27">
      <c r="B13" s="28" t="inlineStr">
        <is>
          <t>NWP / GWP (Net retention)</t>
        </is>
      </c>
      <c r="C13" s="35">
        <f>C11/C7</f>
        <v/>
      </c>
      <c r="D13" s="34">
        <f>D11/D7</f>
        <v/>
      </c>
      <c r="E13" s="34">
        <f>E11/E7</f>
        <v/>
      </c>
      <c r="F13" s="34">
        <f>F11/F7</f>
        <v/>
      </c>
      <c r="G13" s="29" t="n"/>
      <c r="H13" s="34">
        <f>H11/H7</f>
        <v/>
      </c>
      <c r="I13" s="34">
        <f>I11/I7</f>
        <v/>
      </c>
      <c r="J13" s="34">
        <f>J11/J7</f>
        <v/>
      </c>
      <c r="K13" s="34">
        <f>K11/K7</f>
        <v/>
      </c>
      <c r="L13" s="34">
        <f>L11/L7</f>
        <v/>
      </c>
      <c r="M13" s="34">
        <f>M11/M7</f>
        <v/>
      </c>
      <c r="N13" s="29" t="n"/>
      <c r="O13" s="36" t="n"/>
      <c r="P13" s="35">
        <f>P11/P7</f>
        <v/>
      </c>
      <c r="Q13" s="34">
        <f>Q11/Q7</f>
        <v/>
      </c>
      <c r="R13" s="34">
        <f>R11/R7</f>
        <v/>
      </c>
      <c r="S13" s="34">
        <f>S11/S7</f>
        <v/>
      </c>
      <c r="T13" s="29" t="n"/>
      <c r="U13" s="34">
        <f>U11/U7</f>
        <v/>
      </c>
      <c r="V13" s="34" t="n"/>
      <c r="W13" s="34">
        <f>W11/W7</f>
        <v/>
      </c>
      <c r="X13" s="34">
        <f>X11/X7</f>
        <v/>
      </c>
      <c r="Y13" s="34">
        <f>Y11/Y7</f>
        <v/>
      </c>
      <c r="Z13" s="34">
        <f>Z11/Z7</f>
        <v/>
      </c>
      <c r="AA13" s="29" t="n"/>
      <c r="AB13" s="36" t="n"/>
      <c r="AC13" s="35">
        <f>AC11/AC7</f>
        <v/>
      </c>
      <c r="AD13" s="34">
        <f>AD11/AD7</f>
        <v/>
      </c>
      <c r="AE13" s="34">
        <f>AE11/AE7</f>
        <v/>
      </c>
      <c r="AF13" s="34">
        <f>AF11/AF7</f>
        <v/>
      </c>
      <c r="AG13" s="29" t="n"/>
      <c r="AH13" s="34">
        <f>AH11/AH7</f>
        <v/>
      </c>
      <c r="AI13" s="34" t="n"/>
      <c r="AJ13" s="34">
        <f>AJ11/AJ7</f>
        <v/>
      </c>
      <c r="AK13" s="34">
        <f>AK11/AK7</f>
        <v/>
      </c>
      <c r="AL13" s="34">
        <f>AL11/AL7</f>
        <v/>
      </c>
      <c r="AM13" s="34">
        <f>AM11/AM7</f>
        <v/>
      </c>
      <c r="AN13" s="29" t="n"/>
      <c r="AO13" s="36" t="n"/>
      <c r="AP13" s="35">
        <f>AP11/AP7</f>
        <v/>
      </c>
      <c r="AQ13" s="34">
        <f>AQ11/AQ7</f>
        <v/>
      </c>
      <c r="AR13" s="34">
        <f>AR11/AR7</f>
        <v/>
      </c>
      <c r="AS13" s="29" t="n"/>
      <c r="AT13" s="34">
        <f>AT11/AT7</f>
        <v/>
      </c>
      <c r="AU13" s="34">
        <f>AU11/AU7</f>
        <v/>
      </c>
      <c r="AV13" s="29" t="n"/>
      <c r="AW13" s="36" t="n"/>
      <c r="AX13" s="35">
        <f>AX11/AX7</f>
        <v/>
      </c>
      <c r="AY13" s="34">
        <f>AY11/AY7</f>
        <v/>
      </c>
      <c r="AZ13" s="34">
        <f>AZ11/AZ7</f>
        <v/>
      </c>
      <c r="BA13" s="29" t="n"/>
      <c r="BB13" s="34">
        <f>BB11/BB7</f>
        <v/>
      </c>
      <c r="BC13" s="34">
        <f>BC11/BC7</f>
        <v/>
      </c>
      <c r="BD13" s="29" t="n"/>
    </row>
    <row r="14" customFormat="1" s="27">
      <c r="B14" s="28" t="inlineStr">
        <is>
          <t>NEP / NWP</t>
        </is>
      </c>
      <c r="C14" s="35">
        <f>C12/C11</f>
        <v/>
      </c>
      <c r="D14" s="34">
        <f>D12/D11</f>
        <v/>
      </c>
      <c r="E14" s="34">
        <f>E12/E11</f>
        <v/>
      </c>
      <c r="F14" s="34">
        <f>F12/F11</f>
        <v/>
      </c>
      <c r="G14" s="29" t="n"/>
      <c r="H14" s="34">
        <f>H12/H11</f>
        <v/>
      </c>
      <c r="I14" s="34">
        <f>I12/I11</f>
        <v/>
      </c>
      <c r="J14" s="34">
        <f>J12/J11</f>
        <v/>
      </c>
      <c r="K14" s="34">
        <f>K12/K11</f>
        <v/>
      </c>
      <c r="L14" s="34">
        <f>L12/L11</f>
        <v/>
      </c>
      <c r="M14" s="34">
        <f>M12/M11</f>
        <v/>
      </c>
      <c r="N14" s="29" t="n"/>
      <c r="O14" s="36" t="n"/>
      <c r="P14" s="35">
        <f>P12/P11</f>
        <v/>
      </c>
      <c r="Q14" s="34">
        <f>Q12/Q11</f>
        <v/>
      </c>
      <c r="R14" s="34">
        <f>R12/R11</f>
        <v/>
      </c>
      <c r="S14" s="34">
        <f>S12/S11</f>
        <v/>
      </c>
      <c r="T14" s="29" t="n"/>
      <c r="U14" s="34">
        <f>U12/U11</f>
        <v/>
      </c>
      <c r="V14" s="34" t="n"/>
      <c r="W14" s="34">
        <f>W12/W11</f>
        <v/>
      </c>
      <c r="X14" s="34">
        <f>X12/X11</f>
        <v/>
      </c>
      <c r="Y14" s="34">
        <f>Y12/Y11</f>
        <v/>
      </c>
      <c r="Z14" s="34">
        <f>Z12/Z11</f>
        <v/>
      </c>
      <c r="AA14" s="29" t="n"/>
      <c r="AB14" s="36" t="n"/>
      <c r="AC14" s="35">
        <f>AC12/AC11</f>
        <v/>
      </c>
      <c r="AD14" s="34">
        <f>AD12/AD11</f>
        <v/>
      </c>
      <c r="AE14" s="34">
        <f>AE12/AE11</f>
        <v/>
      </c>
      <c r="AF14" s="34">
        <f>AF12/AF11</f>
        <v/>
      </c>
      <c r="AG14" s="29" t="n"/>
      <c r="AH14" s="34">
        <f>AH12/AH11</f>
        <v/>
      </c>
      <c r="AI14" s="34" t="n"/>
      <c r="AJ14" s="34">
        <f>AJ12/AJ11</f>
        <v/>
      </c>
      <c r="AK14" s="34">
        <f>AK12/AK11</f>
        <v/>
      </c>
      <c r="AL14" s="34">
        <f>AL12/AL11</f>
        <v/>
      </c>
      <c r="AM14" s="34">
        <f>AM12/AM11</f>
        <v/>
      </c>
      <c r="AN14" s="29" t="n"/>
      <c r="AO14" s="36" t="n"/>
      <c r="AP14" s="35">
        <f>AP12/AP11</f>
        <v/>
      </c>
      <c r="AQ14" s="34">
        <f>AQ12/AQ11</f>
        <v/>
      </c>
      <c r="AR14" s="34">
        <f>AR12/AR11</f>
        <v/>
      </c>
      <c r="AS14" s="29" t="n"/>
      <c r="AT14" s="34">
        <f>AT12/AT11</f>
        <v/>
      </c>
      <c r="AU14" s="34">
        <f>AU12/AU11</f>
        <v/>
      </c>
      <c r="AV14" s="29" t="n"/>
      <c r="AW14" s="36" t="n"/>
      <c r="AX14" s="35">
        <f>AX12/AX11</f>
        <v/>
      </c>
      <c r="AY14" s="34">
        <f>AY12/AY11</f>
        <v/>
      </c>
      <c r="AZ14" s="34">
        <f>AZ12/AZ11</f>
        <v/>
      </c>
      <c r="BA14" s="29" t="n"/>
      <c r="BB14" s="34">
        <f>BB12/BB11</f>
        <v/>
      </c>
      <c r="BC14" s="34">
        <f>BC12/BC11</f>
        <v/>
      </c>
      <c r="BD14" s="29" t="n"/>
    </row>
    <row r="15" ht="5.15" customHeight="1">
      <c r="B15" s="30" t="n"/>
      <c r="C15" s="468" t="n"/>
      <c r="D15" s="469" t="n"/>
      <c r="E15" s="469" t="n"/>
      <c r="F15" s="469" t="n"/>
      <c r="G15" s="33" t="n"/>
      <c r="H15" s="469" t="n"/>
      <c r="I15" s="469" t="n"/>
      <c r="J15" s="469" t="n"/>
      <c r="K15" s="469" t="n"/>
      <c r="L15" s="469" t="n"/>
      <c r="M15" s="469" t="n"/>
      <c r="N15" s="33" t="n"/>
      <c r="O15" s="10" t="n"/>
      <c r="P15" s="468" t="n"/>
      <c r="Q15" s="469" t="n"/>
      <c r="R15" s="469" t="n"/>
      <c r="S15" s="469" t="n"/>
      <c r="T15" s="33" t="n"/>
      <c r="U15" s="469" t="n"/>
      <c r="V15" s="469" t="n"/>
      <c r="W15" s="469" t="n"/>
      <c r="X15" s="469" t="n"/>
      <c r="Y15" s="469" t="n"/>
      <c r="Z15" s="469" t="n"/>
      <c r="AA15" s="33" t="n"/>
      <c r="AB15" s="10" t="n"/>
      <c r="AC15" s="468" t="n"/>
      <c r="AD15" s="469" t="n"/>
      <c r="AE15" s="469" t="n"/>
      <c r="AF15" s="469" t="n"/>
      <c r="AG15" s="33" t="n"/>
      <c r="AH15" s="469" t="n"/>
      <c r="AI15" s="469" t="n"/>
      <c r="AJ15" s="469" t="n"/>
      <c r="AK15" s="469" t="n"/>
      <c r="AL15" s="469" t="n"/>
      <c r="AM15" s="469" t="n"/>
      <c r="AN15" s="33" t="n"/>
      <c r="AO15" s="10" t="n"/>
      <c r="AP15" s="468" t="n"/>
      <c r="AQ15" s="469" t="n"/>
      <c r="AR15" s="469" t="n"/>
      <c r="AS15" s="33" t="n"/>
      <c r="AT15" s="469" t="n"/>
      <c r="AU15" s="469" t="n"/>
      <c r="AV15" s="33" t="n"/>
      <c r="AW15" s="10" t="n"/>
      <c r="AX15" s="468" t="n"/>
      <c r="AY15" s="469" t="n"/>
      <c r="AZ15" s="469" t="n"/>
      <c r="BA15" s="33" t="n"/>
      <c r="BB15" s="469" t="n"/>
      <c r="BC15" s="469" t="n"/>
      <c r="BD15" s="33" t="n"/>
    </row>
    <row r="16" customFormat="1" s="50">
      <c r="B16" s="346" t="inlineStr">
        <is>
          <t>IGAAP</t>
        </is>
      </c>
      <c r="C16" s="65" t="n"/>
      <c r="D16" s="56" t="n"/>
      <c r="E16" s="56" t="n"/>
      <c r="F16" s="345" t="n"/>
      <c r="G16" s="66" t="n"/>
      <c r="H16" s="56" t="n"/>
      <c r="I16" s="56" t="n"/>
      <c r="J16" s="56" t="n"/>
      <c r="K16" s="56" t="n"/>
      <c r="L16" s="56" t="n"/>
      <c r="M16" s="56" t="n"/>
      <c r="N16" s="66" t="n"/>
      <c r="O16" s="49" t="n"/>
      <c r="P16" s="65" t="n"/>
      <c r="Q16" s="56" t="n"/>
      <c r="R16" s="56" t="n"/>
      <c r="S16" s="56" t="n"/>
      <c r="T16" s="66" t="n"/>
      <c r="U16" s="56" t="n"/>
      <c r="V16" s="56" t="n"/>
      <c r="W16" s="56" t="n"/>
      <c r="X16" s="56" t="n"/>
      <c r="Y16" s="56" t="n"/>
      <c r="Z16" s="56" t="n"/>
      <c r="AA16" s="66" t="n"/>
      <c r="AB16" s="49" t="n"/>
      <c r="AC16" s="65" t="n"/>
      <c r="AD16" s="56" t="n"/>
      <c r="AE16" s="56" t="n"/>
      <c r="AF16" s="336" t="n"/>
      <c r="AG16" s="66" t="n"/>
      <c r="AH16" s="56" t="n"/>
      <c r="AI16" s="56" t="n"/>
      <c r="AJ16" s="56" t="n"/>
      <c r="AK16" s="56" t="n"/>
      <c r="AL16" s="56" t="n"/>
      <c r="AM16" s="56" t="n"/>
      <c r="AN16" s="66" t="n"/>
      <c r="AO16" s="49" t="n"/>
      <c r="AP16" s="65" t="n"/>
      <c r="AQ16" s="56" t="n"/>
      <c r="AR16" s="56" t="n"/>
      <c r="AS16" s="66" t="n"/>
      <c r="AT16" s="56" t="n"/>
      <c r="AU16" s="56" t="n"/>
      <c r="AV16" s="66" t="n"/>
      <c r="AW16" s="49" t="n"/>
      <c r="AX16" s="65" t="n"/>
      <c r="AY16" s="56" t="n"/>
      <c r="AZ16" s="56" t="n"/>
      <c r="BA16" s="66" t="n"/>
      <c r="BB16" s="56" t="n"/>
      <c r="BC16" s="56" t="n"/>
      <c r="BD16" s="66" t="n"/>
    </row>
    <row r="17" customFormat="1" s="1">
      <c r="B17" s="37" t="inlineStr">
        <is>
          <t xml:space="preserve">PAT </t>
        </is>
      </c>
      <c r="C17" s="470" t="n">
        <v>12.5</v>
      </c>
      <c r="D17" s="471" t="n">
        <v>81.84999999999999</v>
      </c>
      <c r="E17" s="471" t="n">
        <v>213.5200000000003</v>
      </c>
      <c r="F17" s="471" t="n">
        <v>130.8</v>
      </c>
      <c r="G17" s="40">
        <f>F17/E17-1</f>
        <v/>
      </c>
      <c r="H17" s="471" t="n">
        <v>-5.890000000000082</v>
      </c>
      <c r="I17" s="471" t="n"/>
      <c r="J17" s="471" t="n">
        <v>206.1</v>
      </c>
      <c r="K17" s="471" t="n">
        <v>-126.8600000000001</v>
      </c>
      <c r="L17" s="471" t="n"/>
      <c r="M17" s="471" t="n">
        <v>345.2</v>
      </c>
      <c r="N17" s="40">
        <f>M17/J17-1</f>
        <v/>
      </c>
      <c r="O17" s="41" t="n"/>
      <c r="P17" s="470" t="n">
        <v>619</v>
      </c>
      <c r="Q17" s="471" t="n">
        <v>845</v>
      </c>
      <c r="R17" s="471" t="n">
        <v>645.8599999999999</v>
      </c>
      <c r="S17" s="471" t="n">
        <v>557</v>
      </c>
      <c r="T17" s="40">
        <f>S17/R17-1</f>
        <v/>
      </c>
      <c r="U17" s="471" t="n">
        <v>575</v>
      </c>
      <c r="V17" s="471" t="n"/>
      <c r="W17" s="471" t="n">
        <v>1</v>
      </c>
      <c r="X17" s="471" t="n">
        <v>430</v>
      </c>
      <c r="Y17" s="471" t="n"/>
      <c r="Z17" s="471" t="n">
        <v>111</v>
      </c>
      <c r="AA17" s="40">
        <f>Z17/W17-1</f>
        <v/>
      </c>
      <c r="AB17" s="41" t="n"/>
      <c r="AC17" s="470" t="n">
        <v>246</v>
      </c>
      <c r="AD17" s="471" t="n">
        <v>305</v>
      </c>
      <c r="AE17" s="471" t="n">
        <v>154.8100000000003</v>
      </c>
      <c r="AF17" s="471" t="n">
        <v>12</v>
      </c>
      <c r="AG17" s="40">
        <f>AF17/AE17-1</f>
        <v/>
      </c>
      <c r="AH17" s="471" t="n">
        <v>20</v>
      </c>
      <c r="AI17" s="471" t="n"/>
      <c r="AJ17" s="471" t="n">
        <v>144</v>
      </c>
      <c r="AK17" s="471" t="n">
        <v>-15</v>
      </c>
      <c r="AL17" s="471" t="n"/>
      <c r="AM17" s="471" t="n">
        <v>79</v>
      </c>
      <c r="AN17" s="40">
        <f>AM17/AJ17-1</f>
        <v/>
      </c>
      <c r="AO17" s="41" t="n"/>
      <c r="AP17" s="470" t="n">
        <v>-200.9293999999998</v>
      </c>
      <c r="AQ17" s="471" t="n">
        <v>-131.8339000000001</v>
      </c>
      <c r="AR17" s="471" t="n">
        <v>-187.9699999999999</v>
      </c>
      <c r="AS17" s="40">
        <f>AR17/AQ17-1</f>
        <v/>
      </c>
      <c r="AT17" s="471" t="n"/>
      <c r="AU17" s="471" t="n"/>
      <c r="AV17" s="40">
        <f>AU17/AT17-1</f>
        <v/>
      </c>
      <c r="AW17" s="41" t="n"/>
      <c r="AX17" s="470" t="n">
        <v>-218.7799999999999</v>
      </c>
      <c r="AY17" s="471" t="n">
        <v>-184.3900000000003</v>
      </c>
      <c r="AZ17" s="471" t="n">
        <v>5.1299999999999</v>
      </c>
      <c r="BA17" s="40">
        <f>AZ17/AY17-1</f>
        <v/>
      </c>
      <c r="BB17" s="471" t="n"/>
      <c r="BC17" s="471" t="n"/>
      <c r="BD17" s="40">
        <f>BC17/BB17-1</f>
        <v/>
      </c>
    </row>
    <row r="18" customFormat="1" s="315">
      <c r="B18" s="42" t="inlineStr">
        <is>
          <t>PAT% (on GWP)</t>
        </is>
      </c>
      <c r="C18" s="7">
        <f>C17/C7</f>
        <v/>
      </c>
      <c r="D18" s="351">
        <f>D17/D7</f>
        <v/>
      </c>
      <c r="E18" s="351">
        <f>E17/E7</f>
        <v/>
      </c>
      <c r="F18" s="351">
        <f>F17/F7</f>
        <v/>
      </c>
      <c r="G18" s="43" t="n"/>
      <c r="H18" s="351">
        <f>H17/H7</f>
        <v/>
      </c>
      <c r="I18" s="351">
        <f>I17/I7</f>
        <v/>
      </c>
      <c r="J18" s="351">
        <f>J17/J7</f>
        <v/>
      </c>
      <c r="K18" s="351">
        <f>K17/K7</f>
        <v/>
      </c>
      <c r="L18" s="351">
        <f>L17/L7</f>
        <v/>
      </c>
      <c r="M18" s="351">
        <f>M17/M7</f>
        <v/>
      </c>
      <c r="N18" s="43" t="n"/>
      <c r="O18" s="44" t="n"/>
      <c r="P18" s="7">
        <f>P17/P7</f>
        <v/>
      </c>
      <c r="Q18" s="351">
        <f>Q17/Q7</f>
        <v/>
      </c>
      <c r="R18" s="351">
        <f>R17/R7</f>
        <v/>
      </c>
      <c r="S18" s="351">
        <f>S17/S7</f>
        <v/>
      </c>
      <c r="T18" s="43" t="n"/>
      <c r="U18" s="351">
        <f>U17/U7</f>
        <v/>
      </c>
      <c r="V18" s="351" t="n"/>
      <c r="W18" s="351">
        <f>W17/W7</f>
        <v/>
      </c>
      <c r="X18" s="351">
        <f>X17/X7</f>
        <v/>
      </c>
      <c r="Y18" s="351">
        <f>Y17/Y7</f>
        <v/>
      </c>
      <c r="Z18" s="351">
        <f>Z17/Z7</f>
        <v/>
      </c>
      <c r="AA18" s="43" t="n"/>
      <c r="AB18" s="44" t="n"/>
      <c r="AC18" s="7">
        <f>AC17/AC7</f>
        <v/>
      </c>
      <c r="AD18" s="351">
        <f>AD17/AD7</f>
        <v/>
      </c>
      <c r="AE18" s="351">
        <f>AE17/AE7</f>
        <v/>
      </c>
      <c r="AF18" s="351">
        <f>AF17/AF7</f>
        <v/>
      </c>
      <c r="AG18" s="43" t="n"/>
      <c r="AH18" s="351">
        <f>AH17/AH7</f>
        <v/>
      </c>
      <c r="AI18" s="351" t="n"/>
      <c r="AJ18" s="351">
        <f>AJ17/AJ7</f>
        <v/>
      </c>
      <c r="AK18" s="351">
        <f>AK17/AK7</f>
        <v/>
      </c>
      <c r="AL18" s="351">
        <f>AL17/AL7</f>
        <v/>
      </c>
      <c r="AM18" s="351">
        <f>AM17/AM7</f>
        <v/>
      </c>
      <c r="AN18" s="43" t="n"/>
      <c r="AO18" s="44" t="n"/>
      <c r="AP18" s="7">
        <f>AP17/AP7</f>
        <v/>
      </c>
      <c r="AQ18" s="351">
        <f>AQ17/AQ7</f>
        <v/>
      </c>
      <c r="AR18" s="351">
        <f>AR17/AR7</f>
        <v/>
      </c>
      <c r="AS18" s="43" t="n"/>
      <c r="AT18" s="351">
        <f>AT17/AT7</f>
        <v/>
      </c>
      <c r="AU18" s="351">
        <f>AU17/AU7</f>
        <v/>
      </c>
      <c r="AV18" s="43" t="n"/>
      <c r="AW18" s="44" t="n"/>
      <c r="AX18" s="7">
        <f>AX17/AX7</f>
        <v/>
      </c>
      <c r="AY18" s="351">
        <f>AY17/AY7</f>
        <v/>
      </c>
      <c r="AZ18" s="351">
        <f>AZ17/AZ7</f>
        <v/>
      </c>
      <c r="BA18" s="43" t="n"/>
      <c r="BB18" s="351">
        <f>BB17/BB7</f>
        <v/>
      </c>
      <c r="BC18" s="351">
        <f>BC17/BC7</f>
        <v/>
      </c>
      <c r="BD18" s="43" t="n"/>
    </row>
    <row r="19" customFormat="1" s="50">
      <c r="B19" s="45" t="inlineStr">
        <is>
          <t>Claims ratio</t>
        </is>
      </c>
      <c r="C19" s="65" t="n">
        <v>0.54</v>
      </c>
      <c r="D19" s="56" t="n">
        <v>0.5901999999999999</v>
      </c>
      <c r="E19" s="56" t="n">
        <v>0.6122268850904901</v>
      </c>
      <c r="F19" s="345" t="n">
        <v>0.681</v>
      </c>
      <c r="G19" s="66" t="n"/>
      <c r="H19" s="56" t="n">
        <v>0.625</v>
      </c>
      <c r="I19" s="56" t="n"/>
      <c r="J19" s="56" t="n">
        <v>0.5641</v>
      </c>
      <c r="K19" s="56" t="n">
        <v>0.743</v>
      </c>
      <c r="L19" s="56" t="n"/>
      <c r="M19" s="56" t="n">
        <v>0.5676</v>
      </c>
      <c r="N19" s="66" t="n"/>
      <c r="O19" s="49" t="n"/>
      <c r="P19" s="65" t="n">
        <v>0.65</v>
      </c>
      <c r="Q19" s="56" t="n">
        <v>0.665</v>
      </c>
      <c r="R19" s="56" t="n">
        <v>0.7029570509101213</v>
      </c>
      <c r="S19" s="56" t="n">
        <v>0.6850000000000001</v>
      </c>
      <c r="T19" s="66" t="n"/>
      <c r="U19" s="56" t="n">
        <v>0.702</v>
      </c>
      <c r="V19" s="56" t="n"/>
      <c r="W19" s="56" t="n">
        <v>0.6850000000000001</v>
      </c>
      <c r="X19" s="56" t="n">
        <v>0.705</v>
      </c>
      <c r="Y19" s="56" t="n"/>
      <c r="Z19" s="56" t="n">
        <v>0.6479999999999999</v>
      </c>
      <c r="AA19" s="66" t="n"/>
      <c r="AB19" s="49" t="n"/>
      <c r="AC19" s="65" t="n">
        <v>0.54</v>
      </c>
      <c r="AD19" s="56" t="n">
        <v>0.58</v>
      </c>
      <c r="AE19" s="56" t="n">
        <v>0.6453045585311364</v>
      </c>
      <c r="AF19" s="336" t="n">
        <v>0.696</v>
      </c>
      <c r="AG19" s="66" t="n"/>
      <c r="AH19" s="56" t="n">
        <v>0.67</v>
      </c>
      <c r="AI19" s="56" t="n"/>
      <c r="AJ19" s="56" t="n">
        <v>0.59</v>
      </c>
      <c r="AK19" s="56" t="n">
        <v>0.77</v>
      </c>
      <c r="AL19" s="56" t="n"/>
      <c r="AM19" s="56" t="n">
        <v>0.594</v>
      </c>
      <c r="AN19" s="66" t="n"/>
      <c r="AO19" s="49" t="n"/>
      <c r="AP19" s="65" t="n">
        <v>0.6466325351428343</v>
      </c>
      <c r="AQ19" s="56" t="n">
        <v>0.6378307508481811</v>
      </c>
      <c r="AR19" s="56" t="n">
        <v>0.7481401364281463</v>
      </c>
      <c r="AS19" s="66" t="n"/>
      <c r="AT19" s="56" t="n"/>
      <c r="AU19" s="56" t="n"/>
      <c r="AV19" s="66" t="n"/>
      <c r="AW19" s="49" t="n"/>
      <c r="AX19" s="65" t="n">
        <v>0.6467624333442159</v>
      </c>
      <c r="AY19" s="56" t="n">
        <v>0.6830838576681078</v>
      </c>
      <c r="AZ19" s="56" t="n">
        <v>0.7150406319516956</v>
      </c>
      <c r="BA19" s="66" t="n"/>
      <c r="BB19" s="56" t="n"/>
      <c r="BC19" s="56" t="n"/>
      <c r="BD19" s="66" t="n"/>
    </row>
    <row r="20" customFormat="1" s="50">
      <c r="B20" s="45" t="inlineStr">
        <is>
          <t>Expense ratio</t>
        </is>
      </c>
      <c r="C20" s="65">
        <f>C21-C19</f>
        <v/>
      </c>
      <c r="D20" s="56">
        <f>D21-D19</f>
        <v/>
      </c>
      <c r="E20" s="56" t="n">
        <v>0.3999865907554433</v>
      </c>
      <c r="F20" s="336" t="n">
        <v>0.353</v>
      </c>
      <c r="G20" s="66" t="n"/>
      <c r="H20" s="56" t="n">
        <v>0.41</v>
      </c>
      <c r="I20" s="56" t="n"/>
      <c r="J20" s="56">
        <f>J21-J19</f>
        <v/>
      </c>
      <c r="K20" s="56" t="n">
        <v>0.399</v>
      </c>
      <c r="L20" s="56" t="n"/>
      <c r="M20" s="56">
        <f>M21-M19</f>
        <v/>
      </c>
      <c r="N20" s="66" t="n"/>
      <c r="O20" s="49" t="n"/>
      <c r="P20" s="65">
        <f>P21-P19</f>
        <v/>
      </c>
      <c r="Q20" s="56">
        <f>Q21-Q19</f>
        <v/>
      </c>
      <c r="R20" s="56" t="n">
        <v>0.3079718032981175</v>
      </c>
      <c r="S20" s="336" t="n">
        <v>0.319</v>
      </c>
      <c r="T20" s="66" t="n"/>
      <c r="U20" s="56" t="n">
        <v>0.309</v>
      </c>
      <c r="V20" s="56" t="n"/>
      <c r="W20" s="50" t="n">
        <v>0.299</v>
      </c>
      <c r="X20" s="56" t="n">
        <v>0.324</v>
      </c>
      <c r="Y20" s="56" t="n"/>
      <c r="Z20" s="50" t="n">
        <v>0.299</v>
      </c>
      <c r="AA20" s="66" t="n"/>
      <c r="AB20" s="49" t="n"/>
      <c r="AC20" s="65">
        <f>AC21-AC19</f>
        <v/>
      </c>
      <c r="AD20" s="56">
        <f>AD21-AD19</f>
        <v/>
      </c>
      <c r="AE20" s="56" t="n">
        <v>0.383104277475192</v>
      </c>
      <c r="AF20" s="336" t="n">
        <v>0.371</v>
      </c>
      <c r="AG20" s="66" t="n"/>
      <c r="AH20" s="56">
        <f>AH21-AH19</f>
        <v/>
      </c>
      <c r="AI20" s="56" t="n"/>
      <c r="AJ20" s="56">
        <f>AJ21-AJ19</f>
        <v/>
      </c>
      <c r="AK20" s="56">
        <f>AK21-AK19</f>
        <v/>
      </c>
      <c r="AL20" s="56" t="n"/>
      <c r="AM20" s="56">
        <f>AM21-AM19</f>
        <v/>
      </c>
      <c r="AN20" s="66" t="n"/>
      <c r="AO20" s="49" t="n"/>
      <c r="AP20" s="65" t="n">
        <v>0.5048138828211954</v>
      </c>
      <c r="AQ20" s="56" t="n">
        <v>0.466167743189192</v>
      </c>
      <c r="AR20" s="56" t="n">
        <v>0.3995864288988137</v>
      </c>
      <c r="AS20" s="66" t="n"/>
      <c r="AT20" s="56" t="n"/>
      <c r="AU20" s="56" t="n"/>
      <c r="AV20" s="66" t="n"/>
      <c r="AW20" s="49" t="n"/>
      <c r="AX20" s="65" t="n">
        <v>0.449633443765883</v>
      </c>
      <c r="AY20" s="56" t="n">
        <v>0.4169674843904603</v>
      </c>
      <c r="AZ20" s="56" t="n">
        <v>0.3331733972346592</v>
      </c>
      <c r="BA20" s="66" t="n"/>
      <c r="BB20" s="56" t="n"/>
      <c r="BC20" s="56" t="n"/>
      <c r="BD20" s="66" t="n"/>
    </row>
    <row r="21" customFormat="1" s="316">
      <c r="B21" s="51" t="inlineStr">
        <is>
          <t>Combined ratio</t>
        </is>
      </c>
      <c r="C21" s="53" t="n">
        <v>0.97</v>
      </c>
      <c r="D21" s="337" t="n">
        <v>0.9879</v>
      </c>
      <c r="E21" s="337" t="n">
        <v>1.012213475845933</v>
      </c>
      <c r="F21" s="337" t="n">
        <v>1.034</v>
      </c>
      <c r="G21" s="54" t="n"/>
      <c r="H21" s="337">
        <f>SUM(H19:H20)</f>
        <v/>
      </c>
      <c r="I21" s="337">
        <f>SUM(I19:I20)</f>
        <v/>
      </c>
      <c r="J21" s="337" t="n">
        <v>0.9278</v>
      </c>
      <c r="K21" s="337">
        <f>SUM(K19:K20)</f>
        <v/>
      </c>
      <c r="L21" s="337">
        <f>SUM(L19:L20)</f>
        <v/>
      </c>
      <c r="M21" s="337" t="n">
        <v>0.8612</v>
      </c>
      <c r="N21" s="54" t="n"/>
      <c r="O21" s="55" t="n"/>
      <c r="P21" s="53" t="n">
        <v>0.953</v>
      </c>
      <c r="Q21" s="337" t="n">
        <v>0.967</v>
      </c>
      <c r="R21" s="337" t="n">
        <v>1.010928854208239</v>
      </c>
      <c r="S21" s="344" t="n">
        <v>1.004</v>
      </c>
      <c r="T21" s="54" t="n"/>
      <c r="U21" s="337" t="n">
        <v>1.011</v>
      </c>
      <c r="V21" s="337" t="n"/>
      <c r="W21" s="365" t="n">
        <v>0.992</v>
      </c>
      <c r="X21" s="337" t="n">
        <v>1.03</v>
      </c>
      <c r="Y21" s="337" t="n"/>
      <c r="Z21" s="365" t="n">
        <v>0.947</v>
      </c>
      <c r="AA21" s="54" t="n"/>
      <c r="AB21" s="55" t="n"/>
      <c r="AC21" s="53" t="n">
        <v>0.92</v>
      </c>
      <c r="AD21" s="337" t="n">
        <v>0.95</v>
      </c>
      <c r="AE21" s="337" t="n">
        <v>1.028408836006328</v>
      </c>
      <c r="AF21" s="337">
        <f>AF19+AF20</f>
        <v/>
      </c>
      <c r="AG21" s="54" t="n"/>
      <c r="AH21" s="337" t="n">
        <v>1.01</v>
      </c>
      <c r="AI21" s="337" t="n"/>
      <c r="AJ21" s="337" t="n">
        <v>0.967</v>
      </c>
      <c r="AK21" s="337" t="n">
        <v>1.1</v>
      </c>
      <c r="AL21" s="337" t="n"/>
      <c r="AM21" s="337" t="n">
        <v>0.999</v>
      </c>
      <c r="AN21" s="54" t="n"/>
      <c r="AO21" s="49" t="n"/>
      <c r="AP21" s="53">
        <f>SUM(AP19:AP20)</f>
        <v/>
      </c>
      <c r="AQ21" s="337">
        <f>SUM(AQ19:AQ20)</f>
        <v/>
      </c>
      <c r="AR21" s="337">
        <f>SUM(AR19:AR20)</f>
        <v/>
      </c>
      <c r="AS21" s="54" t="n"/>
      <c r="AT21" s="337" t="n"/>
      <c r="AU21" s="337" t="n"/>
      <c r="AV21" s="54" t="n"/>
      <c r="AW21" s="55" t="n"/>
      <c r="AX21" s="53">
        <f>SUM(AX19:AX20)</f>
        <v/>
      </c>
      <c r="AY21" s="337">
        <f>SUM(AY19:AY20)</f>
        <v/>
      </c>
      <c r="AZ21" s="337">
        <f>SUM(AZ19:AZ20)</f>
        <v/>
      </c>
      <c r="BA21" s="54" t="n"/>
      <c r="BB21" s="337" t="n"/>
      <c r="BC21" s="337" t="n"/>
      <c r="BD21" s="54" t="n"/>
    </row>
    <row r="22" customFormat="1" s="50">
      <c r="B22" s="45" t="inlineStr">
        <is>
          <t>EOM (reported)</t>
        </is>
      </c>
      <c r="C22" s="65" t="n">
        <v>0.41</v>
      </c>
      <c r="D22" s="56" t="n">
        <v>0.3931</v>
      </c>
      <c r="E22" s="56" t="n">
        <v>0.3922</v>
      </c>
      <c r="F22" s="56" t="n">
        <v>0.337</v>
      </c>
      <c r="G22" s="66" t="n"/>
      <c r="H22" s="56" t="n">
        <v>0.4</v>
      </c>
      <c r="I22" s="56" t="n"/>
      <c r="J22" s="56" t="n">
        <v>0.3633</v>
      </c>
      <c r="K22" s="56" t="n">
        <v>0.363</v>
      </c>
      <c r="L22" s="56" t="n"/>
      <c r="M22" s="56" t="n">
        <v>0.2849</v>
      </c>
      <c r="N22" s="66" t="n"/>
      <c r="O22" s="49" t="n"/>
      <c r="P22" s="65" t="n">
        <v>0.302</v>
      </c>
      <c r="Q22" s="56" t="n">
        <v>0.3066</v>
      </c>
      <c r="R22" s="56" t="n">
        <v>0.3109</v>
      </c>
      <c r="S22" s="56" t="n">
        <v>0.3021</v>
      </c>
      <c r="T22" s="66" t="n"/>
      <c r="U22" s="56" t="n"/>
      <c r="V22" s="56" t="n"/>
      <c r="W22" s="56" t="n">
        <v>0.2805</v>
      </c>
      <c r="X22" s="56" t="n"/>
      <c r="Y22" s="56" t="n"/>
      <c r="Z22" s="56" t="n">
        <v>0.2805</v>
      </c>
      <c r="AA22" s="66" t="n"/>
      <c r="AB22" s="49" t="n"/>
      <c r="AC22" s="65" t="n">
        <v>0.4</v>
      </c>
      <c r="AD22" s="56" t="n">
        <v>0.37</v>
      </c>
      <c r="AE22" s="56" t="n">
        <v>0.36</v>
      </c>
      <c r="AF22" s="56" t="n">
        <v>0.36</v>
      </c>
      <c r="AG22" s="66" t="n"/>
      <c r="AH22" s="56" t="n">
        <v>0.35</v>
      </c>
      <c r="AI22" s="56" t="n"/>
      <c r="AJ22" s="56" t="n">
        <v>0.35</v>
      </c>
      <c r="AK22" s="333" t="n">
        <v>0.34</v>
      </c>
      <c r="AL22" s="333" t="n"/>
      <c r="AM22" s="56" t="inlineStr">
        <is>
          <t>NA</t>
        </is>
      </c>
      <c r="AN22" s="66" t="n"/>
      <c r="AO22" s="49" t="n"/>
      <c r="AP22" s="65" t="n">
        <v>0.49</v>
      </c>
      <c r="AQ22" s="56" t="n">
        <v>0.45</v>
      </c>
      <c r="AR22" s="56" t="n">
        <v>0.42</v>
      </c>
      <c r="AS22" s="66" t="n"/>
      <c r="AT22" s="56" t="n"/>
      <c r="AU22" s="56" t="n"/>
      <c r="AV22" s="66" t="n"/>
      <c r="AW22" s="49" t="n"/>
      <c r="AX22" s="65" t="n">
        <v>0.43</v>
      </c>
      <c r="AY22" s="56" t="n">
        <v>0.41</v>
      </c>
      <c r="AZ22" s="56" t="n">
        <v>0.39</v>
      </c>
      <c r="BA22" s="66" t="n"/>
      <c r="BB22" s="56" t="n"/>
      <c r="BC22" s="56" t="n"/>
      <c r="BD22" s="66" t="n"/>
    </row>
    <row r="23" ht="5.15" customHeight="1">
      <c r="B23" s="30" t="n"/>
      <c r="C23" s="468" t="n"/>
      <c r="D23" s="469" t="n"/>
      <c r="E23" s="469" t="n"/>
      <c r="F23" s="469" t="n"/>
      <c r="G23" s="33" t="n"/>
      <c r="H23" s="469" t="n"/>
      <c r="I23" s="469" t="n"/>
      <c r="J23" s="469" t="n"/>
      <c r="K23" s="469" t="n"/>
      <c r="L23" s="469" t="n"/>
      <c r="M23" s="469" t="n"/>
      <c r="N23" s="33" t="n"/>
      <c r="O23" s="10" t="n"/>
      <c r="P23" s="468" t="n"/>
      <c r="Q23" s="469" t="n"/>
      <c r="R23" s="469" t="n"/>
      <c r="S23" s="469" t="n"/>
      <c r="T23" s="33" t="n"/>
      <c r="U23" s="469" t="n"/>
      <c r="V23" s="469" t="n"/>
      <c r="W23" s="469" t="n"/>
      <c r="X23" s="469" t="n"/>
      <c r="Y23" s="469" t="n"/>
      <c r="Z23" s="469" t="n"/>
      <c r="AA23" s="33" t="n"/>
      <c r="AB23" s="10" t="n"/>
      <c r="AC23" s="468" t="n"/>
      <c r="AD23" s="469" t="n"/>
      <c r="AE23" s="469" t="n"/>
      <c r="AF23" s="469" t="n"/>
      <c r="AG23" s="33" t="n"/>
      <c r="AH23" s="469" t="n"/>
      <c r="AI23" s="469" t="n"/>
      <c r="AJ23" s="469" t="n"/>
      <c r="AK23" s="469" t="n"/>
      <c r="AL23" s="469" t="n"/>
      <c r="AM23" s="469" t="n"/>
      <c r="AN23" s="33" t="n"/>
      <c r="AO23" s="10" t="n"/>
      <c r="AP23" s="468" t="n"/>
      <c r="AQ23" s="469" t="n"/>
      <c r="AR23" s="469" t="n"/>
      <c r="AS23" s="33" t="n"/>
      <c r="AT23" s="469" t="n"/>
      <c r="AU23" s="469" t="n"/>
      <c r="AV23" s="33" t="n"/>
      <c r="AW23" s="10" t="n"/>
      <c r="AX23" s="468" t="n"/>
      <c r="AY23" s="469" t="n"/>
      <c r="AZ23" s="469" t="n"/>
      <c r="BA23" s="33" t="n"/>
      <c r="BB23" s="469" t="n"/>
      <c r="BC23" s="469" t="n"/>
      <c r="BD23" s="33" t="n"/>
    </row>
    <row r="24" customFormat="1" s="364">
      <c r="A24" s="359" t="n"/>
      <c r="B24" s="360" t="inlineStr">
        <is>
          <t>IFRS</t>
        </is>
      </c>
      <c r="C24" s="361" t="n"/>
      <c r="D24" s="362" t="n"/>
      <c r="E24" s="362" t="n"/>
      <c r="F24" s="362" t="n"/>
      <c r="G24" s="363" t="n"/>
      <c r="H24" s="362" t="n"/>
      <c r="I24" s="362" t="n"/>
      <c r="J24" s="362" t="n"/>
      <c r="K24" s="362" t="n"/>
      <c r="L24" s="362" t="n"/>
      <c r="M24" s="362" t="n"/>
      <c r="N24" s="363" t="n"/>
      <c r="P24" s="361" t="n"/>
      <c r="Q24" s="362" t="n"/>
      <c r="R24" s="362" t="n"/>
      <c r="S24" s="362" t="n"/>
      <c r="T24" s="363" t="n"/>
      <c r="U24" s="362" t="n"/>
      <c r="V24" s="362" t="n"/>
      <c r="W24" s="362" t="n"/>
      <c r="X24" s="362" t="n"/>
      <c r="Y24" s="362" t="n"/>
      <c r="Z24" s="362" t="n"/>
      <c r="AA24" s="363" t="n"/>
      <c r="AC24" s="361" t="n"/>
      <c r="AD24" s="362" t="n"/>
      <c r="AE24" s="362" t="n"/>
      <c r="AF24" s="362" t="n"/>
      <c r="AG24" s="363" t="n"/>
      <c r="AH24" s="362" t="n"/>
      <c r="AI24" s="362" t="n"/>
      <c r="AJ24" s="362" t="n"/>
      <c r="AK24" s="362" t="n"/>
      <c r="AL24" s="362" t="n"/>
      <c r="AM24" s="362" t="n"/>
      <c r="AN24" s="363" t="n"/>
      <c r="AP24" s="361" t="n"/>
      <c r="AQ24" s="362" t="n"/>
      <c r="AR24" s="362" t="n"/>
      <c r="AS24" s="363" t="n"/>
      <c r="AT24" s="362" t="n"/>
      <c r="AU24" s="362" t="n"/>
      <c r="AV24" s="363" t="n"/>
      <c r="AX24" s="361" t="n"/>
      <c r="AY24" s="362" t="n"/>
      <c r="AZ24" s="362" t="n"/>
      <c r="BA24" s="363" t="n"/>
      <c r="BB24" s="362" t="n"/>
      <c r="BC24" s="362" t="n"/>
      <c r="BD24" s="363" t="n"/>
    </row>
    <row r="25" customFormat="1" s="1">
      <c r="B25" s="37" t="inlineStr">
        <is>
          <t xml:space="preserve">PAT </t>
        </is>
      </c>
      <c r="C25" s="470" t="n">
        <v>8.5</v>
      </c>
      <c r="D25" s="471" t="n">
        <v>106</v>
      </c>
      <c r="E25" s="471" t="n">
        <v>203</v>
      </c>
      <c r="F25" s="471" t="n">
        <v>366.1</v>
      </c>
      <c r="G25" s="40">
        <f>F25/E25-1</f>
        <v/>
      </c>
      <c r="H25" s="471" t="n">
        <v>59.5</v>
      </c>
      <c r="I25" s="471" t="n"/>
      <c r="J25" s="471" t="n">
        <v>83.40000000000001</v>
      </c>
      <c r="K25" s="471" t="n">
        <v>132</v>
      </c>
      <c r="L25" s="471" t="n"/>
      <c r="M25" s="471" t="n">
        <v>157.8</v>
      </c>
      <c r="N25" s="40">
        <f>M25/J25-1</f>
        <v/>
      </c>
      <c r="O25" s="41" t="n"/>
      <c r="P25" s="470" t="n"/>
      <c r="Q25" s="471" t="n">
        <v>1103</v>
      </c>
      <c r="R25" s="471" t="n">
        <v>787</v>
      </c>
      <c r="S25" s="471" t="n">
        <v>911</v>
      </c>
      <c r="T25" s="40">
        <f>S25/R25-1</f>
        <v/>
      </c>
      <c r="U25" s="471" t="n">
        <v>428</v>
      </c>
      <c r="V25" s="471" t="n"/>
      <c r="W25" s="471" t="n">
        <v>271</v>
      </c>
      <c r="X25" s="471" t="n">
        <v>518</v>
      </c>
      <c r="Y25" s="471" t="n"/>
      <c r="Z25" s="471" t="n">
        <v>-55</v>
      </c>
      <c r="AA25" s="40">
        <f>Z25/W25-1</f>
        <v/>
      </c>
      <c r="AB25" s="41" t="n"/>
      <c r="AC25" s="470" t="n"/>
      <c r="AD25" s="471" t="n"/>
      <c r="AE25" s="471" t="n">
        <v>290</v>
      </c>
      <c r="AF25" s="471" t="n">
        <v>387</v>
      </c>
      <c r="AG25" s="40" t="n"/>
      <c r="AH25" s="471" t="n"/>
      <c r="AI25" s="471" t="n"/>
      <c r="AJ25" s="471" t="inlineStr">
        <is>
          <t>NA</t>
        </is>
      </c>
      <c r="AK25" s="471" t="n"/>
      <c r="AL25" s="471" t="n"/>
      <c r="AM25" s="471" t="inlineStr">
        <is>
          <t>NA</t>
        </is>
      </c>
      <c r="AN25" s="40" t="n"/>
      <c r="AO25" s="41" t="n"/>
      <c r="AP25" s="470" t="n">
        <v>-200.9293999999998</v>
      </c>
      <c r="AQ25" s="471" t="n">
        <v>-131.8339000000001</v>
      </c>
      <c r="AR25" s="471" t="n">
        <v>-187.9699999999999</v>
      </c>
      <c r="AS25" s="40">
        <f>AR25/AQ25-1</f>
        <v/>
      </c>
      <c r="AT25" s="471" t="n"/>
      <c r="AU25" s="471" t="n"/>
      <c r="AV25" s="40">
        <f>AU25/AT25-1</f>
        <v/>
      </c>
      <c r="AW25" s="41" t="n"/>
      <c r="AX25" s="470" t="n">
        <v>-218.7799999999999</v>
      </c>
      <c r="AY25" s="471" t="n">
        <v>-184.3900000000003</v>
      </c>
      <c r="AZ25" s="471" t="n">
        <v>5.1299999999999</v>
      </c>
      <c r="BA25" s="40">
        <f>AZ25/AY25-1</f>
        <v/>
      </c>
      <c r="BB25" s="471" t="n"/>
      <c r="BC25" s="471" t="n"/>
      <c r="BD25" s="40">
        <f>BC25/BB25-1</f>
        <v/>
      </c>
    </row>
    <row r="26" customFormat="1" s="315">
      <c r="B26" s="42" t="inlineStr">
        <is>
          <t>PAT% (on GWP)</t>
        </is>
      </c>
      <c r="C26" s="7" t="n"/>
      <c r="D26" s="351">
        <f>D25/D7</f>
        <v/>
      </c>
      <c r="E26" s="351">
        <f>E25/E7</f>
        <v/>
      </c>
      <c r="F26" s="351">
        <f>F25/F7</f>
        <v/>
      </c>
      <c r="G26" s="43" t="n"/>
      <c r="H26" s="351">
        <f>H25/H7</f>
        <v/>
      </c>
      <c r="I26" s="351">
        <f>I25/I7</f>
        <v/>
      </c>
      <c r="J26" s="351">
        <f>J25/J7</f>
        <v/>
      </c>
      <c r="K26" s="351">
        <f>K25/K7</f>
        <v/>
      </c>
      <c r="L26" s="351">
        <f>L25/L7</f>
        <v/>
      </c>
      <c r="M26" s="351">
        <f>M25/M7</f>
        <v/>
      </c>
      <c r="N26" s="43" t="n"/>
      <c r="O26" s="44" t="n"/>
      <c r="P26" s="7" t="n"/>
      <c r="Q26" s="351">
        <f>Q25/Q7</f>
        <v/>
      </c>
      <c r="R26" s="351">
        <f>R25/R7</f>
        <v/>
      </c>
      <c r="S26" s="351">
        <f>S25/S7</f>
        <v/>
      </c>
      <c r="T26" s="43" t="n"/>
      <c r="U26" s="351">
        <f>U25/U7</f>
        <v/>
      </c>
      <c r="V26" s="351" t="n"/>
      <c r="W26" s="351">
        <f>W25/W7</f>
        <v/>
      </c>
      <c r="X26" s="351">
        <f>X25/X7</f>
        <v/>
      </c>
      <c r="Y26" s="351">
        <f>Y25/Y7</f>
        <v/>
      </c>
      <c r="Z26" s="351">
        <f>Z25/Z7</f>
        <v/>
      </c>
      <c r="AA26" s="43" t="n"/>
      <c r="AB26" s="44" t="n"/>
      <c r="AC26" s="7" t="n"/>
      <c r="AD26" s="351" t="n"/>
      <c r="AE26" s="351">
        <f>AE25/AE7</f>
        <v/>
      </c>
      <c r="AF26" s="351">
        <f>AF25/AF7</f>
        <v/>
      </c>
      <c r="AG26" s="43" t="n"/>
      <c r="AH26" s="351" t="n"/>
      <c r="AI26" s="351" t="n"/>
      <c r="AJ26" s="351" t="inlineStr">
        <is>
          <t>NA</t>
        </is>
      </c>
      <c r="AK26" s="351" t="n"/>
      <c r="AL26" s="351" t="n"/>
      <c r="AM26" s="351" t="inlineStr">
        <is>
          <t>NA</t>
        </is>
      </c>
      <c r="AN26" s="43" t="n"/>
      <c r="AO26" s="44" t="n"/>
      <c r="AP26" s="7">
        <f>AP25/AP10</f>
        <v/>
      </c>
      <c r="AQ26" s="351">
        <f>AQ25/AQ10</f>
        <v/>
      </c>
      <c r="AR26" s="351">
        <f>AR25/AR10</f>
        <v/>
      </c>
      <c r="AS26" s="43" t="n"/>
      <c r="AT26" s="351">
        <f>AT25/AT10</f>
        <v/>
      </c>
      <c r="AU26" s="351">
        <f>AU25/AU10</f>
        <v/>
      </c>
      <c r="AV26" s="43" t="n"/>
      <c r="AW26" s="44" t="n"/>
      <c r="AX26" s="7">
        <f>AX25/AX10</f>
        <v/>
      </c>
      <c r="AY26" s="351">
        <f>AY25/AY10</f>
        <v/>
      </c>
      <c r="AZ26" s="351">
        <f>AZ25/AZ10</f>
        <v/>
      </c>
      <c r="BA26" s="43" t="n"/>
      <c r="BB26" s="351">
        <f>BB25/BB10</f>
        <v/>
      </c>
      <c r="BC26" s="351">
        <f>BC25/BC10</f>
        <v/>
      </c>
      <c r="BD26" s="43" t="n"/>
    </row>
    <row r="27" customFormat="1" s="50">
      <c r="B27" s="45" t="inlineStr">
        <is>
          <t>Claims ratio</t>
        </is>
      </c>
      <c r="C27" s="347" t="n"/>
      <c r="D27" s="348" t="n">
        <v>0.629</v>
      </c>
      <c r="E27" s="348" t="n">
        <v>0.638</v>
      </c>
      <c r="F27" s="345" t="n">
        <v>0.649</v>
      </c>
      <c r="G27" s="66" t="n"/>
      <c r="H27" s="56" t="n"/>
      <c r="I27" s="56" t="n"/>
      <c r="J27" s="56" t="inlineStr">
        <is>
          <t>NA</t>
        </is>
      </c>
      <c r="K27" s="56" t="inlineStr">
        <is>
          <t>NA</t>
        </is>
      </c>
      <c r="L27" s="56" t="inlineStr">
        <is>
          <t>NA</t>
        </is>
      </c>
      <c r="M27" s="56" t="inlineStr">
        <is>
          <t>NA</t>
        </is>
      </c>
      <c r="N27" s="66" t="n"/>
      <c r="O27" s="49" t="n"/>
      <c r="P27" s="65" t="n"/>
      <c r="Q27" s="56" t="n">
        <v>0.665</v>
      </c>
      <c r="R27" s="56" t="n">
        <v>0.707</v>
      </c>
      <c r="S27" s="56" t="n">
        <v>0.6870000000000001</v>
      </c>
      <c r="T27" s="66" t="n"/>
      <c r="U27" s="56" t="n"/>
      <c r="V27" s="56" t="n"/>
      <c r="W27" s="56" t="n">
        <v>0.6919999999999999</v>
      </c>
      <c r="X27" s="56" t="n"/>
      <c r="Y27" s="56" t="n"/>
      <c r="Z27" s="56" t="n">
        <v>0.652</v>
      </c>
      <c r="AA27" s="66" t="n"/>
      <c r="AB27" s="49" t="n"/>
      <c r="AC27" s="65" t="n"/>
      <c r="AD27" s="56" t="n"/>
      <c r="AE27" s="56" t="n">
        <v>0.66</v>
      </c>
      <c r="AF27" s="56" t="n">
        <v>0.65</v>
      </c>
      <c r="AG27" s="66" t="n"/>
      <c r="AH27" s="56" t="n"/>
      <c r="AI27" s="56" t="n"/>
      <c r="AJ27" s="348" t="inlineStr">
        <is>
          <t>NA</t>
        </is>
      </c>
      <c r="AK27" s="348" t="inlineStr">
        <is>
          <t>NA</t>
        </is>
      </c>
      <c r="AL27" s="348" t="inlineStr">
        <is>
          <t>NA</t>
        </is>
      </c>
      <c r="AM27" s="348" t="inlineStr">
        <is>
          <t>NA</t>
        </is>
      </c>
      <c r="AN27" s="66" t="n"/>
      <c r="AO27" s="49" t="n"/>
      <c r="AP27" s="65" t="n"/>
      <c r="AQ27" s="56" t="n"/>
      <c r="AR27" s="56" t="n"/>
      <c r="AS27" s="66" t="n"/>
      <c r="AT27" s="56" t="n"/>
      <c r="AU27" s="56" t="n"/>
      <c r="AV27" s="66" t="n"/>
      <c r="AW27" s="49" t="n"/>
      <c r="AX27" s="65" t="n"/>
      <c r="AY27" s="56" t="n"/>
      <c r="AZ27" s="56" t="n"/>
      <c r="BA27" s="66" t="n"/>
      <c r="BB27" s="56" t="n"/>
      <c r="BC27" s="56" t="n"/>
      <c r="BD27" s="66" t="n"/>
    </row>
    <row r="28" customFormat="1" s="50">
      <c r="B28" s="45" t="inlineStr">
        <is>
          <t>Expense ratio</t>
        </is>
      </c>
      <c r="C28" s="347" t="n"/>
      <c r="D28" s="348">
        <f>D29-D27</f>
        <v/>
      </c>
      <c r="E28" s="348">
        <f>E29-E27</f>
        <v/>
      </c>
      <c r="F28" s="348">
        <f>F29-F27</f>
        <v/>
      </c>
      <c r="G28" s="66" t="n"/>
      <c r="H28" s="56" t="n"/>
      <c r="I28" s="56" t="n"/>
      <c r="J28" s="56" t="inlineStr">
        <is>
          <t>NA</t>
        </is>
      </c>
      <c r="K28" s="56" t="inlineStr">
        <is>
          <t>NA</t>
        </is>
      </c>
      <c r="L28" s="56" t="inlineStr">
        <is>
          <t>NA</t>
        </is>
      </c>
      <c r="M28" s="56" t="inlineStr">
        <is>
          <t>NA</t>
        </is>
      </c>
      <c r="N28" s="66" t="n"/>
      <c r="O28" s="49" t="n"/>
      <c r="P28" s="65" t="n"/>
      <c r="Q28" s="56" t="n">
        <v>0.307</v>
      </c>
      <c r="R28" s="56" t="n">
        <v>0.304</v>
      </c>
      <c r="S28" s="56" t="n">
        <v>0.301</v>
      </c>
      <c r="T28" s="66" t="n"/>
      <c r="U28" s="56" t="n"/>
      <c r="V28" s="56" t="n"/>
      <c r="W28" s="56" t="n">
        <v>0.292</v>
      </c>
      <c r="X28" s="56" t="n"/>
      <c r="Y28" s="56" t="n"/>
      <c r="Z28" s="56" t="n">
        <v>0.305</v>
      </c>
      <c r="AA28" s="66" t="n"/>
      <c r="AB28" s="49" t="n"/>
      <c r="AC28" s="65" t="n"/>
      <c r="AD28" s="56" t="n"/>
      <c r="AE28" s="56" t="n">
        <v>0.366</v>
      </c>
      <c r="AF28" s="56" t="n">
        <v>0.365</v>
      </c>
      <c r="AG28" s="66" t="n"/>
      <c r="AH28" s="56" t="n"/>
      <c r="AI28" s="56" t="n"/>
      <c r="AJ28" s="348" t="inlineStr">
        <is>
          <t>NA</t>
        </is>
      </c>
      <c r="AK28" s="348" t="inlineStr">
        <is>
          <t>NA</t>
        </is>
      </c>
      <c r="AL28" s="348" t="inlineStr">
        <is>
          <t>NA</t>
        </is>
      </c>
      <c r="AM28" s="348" t="inlineStr">
        <is>
          <t>NA</t>
        </is>
      </c>
      <c r="AN28" s="66" t="n"/>
      <c r="AO28" s="49" t="n"/>
      <c r="AP28" s="65" t="n"/>
      <c r="AQ28" s="56" t="n"/>
      <c r="AR28" s="56" t="n"/>
      <c r="AS28" s="66" t="n"/>
      <c r="AT28" s="56" t="n"/>
      <c r="AU28" s="56" t="n"/>
      <c r="AV28" s="66" t="n"/>
      <c r="AW28" s="49" t="n"/>
      <c r="AX28" s="65" t="n"/>
      <c r="AY28" s="56" t="n"/>
      <c r="AZ28" s="56" t="n"/>
      <c r="BA28" s="66" t="n"/>
      <c r="BB28" s="56" t="n"/>
      <c r="BC28" s="56" t="n"/>
      <c r="BD28" s="66" t="n"/>
    </row>
    <row r="29" customFormat="1" s="365">
      <c r="A29" s="1" t="n"/>
      <c r="B29" s="51" t="inlineStr">
        <is>
          <t>Combined ratio</t>
        </is>
      </c>
      <c r="C29" s="366" t="n"/>
      <c r="D29" s="349" t="n">
        <v>1.03</v>
      </c>
      <c r="E29" s="349" t="n">
        <v>1.03</v>
      </c>
      <c r="F29" s="349" t="n">
        <v>1.014</v>
      </c>
      <c r="G29" s="367" t="n"/>
      <c r="H29" s="369" t="n"/>
      <c r="I29" s="369" t="n"/>
      <c r="J29" s="369" t="n">
        <v>1.02</v>
      </c>
      <c r="K29" s="369" t="inlineStr">
        <is>
          <t>NA</t>
        </is>
      </c>
      <c r="L29" s="369" t="inlineStr">
        <is>
          <t>NA</t>
        </is>
      </c>
      <c r="M29" s="369" t="n">
        <v>0.974</v>
      </c>
      <c r="N29" s="367" t="n"/>
      <c r="O29" s="370" t="n"/>
      <c r="P29" s="373" t="n"/>
      <c r="Q29" s="369">
        <f>Q27+Q28</f>
        <v/>
      </c>
      <c r="R29" s="369">
        <f>R27+R28</f>
        <v/>
      </c>
      <c r="S29" s="369">
        <f>S27+S28</f>
        <v/>
      </c>
      <c r="T29" s="367" t="n"/>
      <c r="U29" s="369" t="n"/>
      <c r="V29" s="369" t="n"/>
      <c r="W29" s="369">
        <f>W27+W28</f>
        <v/>
      </c>
      <c r="X29" s="369">
        <f>X27+X28</f>
        <v/>
      </c>
      <c r="Y29" s="369">
        <f>Y27+Y28</f>
        <v/>
      </c>
      <c r="Z29" s="369">
        <f>Z27+Z28</f>
        <v/>
      </c>
      <c r="AA29" s="367" t="n"/>
      <c r="AB29" s="370" t="n"/>
      <c r="AC29" s="373" t="n"/>
      <c r="AD29" s="369" t="n"/>
      <c r="AE29" s="369">
        <f>AE27+AE28</f>
        <v/>
      </c>
      <c r="AF29" s="369">
        <f>AF27+AF28</f>
        <v/>
      </c>
      <c r="AG29" s="367" t="n"/>
      <c r="AH29" s="369" t="n"/>
      <c r="AI29" s="369" t="n"/>
      <c r="AJ29" s="372" t="inlineStr">
        <is>
          <t>NA</t>
        </is>
      </c>
      <c r="AK29" s="372" t="inlineStr">
        <is>
          <t>NA</t>
        </is>
      </c>
      <c r="AL29" s="372" t="inlineStr">
        <is>
          <t>NA</t>
        </is>
      </c>
      <c r="AM29" s="372" t="inlineStr">
        <is>
          <t>NA</t>
        </is>
      </c>
      <c r="AN29" s="367" t="n"/>
      <c r="AO29" s="370" t="n"/>
      <c r="AP29" s="373" t="n"/>
      <c r="AQ29" s="369" t="n"/>
      <c r="AR29" s="369" t="n"/>
      <c r="AS29" s="367" t="n"/>
      <c r="AT29" s="369" t="n"/>
      <c r="AU29" s="369" t="n"/>
      <c r="AV29" s="367" t="n"/>
      <c r="AW29" s="370" t="n"/>
      <c r="AX29" s="373" t="n"/>
      <c r="AY29" s="369" t="n"/>
      <c r="AZ29" s="369" t="n"/>
      <c r="BA29" s="367" t="n"/>
      <c r="BB29" s="369" t="n"/>
      <c r="BC29" s="369" t="n"/>
      <c r="BD29" s="367" t="n"/>
    </row>
    <row r="30" customFormat="1" s="50">
      <c r="B30" s="45" t="inlineStr">
        <is>
          <t>EOM (reported)</t>
        </is>
      </c>
      <c r="C30" s="350" t="inlineStr">
        <is>
          <t>NA</t>
        </is>
      </c>
      <c r="D30" s="348" t="inlineStr">
        <is>
          <t>NA</t>
        </is>
      </c>
      <c r="E30" s="348" t="inlineStr">
        <is>
          <t>NA</t>
        </is>
      </c>
      <c r="F30" s="348" t="inlineStr">
        <is>
          <t>NA</t>
        </is>
      </c>
      <c r="G30" s="66" t="n"/>
      <c r="H30" s="56" t="n"/>
      <c r="I30" s="56" t="n"/>
      <c r="J30" s="56" t="inlineStr">
        <is>
          <t>NA</t>
        </is>
      </c>
      <c r="K30" s="56" t="inlineStr">
        <is>
          <t>NA</t>
        </is>
      </c>
      <c r="L30" s="56" t="inlineStr">
        <is>
          <t>NA</t>
        </is>
      </c>
      <c r="M30" s="56" t="inlineStr">
        <is>
          <t>NA</t>
        </is>
      </c>
      <c r="N30" s="66" t="n"/>
      <c r="O30" s="49" t="n"/>
      <c r="P30" s="348" t="inlineStr">
        <is>
          <t>NA</t>
        </is>
      </c>
      <c r="Q30" s="348" t="inlineStr">
        <is>
          <t>NA</t>
        </is>
      </c>
      <c r="R30" s="348" t="inlineStr">
        <is>
          <t>NA</t>
        </is>
      </c>
      <c r="S30" s="348" t="inlineStr">
        <is>
          <t>NA</t>
        </is>
      </c>
      <c r="T30" s="66" t="n"/>
      <c r="U30" s="56" t="n"/>
      <c r="V30" s="56" t="n"/>
      <c r="W30" s="348" t="inlineStr">
        <is>
          <t>NA</t>
        </is>
      </c>
      <c r="X30" s="348" t="inlineStr">
        <is>
          <t>NA</t>
        </is>
      </c>
      <c r="Y30" s="348" t="inlineStr">
        <is>
          <t>NA</t>
        </is>
      </c>
      <c r="Z30" s="348" t="inlineStr">
        <is>
          <t>NA</t>
        </is>
      </c>
      <c r="AA30" s="66" t="n"/>
      <c r="AB30" s="49" t="n"/>
      <c r="AC30" s="348" t="inlineStr">
        <is>
          <t>NA</t>
        </is>
      </c>
      <c r="AD30" s="348" t="inlineStr">
        <is>
          <t>NA</t>
        </is>
      </c>
      <c r="AE30" s="348" t="inlineStr">
        <is>
          <t>NA</t>
        </is>
      </c>
      <c r="AF30" s="348" t="inlineStr">
        <is>
          <t>NA</t>
        </is>
      </c>
      <c r="AG30" s="66" t="n"/>
      <c r="AH30" s="56" t="n"/>
      <c r="AI30" s="56" t="n"/>
      <c r="AJ30" s="348" t="inlineStr">
        <is>
          <t>NA</t>
        </is>
      </c>
      <c r="AK30" s="348" t="inlineStr">
        <is>
          <t>NA</t>
        </is>
      </c>
      <c r="AL30" s="348" t="inlineStr">
        <is>
          <t>NA</t>
        </is>
      </c>
      <c r="AM30" s="348" t="inlineStr">
        <is>
          <t>NA</t>
        </is>
      </c>
      <c r="AN30" s="66" t="n"/>
      <c r="AO30" s="49" t="n"/>
      <c r="AP30" s="65" t="n"/>
      <c r="AQ30" s="56" t="n"/>
      <c r="AR30" s="56" t="n"/>
      <c r="AS30" s="66" t="n"/>
      <c r="AT30" s="56" t="n"/>
      <c r="AU30" s="56" t="n"/>
      <c r="AV30" s="66" t="n"/>
      <c r="AW30" s="49" t="n"/>
      <c r="AX30" s="65" t="n"/>
      <c r="AY30" s="56" t="n"/>
      <c r="AZ30" s="56" t="n"/>
      <c r="BA30" s="66" t="n"/>
      <c r="BB30" s="56" t="n"/>
      <c r="BC30" s="56" t="n"/>
      <c r="BD30" s="66" t="n"/>
    </row>
    <row r="31" ht="5.15" customHeight="1">
      <c r="B31" s="30" t="n"/>
      <c r="C31" s="468" t="n"/>
      <c r="D31" s="469" t="n"/>
      <c r="E31" s="469" t="n"/>
      <c r="F31" s="469" t="n"/>
      <c r="G31" s="33" t="n"/>
      <c r="H31" s="469" t="n"/>
      <c r="I31" s="469" t="n"/>
      <c r="J31" s="469" t="n"/>
      <c r="K31" s="469" t="n"/>
      <c r="L31" s="469" t="n"/>
      <c r="M31" s="469" t="n"/>
      <c r="N31" s="33" t="n"/>
      <c r="O31" s="10" t="n"/>
      <c r="P31" s="468" t="n"/>
      <c r="Q31" s="469" t="n"/>
      <c r="R31" s="469" t="n"/>
      <c r="S31" s="469" t="n"/>
      <c r="T31" s="33" t="n"/>
      <c r="U31" s="469" t="n"/>
      <c r="V31" s="469" t="n"/>
      <c r="W31" s="469" t="n"/>
      <c r="X31" s="469" t="n"/>
      <c r="Y31" s="469" t="n"/>
      <c r="Z31" s="469" t="n"/>
      <c r="AA31" s="33" t="n"/>
      <c r="AB31" s="10" t="n"/>
      <c r="AC31" s="468" t="n"/>
      <c r="AD31" s="469" t="n"/>
      <c r="AE31" s="469" t="n"/>
      <c r="AF31" s="469" t="n"/>
      <c r="AG31" s="33" t="n"/>
      <c r="AH31" s="469" t="n"/>
      <c r="AI31" s="469" t="n"/>
      <c r="AJ31" s="469" t="n"/>
      <c r="AK31" s="469" t="n"/>
      <c r="AL31" s="469" t="n"/>
      <c r="AM31" s="469" t="n"/>
      <c r="AN31" s="33" t="n"/>
      <c r="AO31" s="49" t="n"/>
      <c r="AP31" s="468" t="n"/>
      <c r="AQ31" s="469" t="n"/>
      <c r="AR31" s="469" t="n"/>
      <c r="AS31" s="33" t="n"/>
      <c r="AT31" s="469" t="n"/>
      <c r="AU31" s="469" t="n"/>
      <c r="AV31" s="33" t="n"/>
      <c r="AW31" s="10" t="n"/>
      <c r="AX31" s="468" t="n"/>
      <c r="AY31" s="469" t="n"/>
      <c r="AZ31" s="469" t="n"/>
      <c r="BA31" s="33" t="n"/>
      <c r="BB31" s="469" t="n"/>
      <c r="BC31" s="469" t="n"/>
      <c r="BD31" s="33" t="n"/>
    </row>
    <row r="32" customFormat="1" s="50">
      <c r="B32" s="45" t="inlineStr">
        <is>
          <t>Solvency</t>
        </is>
      </c>
      <c r="C32" s="58" t="n">
        <v>1.67</v>
      </c>
      <c r="D32" s="71" t="n">
        <v>2.55</v>
      </c>
      <c r="E32" s="71" t="n">
        <v>3.03</v>
      </c>
      <c r="F32" s="71" t="n">
        <v>2.49</v>
      </c>
      <c r="G32" s="60" t="n"/>
      <c r="H32" s="324" t="n">
        <v>2.25</v>
      </c>
      <c r="I32" s="324" t="n"/>
      <c r="J32" s="56" t="inlineStr">
        <is>
          <t>NA</t>
        </is>
      </c>
      <c r="K32" s="56" t="inlineStr">
        <is>
          <t>NA</t>
        </is>
      </c>
      <c r="L32" s="56" t="inlineStr">
        <is>
          <t>NA</t>
        </is>
      </c>
      <c r="M32" s="56" t="inlineStr">
        <is>
          <t>NA</t>
        </is>
      </c>
      <c r="N32" s="60" t="n"/>
      <c r="O32" s="49" t="n"/>
      <c r="P32" s="58" t="n">
        <v>2.21</v>
      </c>
      <c r="Q32" s="71" t="n">
        <v>2.14</v>
      </c>
      <c r="R32" s="71" t="n">
        <v>2.21</v>
      </c>
      <c r="S32" s="71" t="n">
        <v>2.05</v>
      </c>
      <c r="T32" s="60" t="n"/>
      <c r="U32" s="71" t="n"/>
      <c r="V32" s="71" t="n"/>
      <c r="W32" s="71">
        <f>R32</f>
        <v/>
      </c>
      <c r="X32" s="71" t="n"/>
      <c r="Y32" s="71" t="n"/>
      <c r="Z32" s="71">
        <f>S32</f>
        <v/>
      </c>
      <c r="AA32" s="60" t="n"/>
      <c r="AB32" s="49" t="n"/>
      <c r="AC32" s="58" t="n">
        <v>1.82</v>
      </c>
      <c r="AD32" s="71" t="n">
        <v>1.74</v>
      </c>
      <c r="AE32" s="71" t="n">
        <v>1.68</v>
      </c>
      <c r="AF32" s="71" t="n">
        <v>1.68</v>
      </c>
      <c r="AG32" s="60" t="n"/>
      <c r="AH32" s="71" t="n">
        <v>1.64</v>
      </c>
      <c r="AI32" s="71" t="n"/>
      <c r="AJ32" s="71" t="n">
        <v>1.68</v>
      </c>
      <c r="AK32" s="71" t="n">
        <v>1.66</v>
      </c>
      <c r="AL32" s="71" t="n"/>
      <c r="AM32" s="71" t="n">
        <v>1.68</v>
      </c>
      <c r="AN32" s="60" t="n"/>
      <c r="AO32" s="49" t="n"/>
      <c r="AP32" s="58" t="n">
        <v>1.56</v>
      </c>
      <c r="AQ32" s="71" t="n">
        <v>1.66</v>
      </c>
      <c r="AR32" s="71" t="n">
        <v>1.76</v>
      </c>
      <c r="AS32" s="60" t="n"/>
      <c r="AT32" s="71" t="n"/>
      <c r="AU32" s="71" t="n"/>
      <c r="AV32" s="60" t="n"/>
      <c r="AW32" s="49" t="n"/>
      <c r="AX32" s="58" t="n">
        <v>2.63</v>
      </c>
      <c r="AY32" s="71" t="n">
        <v>1.67</v>
      </c>
      <c r="AZ32" s="71" t="n">
        <v>1.84</v>
      </c>
      <c r="BA32" s="60" t="n"/>
      <c r="BB32" s="71" t="n"/>
      <c r="BC32" s="71" t="n"/>
      <c r="BD32" s="60" t="n"/>
    </row>
    <row r="33">
      <c r="B33" s="19" t="inlineStr">
        <is>
          <t>Net worth</t>
        </is>
      </c>
      <c r="C33" s="465" t="n">
        <v>831.12</v>
      </c>
      <c r="D33" s="459" t="n">
        <v>2049.77</v>
      </c>
      <c r="E33" s="459" t="n">
        <v>3060.84</v>
      </c>
      <c r="F33" s="219" t="n">
        <v>3219</v>
      </c>
      <c r="G33" s="60">
        <f>F33/E33-1</f>
        <v/>
      </c>
      <c r="H33" s="459" t="n">
        <v>2065</v>
      </c>
      <c r="I33" s="459" t="n"/>
      <c r="J33" s="459">
        <f>E33</f>
        <v/>
      </c>
      <c r="K33" s="459" t="n">
        <v>2956</v>
      </c>
      <c r="L33" s="459" t="n"/>
      <c r="M33" s="459">
        <f>F33</f>
        <v/>
      </c>
      <c r="N33" s="60">
        <f>M33/J33-1</f>
        <v/>
      </c>
      <c r="O33" s="10" t="n"/>
      <c r="P33" s="465" t="n">
        <v>5433.940000000001</v>
      </c>
      <c r="Q33" s="459" t="n">
        <v>6055.02</v>
      </c>
      <c r="R33" s="459" t="n">
        <v>6377.780000000001</v>
      </c>
      <c r="S33" s="459" t="n">
        <v>7588.66</v>
      </c>
      <c r="T33" s="60">
        <f>S33/R33-1</f>
        <v/>
      </c>
      <c r="U33" s="459" t="n"/>
      <c r="V33" s="459" t="n"/>
      <c r="W33" s="459">
        <f>R33</f>
        <v/>
      </c>
      <c r="X33" s="459" t="n"/>
      <c r="Y33" s="459" t="n"/>
      <c r="Z33" s="459">
        <f>S33</f>
        <v/>
      </c>
      <c r="AA33" s="60">
        <f>Z33/W33-1</f>
        <v/>
      </c>
      <c r="AB33" s="10" t="n"/>
      <c r="AC33" s="465" t="n">
        <v>1749.17</v>
      </c>
      <c r="AD33" s="459" t="n">
        <v>2169.821</v>
      </c>
      <c r="AE33" s="459" t="n">
        <v>2331.2</v>
      </c>
      <c r="AF33" s="459" t="n">
        <v>2666</v>
      </c>
      <c r="AG33" s="60">
        <f>AF33/AE33-1</f>
        <v/>
      </c>
      <c r="AH33" s="459">
        <f>972+0.39+1219</f>
        <v/>
      </c>
      <c r="AI33" s="459" t="n"/>
      <c r="AJ33" s="459">
        <f>AE33</f>
        <v/>
      </c>
      <c r="AK33" s="459">
        <f>974+1342</f>
        <v/>
      </c>
      <c r="AL33" s="459" t="n"/>
      <c r="AM33" s="459">
        <f>AF33</f>
        <v/>
      </c>
      <c r="AN33" s="60">
        <f>AM33/AJ33-1</f>
        <v/>
      </c>
      <c r="AO33" s="49" t="n"/>
      <c r="AP33" s="465" t="n">
        <v>326.7250999999998</v>
      </c>
      <c r="AQ33" s="459" t="n">
        <v>471.1000000000001</v>
      </c>
      <c r="AR33" s="459" t="n">
        <v>508.3299999999999</v>
      </c>
      <c r="AS33" s="60">
        <f>AR33/AQ33-1</f>
        <v/>
      </c>
      <c r="AT33" s="459" t="n"/>
      <c r="AU33" s="459" t="n"/>
      <c r="AV33" s="60">
        <f>AU33/AT33-1</f>
        <v/>
      </c>
      <c r="AW33" s="10" t="n"/>
      <c r="AX33" s="465" t="n">
        <v>1253</v>
      </c>
      <c r="AY33" s="459" t="n">
        <v>1073.37</v>
      </c>
      <c r="AZ33" s="459" t="n">
        <v>1478.97</v>
      </c>
      <c r="BA33" s="60">
        <f>AZ33/AY33-1</f>
        <v/>
      </c>
      <c r="BB33" s="459" t="n"/>
      <c r="BC33" s="459" t="n"/>
      <c r="BD33" s="60">
        <f>BC33/BB33-1</f>
        <v/>
      </c>
    </row>
    <row r="34">
      <c r="B34" s="19" t="inlineStr">
        <is>
          <t>Investment AUM</t>
        </is>
      </c>
      <c r="C34" s="465" t="n">
        <v>3467.96</v>
      </c>
      <c r="D34" s="459" t="n">
        <v>5601.05</v>
      </c>
      <c r="E34" s="459" t="n">
        <v>8395.43</v>
      </c>
      <c r="F34" s="459" t="n">
        <v>9669.700000000001</v>
      </c>
      <c r="G34" s="60">
        <f>F34/E34-1</f>
        <v/>
      </c>
      <c r="H34" s="459" t="n">
        <v>5965</v>
      </c>
      <c r="I34" s="459" t="n"/>
      <c r="J34" s="459">
        <f>E34</f>
        <v/>
      </c>
      <c r="K34" s="459" t="n">
        <v>8481</v>
      </c>
      <c r="L34" s="459" t="n"/>
      <c r="M34" s="459">
        <f>F34</f>
        <v/>
      </c>
      <c r="N34" s="60">
        <f>M34/J34-1</f>
        <v/>
      </c>
      <c r="O34" s="10" t="n"/>
      <c r="P34" s="465" t="n">
        <v>13701.46</v>
      </c>
      <c r="Q34" s="459" t="n">
        <v>15491</v>
      </c>
      <c r="R34" s="459" t="n">
        <v>17898</v>
      </c>
      <c r="S34" s="459" t="n">
        <v>21007</v>
      </c>
      <c r="T34" s="60">
        <f>S34/R34-1</f>
        <v/>
      </c>
      <c r="U34" s="459" t="n">
        <v>16431</v>
      </c>
      <c r="V34" s="459" t="n"/>
      <c r="W34" s="459">
        <f>R34</f>
        <v/>
      </c>
      <c r="X34" s="459" t="n">
        <v>18672</v>
      </c>
      <c r="Y34" s="459" t="n"/>
      <c r="Z34" s="459">
        <f>S34</f>
        <v/>
      </c>
      <c r="AA34" s="60">
        <f>Z34/W34-1</f>
        <v/>
      </c>
      <c r="AB34" s="10" t="n"/>
      <c r="AC34" s="465" t="n">
        <v>5176.1</v>
      </c>
      <c r="AD34" s="459" t="n">
        <v>6728.76</v>
      </c>
      <c r="AE34" s="459" t="n">
        <v>8592.899999999998</v>
      </c>
      <c r="AF34" s="459" t="n">
        <v>10944</v>
      </c>
      <c r="AG34" s="60">
        <f>AF34/AE34-1</f>
        <v/>
      </c>
      <c r="AH34" s="459">
        <f>2184+4650</f>
        <v/>
      </c>
      <c r="AI34" s="459" t="n"/>
      <c r="AJ34" s="459">
        <f>AE34</f>
        <v/>
      </c>
      <c r="AK34" s="459">
        <f>2362+6410</f>
        <v/>
      </c>
      <c r="AL34" s="459" t="n"/>
      <c r="AM34" s="459">
        <f>AF34</f>
        <v/>
      </c>
      <c r="AN34" s="60">
        <f>AM34/AJ34-1</f>
        <v/>
      </c>
      <c r="AO34" s="49" t="n"/>
      <c r="AP34" s="465" t="n">
        <v>1472.6524</v>
      </c>
      <c r="AQ34" s="459" t="n">
        <v>1734.42</v>
      </c>
      <c r="AR34" s="459" t="n">
        <v>2077.88</v>
      </c>
      <c r="AS34" s="60">
        <f>AR34/AQ34-1</f>
        <v/>
      </c>
      <c r="AT34" s="459" t="n"/>
      <c r="AU34" s="459" t="n"/>
      <c r="AV34" s="60">
        <f>AU34/AT34-1</f>
        <v/>
      </c>
      <c r="AX34" s="465" t="n">
        <v>2971.25</v>
      </c>
      <c r="AY34" s="459" t="n">
        <v>3452.54</v>
      </c>
      <c r="AZ34" s="459" t="n">
        <v>4427.809999999999</v>
      </c>
      <c r="BA34" s="60">
        <f>AZ34/AY34-1</f>
        <v/>
      </c>
      <c r="BB34" s="459" t="n"/>
      <c r="BC34" s="459" t="n"/>
      <c r="BD34" s="60">
        <f>BC34/BB34-1</f>
        <v/>
      </c>
    </row>
    <row r="35" customFormat="1" s="27">
      <c r="B35" s="28" t="inlineStr">
        <is>
          <t>Investment leverage</t>
        </is>
      </c>
      <c r="C35" s="472">
        <f>C34/C33</f>
        <v/>
      </c>
      <c r="D35" s="473">
        <f>D34/D33</f>
        <v/>
      </c>
      <c r="E35" s="473">
        <f>E34/E33</f>
        <v/>
      </c>
      <c r="F35" s="473">
        <f>F34/F33</f>
        <v/>
      </c>
      <c r="G35" s="474" t="n"/>
      <c r="H35" s="473">
        <f>H34/H33</f>
        <v/>
      </c>
      <c r="I35" s="473">
        <f>I34/I33</f>
        <v/>
      </c>
      <c r="J35" s="473">
        <f>J34/J33</f>
        <v/>
      </c>
      <c r="K35" s="473">
        <f>K34/K33</f>
        <v/>
      </c>
      <c r="L35" s="473">
        <f>L34/L33</f>
        <v/>
      </c>
      <c r="M35" s="473">
        <f>M34/M33</f>
        <v/>
      </c>
      <c r="N35" s="474" t="n"/>
      <c r="O35" s="10" t="n"/>
      <c r="P35" s="472">
        <f>P34/P33</f>
        <v/>
      </c>
      <c r="Q35" s="473">
        <f>Q34/Q33</f>
        <v/>
      </c>
      <c r="R35" s="473">
        <f>R34/R33</f>
        <v/>
      </c>
      <c r="S35" s="473">
        <f>S34/S33</f>
        <v/>
      </c>
      <c r="T35" s="474" t="n"/>
      <c r="U35" s="473">
        <f>U34/U33</f>
        <v/>
      </c>
      <c r="V35" s="473" t="n"/>
      <c r="W35" s="459">
        <f>R35</f>
        <v/>
      </c>
      <c r="X35" s="473">
        <f>X34/X33</f>
        <v/>
      </c>
      <c r="Y35" s="473" t="n"/>
      <c r="Z35" s="459">
        <f>S35</f>
        <v/>
      </c>
      <c r="AA35" s="474" t="n"/>
      <c r="AB35" s="10" t="n"/>
      <c r="AC35" s="472">
        <f>AC34/AC33</f>
        <v/>
      </c>
      <c r="AD35" s="473">
        <f>AD34/AD33</f>
        <v/>
      </c>
      <c r="AE35" s="473">
        <f>AE34/AE33</f>
        <v/>
      </c>
      <c r="AF35" s="473">
        <f>AF34/AF33</f>
        <v/>
      </c>
      <c r="AG35" s="474" t="n"/>
      <c r="AH35" s="473">
        <f>AH34/AH33</f>
        <v/>
      </c>
      <c r="AI35" s="473" t="n"/>
      <c r="AJ35" s="473">
        <f>AJ34/AJ33</f>
        <v/>
      </c>
      <c r="AK35" s="473">
        <f>AK34/AK33</f>
        <v/>
      </c>
      <c r="AL35" s="473">
        <f>AL34/AL33</f>
        <v/>
      </c>
      <c r="AM35" s="473">
        <f>AM34/AM33</f>
        <v/>
      </c>
      <c r="AN35" s="474" t="n"/>
      <c r="AO35" s="49" t="n"/>
      <c r="AP35" s="472">
        <f>AP34/AP33</f>
        <v/>
      </c>
      <c r="AQ35" s="473">
        <f>AQ34/AQ33</f>
        <v/>
      </c>
      <c r="AR35" s="473">
        <f>AR34/AR33</f>
        <v/>
      </c>
      <c r="AS35" s="474" t="n"/>
      <c r="AT35" s="473">
        <f>AT34/AT33</f>
        <v/>
      </c>
      <c r="AU35" s="473">
        <f>AU34/AU33</f>
        <v/>
      </c>
      <c r="AV35" s="474" t="n"/>
      <c r="AW35" s="36" t="n"/>
      <c r="AX35" s="472">
        <f>AX34/AX33</f>
        <v/>
      </c>
      <c r="AY35" s="473">
        <f>AY34/AY33</f>
        <v/>
      </c>
      <c r="AZ35" s="473">
        <f>AZ34/AZ33</f>
        <v/>
      </c>
      <c r="BA35" s="474" t="n"/>
      <c r="BB35" s="473">
        <f>BB34/BB33</f>
        <v/>
      </c>
      <c r="BC35" s="473">
        <f>BC34/BC33</f>
        <v/>
      </c>
      <c r="BD35" s="474" t="n"/>
    </row>
    <row r="36" customFormat="1" s="50">
      <c r="B36" s="45" t="inlineStr">
        <is>
          <t>Investment yield (annual)</t>
        </is>
      </c>
      <c r="C36" s="65" t="n">
        <v>0.06420955147442092</v>
      </c>
      <c r="D36" s="56" t="n">
        <v>0.07099999999999999</v>
      </c>
      <c r="E36" s="56" t="n">
        <v>0.074</v>
      </c>
      <c r="F36" s="56" t="n">
        <v>0.07199999999999999</v>
      </c>
      <c r="G36" s="66" t="n"/>
      <c r="H36" s="56" t="n">
        <v>0.075</v>
      </c>
      <c r="I36" s="56" t="n"/>
      <c r="J36" s="50">
        <f>1.85*4</f>
        <v/>
      </c>
      <c r="K36" s="56" t="n">
        <v>0.073</v>
      </c>
      <c r="L36" s="56" t="n"/>
      <c r="M36" s="56">
        <f>1.79*4%</f>
        <v/>
      </c>
      <c r="N36" s="66" t="n"/>
      <c r="O36" s="10" t="n"/>
      <c r="P36" s="65" t="n">
        <v>0.06510227030282276</v>
      </c>
      <c r="Q36" s="56" t="n">
        <v>0.07315872460474145</v>
      </c>
      <c r="R36" s="56" t="n">
        <v>0.07414178835189683</v>
      </c>
      <c r="S36" s="56" t="n">
        <v>0.058</v>
      </c>
      <c r="T36" s="66" t="n"/>
      <c r="U36" s="56" t="n">
        <v>0.081</v>
      </c>
      <c r="V36" s="56" t="n"/>
      <c r="W36" s="56" t="n">
        <v>0.07199999999999999</v>
      </c>
      <c r="X36" s="56" t="n"/>
      <c r="Y36" s="56" t="n"/>
      <c r="Z36" s="56" t="n">
        <v>-0.046</v>
      </c>
      <c r="AA36" s="66" t="n"/>
      <c r="AB36" s="10" t="n"/>
      <c r="AC36" s="65" t="n">
        <v>0.06442901890629835</v>
      </c>
      <c r="AD36" s="56" t="n">
        <v>0.06902727121528518</v>
      </c>
      <c r="AE36" s="56" t="n">
        <v>0.07057459831375973</v>
      </c>
      <c r="AF36" s="56" t="n">
        <v>0.073</v>
      </c>
      <c r="AG36" s="66" t="n"/>
      <c r="AH36" s="56" t="n">
        <v>0.0784</v>
      </c>
      <c r="AI36" s="56" t="n"/>
      <c r="AJ36" s="56">
        <f>AF36</f>
        <v/>
      </c>
      <c r="AK36" s="56" t="n">
        <v>0.076</v>
      </c>
      <c r="AL36" s="56" t="n"/>
      <c r="AM36" s="459">
        <f>AF36</f>
        <v/>
      </c>
      <c r="AN36" s="66" t="n"/>
      <c r="AO36" s="49" t="n"/>
      <c r="AP36" s="65" t="n">
        <v>0.05946131941450765</v>
      </c>
      <c r="AQ36" s="56" t="n">
        <v>0.06730580825054028</v>
      </c>
      <c r="AR36" s="56" t="n">
        <v>0.07692122394082271</v>
      </c>
      <c r="AS36" s="66" t="n"/>
      <c r="AT36" s="56" t="n"/>
      <c r="AU36" s="56" t="n"/>
      <c r="AV36" s="66" t="n"/>
      <c r="AX36" s="65" t="n">
        <v>0.0674830171257722</v>
      </c>
      <c r="AY36" s="56" t="n">
        <v>0.06895306353414417</v>
      </c>
      <c r="AZ36" s="56" t="n">
        <v>0.07603640313299018</v>
      </c>
      <c r="BA36" s="66" t="n"/>
      <c r="BB36" s="56" t="n"/>
      <c r="BC36" s="56" t="n"/>
      <c r="BD36" s="66" t="n"/>
    </row>
    <row r="37" ht="5.15" customHeight="1">
      <c r="B37" s="30" t="n"/>
      <c r="C37" s="468" t="n"/>
      <c r="D37" s="469" t="n"/>
      <c r="E37" s="469" t="n"/>
      <c r="F37" s="469" t="n"/>
      <c r="G37" s="33" t="n"/>
      <c r="H37" s="469" t="n"/>
      <c r="I37" s="469" t="n"/>
      <c r="J37" s="469" t="n"/>
      <c r="K37" s="469" t="n"/>
      <c r="L37" s="469" t="n"/>
      <c r="M37" s="469" t="n"/>
      <c r="N37" s="33" t="n"/>
      <c r="O37" s="10" t="n"/>
      <c r="P37" s="468" t="n"/>
      <c r="Q37" s="469" t="n"/>
      <c r="R37" s="469" t="n"/>
      <c r="S37" s="469" t="n"/>
      <c r="T37" s="33" t="n"/>
      <c r="U37" s="469" t="n"/>
      <c r="V37" s="469" t="n"/>
      <c r="W37" s="469" t="n"/>
      <c r="X37" s="469" t="n"/>
      <c r="Y37" s="469" t="n"/>
      <c r="Z37" s="469" t="n"/>
      <c r="AA37" s="33" t="n"/>
      <c r="AB37" s="10" t="n"/>
      <c r="AC37" s="468" t="n"/>
      <c r="AD37" s="469" t="n"/>
      <c r="AE37" s="469" t="n"/>
      <c r="AF37" s="469" t="n"/>
      <c r="AG37" s="33" t="n"/>
      <c r="AH37" s="469" t="n"/>
      <c r="AI37" s="469" t="n"/>
      <c r="AJ37" s="469" t="n"/>
      <c r="AK37" s="469" t="n"/>
      <c r="AL37" s="469" t="n"/>
      <c r="AM37" s="469" t="n"/>
      <c r="AN37" s="33" t="n"/>
      <c r="AO37" s="49" t="n"/>
      <c r="AP37" s="468" t="n"/>
      <c r="AQ37" s="469" t="n"/>
      <c r="AR37" s="469" t="n"/>
      <c r="AS37" s="33" t="n"/>
      <c r="AT37" s="469" t="n"/>
      <c r="AU37" s="469" t="n"/>
      <c r="AV37" s="33" t="n"/>
      <c r="AW37" s="10" t="n"/>
      <c r="AX37" s="468" t="n"/>
      <c r="AY37" s="469" t="n"/>
      <c r="AZ37" s="469" t="n"/>
      <c r="BA37" s="33" t="n"/>
      <c r="BB37" s="469" t="n"/>
      <c r="BC37" s="469" t="n"/>
      <c r="BD37" s="33" t="n"/>
    </row>
    <row r="38" ht="1" customHeight="1" thickBot="1">
      <c r="B38" s="67" t="n"/>
      <c r="C38" s="68" t="n"/>
      <c r="D38" s="69" t="n"/>
      <c r="E38" s="69" t="n"/>
      <c r="F38" s="69" t="n"/>
      <c r="G38" s="68" t="n"/>
      <c r="H38" s="69" t="n"/>
      <c r="I38" s="69" t="n"/>
      <c r="J38" s="69" t="n"/>
      <c r="K38" s="69" t="n"/>
      <c r="L38" s="69" t="n"/>
      <c r="M38" s="69" t="n"/>
      <c r="N38" s="68" t="n"/>
      <c r="O38" s="10" t="n"/>
      <c r="P38" s="68" t="n"/>
      <c r="Q38" s="68" t="n"/>
      <c r="R38" s="68" t="n"/>
      <c r="S38" s="68" t="n"/>
      <c r="T38" s="68" t="n"/>
      <c r="U38" s="69" t="n"/>
      <c r="V38" s="69" t="n"/>
      <c r="W38" s="69" t="n"/>
      <c r="X38" s="69" t="n"/>
      <c r="Y38" s="69" t="n"/>
      <c r="Z38" s="69" t="n"/>
      <c r="AA38" s="68" t="n"/>
      <c r="AB38" s="10" t="n"/>
      <c r="AC38" s="68" t="n"/>
      <c r="AD38" s="68" t="n"/>
      <c r="AE38" s="68" t="n"/>
      <c r="AF38" s="68" t="n"/>
      <c r="AG38" s="68" t="n"/>
      <c r="AH38" s="69" t="n"/>
      <c r="AI38" s="69" t="n"/>
      <c r="AJ38" s="69" t="n"/>
      <c r="AK38" s="69" t="n"/>
      <c r="AL38" s="69" t="n"/>
      <c r="AM38" s="69" t="n"/>
      <c r="AN38" s="68" t="n"/>
      <c r="AO38" s="49" t="n"/>
      <c r="AP38" s="68" t="n"/>
      <c r="AQ38" s="68" t="n"/>
      <c r="AR38" s="68" t="n"/>
      <c r="AS38" s="68" t="n"/>
      <c r="AT38" s="69" t="n"/>
      <c r="AU38" s="69" t="n"/>
      <c r="AV38" s="68" t="n"/>
      <c r="AW38" s="10" t="n"/>
      <c r="AX38" s="68" t="n"/>
      <c r="AY38" s="68" t="n"/>
      <c r="AZ38" s="68" t="n"/>
      <c r="BA38" s="68" t="n"/>
      <c r="BB38" s="69" t="n"/>
      <c r="BC38" s="69" t="n"/>
      <c r="BD38" s="68" t="n"/>
    </row>
    <row r="39" hidden="1">
      <c r="B39" s="4" t="inlineStr">
        <is>
          <t>Key observations / commentary</t>
        </is>
      </c>
    </row>
    <row r="40" hidden="1">
      <c r="A40" s="72" t="inlineStr">
        <is>
          <t>-&gt;</t>
        </is>
      </c>
      <c r="B40" s="73" t="inlineStr">
        <is>
          <t>Growth observtions are covered in the previous tab</t>
        </is>
      </c>
    </row>
    <row r="41" hidden="1">
      <c r="A41" s="72" t="inlineStr">
        <is>
          <t>-&gt;</t>
        </is>
      </c>
      <c r="B41" s="73" t="inlineStr">
        <is>
          <t>FY25 claims ratio for Niva is 61.2% compared to 64.5% of Care and 70.3% of Star; Both Care and Star have seen a significant YoY increase in its claims ratio but Niva has seen a moderate increase only</t>
        </is>
      </c>
    </row>
    <row r="42" hidden="1">
      <c r="A42" s="72" t="inlineStr">
        <is>
          <t>-&gt;</t>
        </is>
      </c>
      <c r="B42" s="73" t="inlineStr">
        <is>
          <t>Star has already met the EOM guidelines; Care is on track to meet this in FY25 itself; However, Niva expects to achive this from FY26 onwards</t>
        </is>
      </c>
    </row>
    <row r="43" hidden="1">
      <c r="A43" s="72" t="inlineStr">
        <is>
          <t>-&gt;</t>
        </is>
      </c>
      <c r="B43" s="73" t="inlineStr">
        <is>
          <t>Combined ratio deteriorated for all SAHI in FY25 due to elevated claims ratio; Niva has been able to match the combined ratio with Care and star, in spite of having higher EOM, due to lower relative claims</t>
        </is>
      </c>
    </row>
    <row r="44" hidden="1">
      <c r="A44" s="72" t="inlineStr">
        <is>
          <t>-&gt;</t>
        </is>
      </c>
      <c r="B44" s="73" t="inlineStr">
        <is>
          <t>Star and Niva are comfortable with solvency margins; Care is close to the regulatory requirement so it might need to raise capital in next 12 months or slow down its growth - &gt; good for other SAHIs</t>
        </is>
      </c>
    </row>
    <row r="45" hidden="1">
      <c r="A45" s="72" t="inlineStr">
        <is>
          <t>-&gt;</t>
        </is>
      </c>
      <c r="B45" s="73" t="inlineStr">
        <is>
          <t>Star is most aggressive wrt investment book as their yields are the highest; however they have mainted their leverage at comfortable levels (which can also be seen by high insolvency); Care and Niva are similar wrt investment yields but Care is more levered</t>
        </is>
      </c>
    </row>
    <row r="46" hidden="1">
      <c r="A46" s="72" t="inlineStr">
        <is>
          <t>-&gt;</t>
        </is>
      </c>
      <c r="B46" s="73" t="inlineStr">
        <is>
          <t>Care's profitability has taken a deep hit in FY25 and the company made only 6.9% ROE compared to 15.5% in the last year</t>
        </is>
      </c>
    </row>
    <row r="47" hidden="1">
      <c r="A47" s="72" t="inlineStr">
        <is>
          <t>-&gt;</t>
        </is>
      </c>
      <c r="B47" s="73" t="inlineStr">
        <is>
          <t>In summary, Star is slowest to grow on topline but consistently making mid-teen ROE; Care and Niva are growing their topline but with no / choppy profitability</t>
        </is>
      </c>
    </row>
    <row r="48" ht="15" customHeight="1" thickTop="1"/>
  </sheetData>
  <mergeCells count="2">
    <mergeCell ref="AX3:BD3"/>
    <mergeCell ref="AP3:AV3"/>
  </mergeCells>
  <pageMargins left="0.7086614173228347" right="0.7086614173228347" top="0.7480314960629921" bottom="0.7480314960629921" header="0.3149606299212598" footer="0.3149606299212598"/>
  <pageSetup orientation="landscape" paperSize="9" scale="56" fitToHeight="0"/>
  <legacyDrawing xmlns:r="http://schemas.openxmlformats.org/officeDocument/2006/relationships" r:id="anysvml"/>
</worksheet>
</file>

<file path=xl/worksheets/sheet5.xml><?xml version="1.0" encoding="utf-8"?>
<worksheet xmlns="http://schemas.openxmlformats.org/spreadsheetml/2006/main">
  <sheetPr>
    <tabColor rgb="FF002060"/>
    <outlinePr summaryBelow="1" summaryRight="1"/>
    <pageSetUpPr fitToPage="1"/>
  </sheetPr>
  <dimension ref="A2:F50"/>
  <sheetViews>
    <sheetView showGridLines="0" view="pageBreakPreview" zoomScale="55" zoomScaleNormal="115" zoomScaleSheetLayoutView="55" workbookViewId="0">
      <pane xSplit="2" ySplit="2" topLeftCell="C3" activePane="bottomRight" state="frozen"/>
      <selection activeCell="E9" sqref="E9"/>
      <selection pane="topRight" activeCell="E9" sqref="E9"/>
      <selection pane="bottomLeft" activeCell="E9" sqref="E9"/>
      <selection pane="bottomRight" activeCell="B2" sqref="B2:F7"/>
    </sheetView>
  </sheetViews>
  <sheetFormatPr baseColWidth="8" defaultColWidth="9.1796875" defaultRowHeight="13" outlineLevelRow="1"/>
  <cols>
    <col width="1.7265625" customWidth="1" style="160" min="1" max="1"/>
    <col width="15.7265625" customWidth="1" style="161" min="2" max="2"/>
    <col width="53.90625" customWidth="1" style="162" min="3" max="6"/>
    <col width="9.1796875" customWidth="1" style="152" min="7" max="7"/>
    <col width="9.1796875" customWidth="1" style="152" min="8" max="16384"/>
  </cols>
  <sheetData>
    <row r="2" ht="26" customHeight="1">
      <c r="A2" s="338" t="inlineStr">
        <is>
          <t>xx</t>
        </is>
      </c>
      <c r="B2" s="339" t="inlineStr">
        <is>
          <t>Q4'26 Concall</t>
        </is>
      </c>
      <c r="C2" s="339" t="inlineStr">
        <is>
          <t>Niva Bupa</t>
        </is>
      </c>
      <c r="D2" s="339" t="inlineStr">
        <is>
          <t>Star Health</t>
        </is>
      </c>
      <c r="E2" s="339" t="inlineStr">
        <is>
          <t>ICICI Lombard</t>
        </is>
      </c>
      <c r="F2" s="339" t="inlineStr">
        <is>
          <t>Go Digit</t>
        </is>
      </c>
    </row>
    <row r="3" ht="64" customHeight="1">
      <c r="B3" s="340" t="inlineStr">
        <is>
          <t>Growth</t>
        </is>
      </c>
      <c r="C3" s="341" t="inlineStr">
        <is>
          <t>FY26 GWP ₹9,433 Cr (+27.4%); Q4 GWP ₹2,880 Cr (+39% YoY); Retail market share 10.4% Q4 (up from 9%); Net add 58k agents in FY26</t>
        </is>
      </c>
      <c r="D3" s="341" t="inlineStr">
        <is>
          <t>FY26 GWP ₹20,369 Cr (+16%); Q4 +17%; Fresh retail +38% Q4; NTI mix improved to 93% (vs 89% FY25); Policy count +8% YoY</t>
        </is>
      </c>
      <c r="E3" s="341" t="inlineStr">
        <is>
          <t>FY26 GDPI +7% (vs industry +9.2%); Q4 +18.2%; Retail Health +51.1% FY26 (share 4.1%, up from 3.3%); Motor H2 +12%; Health +20% FY26</t>
        </is>
      </c>
      <c r="F3" s="341" t="inlineStr">
        <is>
          <t>FY26 GWP ~₹11,300 Cr (+16.2%); Q4 GDPI +21.3%; Q4 GWP optically +6.2% (suppressed by ₹252 Cr reinsurance exit; ex-health +18.8%); 2-wheeler Q4 +52%</t>
        </is>
      </c>
    </row>
    <row r="4" ht="64" customHeight="1">
      <c r="B4" s="340" t="inlineStr">
        <is>
          <t>Profitability</t>
        </is>
      </c>
      <c r="C4" s="341" t="inlineStr">
        <is>
          <t>IFRS PAT ₹366 Cr (+80% FY); Q4 PAT +90% YoY; FY COR 101.4% (↓160bps); Q4 COR 97.4%; EOM 33.7%; ROE 10.7%; Solvency 2.49x</t>
        </is>
      </c>
      <c r="D4" s="341" t="inlineStr">
        <is>
          <t>FY26 PAT ₹911 Cr (+16%); Underwriting profit ₹206 Cr (vs loss ₹165 Cr); FY COR 98.8%; Q4 reported PAT loss ₹55 Cr (equity MTM ₹558 Cr); Normalised PAT ₹1,222 Cr (+45%); Normalised ROE 13.1%</t>
        </is>
      </c>
      <c r="E4" s="341" t="inlineStr">
        <is>
          <t>FY26 PAT ₹2,761 Cr (+14.1%); FY COR 102.4%; Q4 COR 100.5% (best quarterly in recent history); ROAE 17.8%; Solvency 2.67x; Dividend ₹13.50/share</t>
        </is>
      </c>
      <c r="F4" s="341" t="inlineStr">
        <is>
          <t>Q4 PAT ₹179 Cr (+69%); FY26 ROE 17.7% (on IGAAP net worth); FY26 COR 105.7% (↓1.2pp); DAC pre-tax ₹2,470 Cr (~65% unwinds FY27); Solvency 2.42x</t>
        </is>
      </c>
    </row>
    <row r="5" ht="64" customHeight="1">
      <c r="B5" s="340" t="inlineStr">
        <is>
          <t>Competition</t>
        </is>
      </c>
      <c r="C5" s="341" t="inlineStr">
        <is>
          <t>Channel mix: Agency 30%, Brokers 30%, Banks 20%; New:Renewal ~40:60; Long-term policies ~20% of book; PPN 49 cities, 1,000+ hospitals</t>
        </is>
      </c>
      <c r="D5" s="341" t="inlineStr">
        <is>
          <t>Agency &gt;90% of retail; 8 lakh+ agents (target 1M in 2 yrs); agent productivity +37% fresh; SME now 78% of group (vs 58% FY25); Long-term policies 51% of fresh GWP</t>
        </is>
      </c>
      <c r="E5" s="341" t="inlineStr">
        <is>
          <t>Retail Health share 4.1% FY26 (up from 3.3%); long-term 42.1% of fresh NB (vs 28.5%); Motor retention +5%; IL OneForce 10k+ sales users; fire: deliberate market share sacrifice on pricing discipline</t>
        </is>
      </c>
      <c r="F5" s="341" t="inlineStr">
        <is>
          <t>Opex 7% of GWP (best-in-class vs peers &gt;9.5%); specialty commercial lines new growth vector — target ₹1,000 Cr in 3-5 years; motor pricing correction visible April; CV at historic low (24% vs ~40% FY20)</t>
        </is>
      </c>
    </row>
    <row r="6" ht="64" customHeight="1">
      <c r="B6" s="340" t="inlineStr">
        <is>
          <t>Regulations</t>
        </is>
      </c>
      <c r="C6" s="341" t="inlineStr">
        <is>
          <t>Ind AS (IFRS 17) effective Apr 2026 – reporting-ready; EOM 33.7% (vs 36% limit); Banca regulation risk largely de-risked via retail cross-sell focus</t>
        </is>
      </c>
      <c r="D6" s="341" t="inlineStr">
        <is>
          <t>IFRS mandatory Apr 2026 – company already aligned; EOM compliant; PIR (Public Insurance Registry) positive for underwriting data quality</t>
        </is>
      </c>
      <c r="E6" s="341" t="inlineStr">
        <is>
          <t>IFRS mandatory Apr 2026; seeking Year-1 forbearance; IFRS adoption to reduce reported COR by 300-450bps; Motor TP hike overdue (~5 yrs); EOM: only 21/34 players compliant</t>
        </is>
      </c>
      <c r="F6" s="341" t="inlineStr">
        <is>
          <t>First insurer with full-year Ind AS audited results; Ind AS net worth ₹7,600 Cr vs IGAAP ₹4,600 Cr (₹3,000 Cr excess); EOM breach due to 2W mix (not opex); acquisition cost intervention expected within 2-3 months</t>
        </is>
      </c>
    </row>
    <row r="7" ht="64" customHeight="1">
      <c r="B7" s="340" t="inlineStr">
        <is>
          <t>Others / Highlights</t>
        </is>
      </c>
      <c r="C7" s="341" t="inlineStr">
        <is>
          <t>NPS 60; Claims 94%+; COR target 99% by FY29; ROE mid-to-high teens by FY29</t>
        </is>
      </c>
      <c r="D7" s="341" t="inlineStr">
        <is>
          <t>Renewal ratio 99% (+2pp); NPS 62; Repriced ~80% of book; Annual price increase planned across all products; Medical inflation 12-13%</t>
        </is>
      </c>
      <c r="E7" s="341" t="inlineStr">
        <is>
          <t>IL TakeCare FY26 GWP ₹517 Cr (vs ₹224 Cr FY25); Motor loss ratio 66.3% (within 65-67% guidance); Call Centre NPS 74 (Q4)</t>
        </is>
      </c>
      <c r="F7" s="341" t="inlineStr">
        <is>
          <t>AUM ₹23,000 Cr (+16.3%); Equity allocation 8.5% (target 10%); FY27 reinsurance renewed – fire/engineering capacity up, NatCat limit ₹1,600→₹2,000 Cr</t>
        </is>
      </c>
    </row>
    <row r="10" ht="26" customHeight="1">
      <c r="A10" s="338" t="inlineStr">
        <is>
          <t>xx</t>
        </is>
      </c>
      <c r="B10" s="339" t="inlineStr">
        <is>
          <t>Q3'26 Concall</t>
        </is>
      </c>
      <c r="C10" s="339" t="inlineStr">
        <is>
          <t>Niva Bupa</t>
        </is>
      </c>
      <c r="D10" s="339" t="inlineStr">
        <is>
          <t>Star Health</t>
        </is>
      </c>
      <c r="E10" s="339" t="inlineStr">
        <is>
          <t>ICICI Lombard</t>
        </is>
      </c>
      <c r="F10" s="339" t="inlineStr">
        <is>
          <t>Go Digit</t>
        </is>
      </c>
    </row>
    <row r="11" ht="55.5" customHeight="1">
      <c r="B11" s="340" t="inlineStr">
        <is>
          <t>Growth</t>
        </is>
      </c>
      <c r="C11" s="341" t="inlineStr">
        <is>
          <t>Q3 GWP +31% YoY; 9M GWP +26%; Retail +33% (9M), +46% fresh (Q3); Market share 10.2% Q3; Agency +43%; Digital D2C +70%</t>
        </is>
      </c>
      <c r="D11" s="341" t="inlineStr">
        <is>
          <t>Q3 GWP +23%; 9M GWP +16%; Fresh retail +45% Q3; Retail market share 31.3% (9M); Long-term policies 51% of fresh GWP</t>
        </is>
      </c>
      <c r="E11" s="341" t="inlineStr">
        <is>
          <t>Q3 GDPI ₹7,041 Cr (+13.3% vs industry +11.5%); 9M underperformed (+3.6% vs industry +8.7%); Retail Health +85.8% Q3 (share 4.5%); Health +42% Q3</t>
        </is>
      </c>
      <c r="F11" s="341" t="inlineStr">
        <is>
          <t>Q3 GDPI ₹2,557 Cr (+20.9%); GWP like-like +18.5% (headline +8.7% suppressed by ₹254 Cr govt health exit); 2-wheeler +47% Q3</t>
        </is>
      </c>
    </row>
    <row r="12" ht="55.5" customHeight="1">
      <c r="B12" s="340" t="inlineStr">
        <is>
          <t>Profitability</t>
        </is>
      </c>
      <c r="C12" s="341" t="inlineStr">
        <is>
          <t>9M IFRS PAT ₹208 Cr (+74%); Q3 PAT ₹77 Cr (incl. ₹20 Cr one-off wage code); 9M COR 102.9% (↓50bps); Retail loss ratio 66.9%; Solvency 2.49x</t>
        </is>
      </c>
      <c r="D12" s="341" t="inlineStr">
        <is>
          <t>Q3 PAT ₹449 Cr (vs ₹87 Cr); 9M PAT ₹966 Cr (+87%); Q3 COR 98.9% (↓320bps); 9M COR 99.8%; 9M underwriting profit ₹20 Cr (vs loss ₹227 Cr)</t>
        </is>
      </c>
      <c r="E12" s="341" t="inlineStr">
        <is>
          <t>Q3 PAT ₹680 Cr (n-basis, flat YoY); wage code one-time ₹55 Cr hit; ex-wage code Q3 COR 102.2%; 9M PAT ₹2,225 Cr (+11.3%); ROE 19.5% (9M); Solvency 2.69x</t>
        </is>
      </c>
      <c r="F12" s="341" t="inlineStr">
        <is>
          <t>Q3 PAT ₹140 Cr (+37%); 9M profit already exceeded full-year FY25; IFRS COR 105% (↓1.2pp); Motor OD loss ratio elevated at 75.6%; corrective pricing taken Oct &amp; Jan</t>
        </is>
      </c>
    </row>
    <row r="13" ht="63" customHeight="1">
      <c r="B13" s="340" t="inlineStr">
        <is>
          <t>Competition</t>
        </is>
      </c>
      <c r="C13" s="341" t="inlineStr">
        <is>
          <t>GST-driven volume acceleration sustaining; ReAssure 3.0 fastest growing (inflation-proof, unlimited SI); PPN 1,100 hospitals in 47 cities</t>
        </is>
      </c>
      <c r="D13" s="341" t="inlineStr">
        <is>
          <t>8 lakh+ agents; Corporate SME now 73% of group (vs 44% LY); Group loss ratio improved 94.6%→83.5% (9M); 66% fresh from semi-urban/rural</t>
        </is>
      </c>
      <c r="E13" s="341" t="inlineStr">
        <is>
          <t>Motor market share #1 at 10.7% (9M); Retail Health share 4.5% Q3 (up from 3.2%); Motor COR 106.9% vs industry 128.5%; Commercial: SME fire growing, large fire underwriting disciplined</t>
        </is>
      </c>
      <c r="F13" s="341" t="inlineStr">
        <is>
          <t>Motor 66% of mix; opex 7% of GWP (best-in-class); EV 2-wheeler tail risk reinsurance taken; CV at all-time low 19%</t>
        </is>
      </c>
    </row>
    <row r="14" ht="55.5" customHeight="1">
      <c r="B14" s="340" t="inlineStr">
        <is>
          <t>Regulations</t>
        </is>
      </c>
      <c r="C14" s="341" t="inlineStr">
        <is>
          <t>Insurance Amendment Act: 100% FDI key positive; IFRS transition ahead of Apr 2027; EOM compliant (ex-1/n basis); GST savings ~50bps COR benefit (offset by ITC loss)</t>
        </is>
      </c>
      <c r="D14" s="341" t="inlineStr">
        <is>
          <t>IFRS mandatory Apr 2027; Senior citizen trail commission cut to 10%; Common empanelment 1,000 hospitals live (target 5,000); Medical inflation 12-13%</t>
        </is>
      </c>
      <c r="E14" s="341" t="inlineStr">
        <is>
          <t>100% FDI via Insurance Amendment Bill; Wage code ₹55 Cr one-time hit; GST exemption on retail health driving first-time buyers in tier 2/3; 1/n tracked on n-basis internally</t>
        </is>
      </c>
      <c r="F14" s="341" t="inlineStr">
        <is>
          <t>EOM breach due to 2W mix shift and govt health exit; would comply on segment-wise basis; advocating LOB-wise EOM to IRDAI; IFRS COR disclosed for first time</t>
        </is>
      </c>
    </row>
    <row r="15" ht="55.5" customHeight="1">
      <c r="B15" s="340" t="inlineStr">
        <is>
          <t>Others / Highlights</t>
        </is>
      </c>
      <c r="C15" s="341" t="inlineStr">
        <is>
          <t>NPS 58; Claims ~95%; App MAU ~600k; Common empanelment – 7 infection protocols live</t>
        </is>
      </c>
      <c r="D15" s="341" t="inlineStr">
        <is>
          <t>Renewal persistency 99.2% (9M); NPS 64; App 13M downloads, 1.5M MAU; AI claims platform 57% traffic migrated</t>
        </is>
      </c>
      <c r="E15" s="341" t="inlineStr">
        <is>
          <t>Digital servicing 60% (vs 38% Apr'25); IL TakeCare 19.7M downloads, 9M GWP ₹354 Cr; Motor loss ratio 9M 66.3% (within guidance)</t>
        </is>
      </c>
      <c r="F15" s="341" t="inlineStr">
        <is>
          <t>AUM ₹22,509 Cr; Equity allocation 7.4% (doubled in 12-15 months); Unrealised gains ₹686 Cr; Promoter buyback at ₹375/share</t>
        </is>
      </c>
    </row>
    <row r="16" ht="11.5" customHeight="1">
      <c r="B16" s="342" t="n"/>
      <c r="C16" s="343" t="n"/>
      <c r="D16" s="343" t="n"/>
      <c r="E16" s="343" t="n"/>
      <c r="F16" s="343" t="n"/>
    </row>
    <row r="17">
      <c r="A17" s="160" t="inlineStr">
        <is>
          <t>xx</t>
        </is>
      </c>
      <c r="B17" s="150" t="inlineStr">
        <is>
          <t>Q2'26 Concall</t>
        </is>
      </c>
      <c r="C17" s="151" t="inlineStr">
        <is>
          <t>Niva Bupa</t>
        </is>
      </c>
      <c r="D17" s="151" t="inlineStr">
        <is>
          <t>Star Health</t>
        </is>
      </c>
      <c r="E17" s="151" t="inlineStr">
        <is>
          <t>ICICI Lombard</t>
        </is>
      </c>
      <c r="F17" s="151" t="inlineStr">
        <is>
          <t>Go Digit</t>
        </is>
      </c>
    </row>
    <row r="18" ht="43.5" customHeight="1">
      <c r="B18" s="307" t="inlineStr">
        <is>
          <t>Growth</t>
        </is>
      </c>
      <c r="C18" s="191" t="inlineStr">
        <is>
          <t>GWP +24.5% YoY (ex-1/n); Retail +18%; steady market share (~10%).</t>
        </is>
      </c>
      <c r="D18" s="191" t="inlineStr">
        <is>
          <t>GWP +12% YoY; Retail +17% (₹8,332 Cr); 98% renewal persistency; digital NB up.</t>
        </is>
      </c>
      <c r="E18" s="191" t="inlineStr">
        <is>
          <t>GDPI -1.9% YoY (core GDPI +3.5%); Retail Health +32%; Fire segment growth, Motor faces challenges.</t>
        </is>
      </c>
      <c r="F18" s="191" t="inlineStr">
        <is>
          <t>Net worth +35%; AUM ₹20,861 Cr; customer base 71m.</t>
        </is>
      </c>
    </row>
    <row r="19" ht="43.5" customHeight="1">
      <c r="B19" s="307" t="inlineStr">
        <is>
          <t>Profitability</t>
        </is>
      </c>
      <c r="C19" s="191" t="inlineStr">
        <is>
          <t>IFRS PAT ₹62 Cr (vs ₹24 Cr); Combined ratio 103.1% (↓141bps); Claims settlement 95.2%.</t>
        </is>
      </c>
      <c r="D19" s="191" t="inlineStr">
        <is>
          <t>PAT ₹55 Cr (↓51% YoY); H1 PAT ₹518 Cr (+21% YoY); Loss ratio 71.8% (↓190bps); Combined ratio 101%.</t>
        </is>
      </c>
      <c r="E19" s="191" t="inlineStr">
        <is>
          <t>PAT ₹820 Cr (+18% YoY); Combined ratio 102.9%; Core segment margins up; ROE 20.5%.</t>
        </is>
      </c>
      <c r="F19" s="191" t="inlineStr">
        <is>
          <t>First positive PAT; Combined ratio ~107.5%. Net retention ~65%. IFRS ROE 4.8%.</t>
        </is>
      </c>
    </row>
    <row r="20" ht="58" customHeight="1">
      <c r="B20" s="307" t="inlineStr">
        <is>
          <t>Competition</t>
        </is>
      </c>
      <c r="C20" s="191" t="inlineStr">
        <is>
          <t>Retail share stable (~68%); Strong surge in queries/conversions post-GST; ReAssure 3.0 launched.</t>
        </is>
      </c>
      <c r="D20" s="191" t="inlineStr">
        <is>
          <t>Continued retail leadership (32% market share), Super Star &gt;₹1,250 Cr premium; strong digital app traction (12m downloads).</t>
        </is>
      </c>
      <c r="E20" s="191" t="inlineStr">
        <is>
          <t>Leadership in Motor (10.5% share); Retail Health share ↑3.5%; cautious commercial vehicle approach due to pricing.</t>
        </is>
      </c>
      <c r="F20" s="191" t="inlineStr">
        <is>
          <t>2-wheeler focus (31% of motor premium); retail health &lt;10%; tactical reinsurance in Fire.</t>
        </is>
      </c>
    </row>
    <row r="21" ht="43.5" customHeight="1">
      <c r="B21" s="307" t="inlineStr">
        <is>
          <t>Regulations</t>
        </is>
      </c>
      <c r="C21" s="191" t="inlineStr">
        <is>
          <t>IFRS metrics used; GST cut to zero driving affordability; solvency 2.85x.</t>
        </is>
      </c>
      <c r="D21" s="191" t="inlineStr">
        <is>
          <t>IFRS transition ahead of Apr'27; GST impacts pricing and claims; solvency robust at 2.15x.</t>
        </is>
      </c>
      <c r="E21" s="191" t="inlineStr">
        <is>
          <t>GST cut fully passed to policyholders; solvency 2.7x.</t>
        </is>
      </c>
      <c r="F21" s="191" t="inlineStr">
        <is>
          <t>Full IFRS disclosure incl. DAC, reserve rate. Solvency 227%.</t>
        </is>
      </c>
    </row>
    <row r="22" ht="58" customHeight="1">
      <c r="B22" s="307" t="inlineStr">
        <is>
          <t>Others / Highlights</t>
        </is>
      </c>
      <c r="C22" s="191" t="inlineStr">
        <is>
          <t>13m+ app downloads; digital claims, increased health checkups via app; distribution &amp; analytics investments.</t>
        </is>
      </c>
      <c r="D22" s="191" t="inlineStr">
        <is>
          <t>Expense ratio improvement (29.3%, ↓180bps); portfolio recalibration paying off; annual repricing of flagship products.</t>
        </is>
      </c>
      <c r="E22" s="191" t="inlineStr">
        <is>
          <t>Dividend up to ₹6.5/share; digital engagement ↑, IL Sahayak claims support expanded; continued cost discipline.</t>
        </is>
      </c>
      <c r="F22" s="191" t="inlineStr">
        <is>
          <t>IFRS reserve up after rate cut; disclosure culture improved; strategy to drive retention gradually.</t>
        </is>
      </c>
    </row>
    <row r="28">
      <c r="A28" s="160" t="inlineStr">
        <is>
          <t>xx</t>
        </is>
      </c>
      <c r="B28" s="150" t="inlineStr">
        <is>
          <t>Q1'26 Concall</t>
        </is>
      </c>
      <c r="C28" s="151" t="inlineStr">
        <is>
          <t>Niva Bupa</t>
        </is>
      </c>
      <c r="D28" s="151" t="inlineStr">
        <is>
          <t>Star Health</t>
        </is>
      </c>
      <c r="E28" s="151" t="inlineStr">
        <is>
          <t>ICICI Lombard</t>
        </is>
      </c>
      <c r="F28" s="151" t="inlineStr">
        <is>
          <t>Go Digit</t>
        </is>
      </c>
    </row>
    <row r="29" ht="43.5" customHeight="1">
      <c r="B29" s="307" t="inlineStr">
        <is>
          <t>Growth</t>
        </is>
      </c>
      <c r="C29" s="191" t="inlineStr">
        <is>
          <t>GWP +28% YoY (ex-1/n); Retail +32%; market share steady at ~10%.</t>
        </is>
      </c>
      <c r="D29" s="191" t="inlineStr">
        <is>
          <t>GWP +13% YoY; Retail +18% (₹3,667 Cr); 94% of book retail; digital new biz +73% YoY.</t>
        </is>
      </c>
      <c r="E29" s="191" t="inlineStr">
        <is>
          <t>GDPI +0.6% (vs industry +8.8%); Commercial +6.8%; Motor +3.2%; Retail Health +32%, Group Health –2.5%.</t>
        </is>
      </c>
      <c r="F29" s="191" t="inlineStr">
        <is>
          <t>PBT ₹161 Cr; PAT ₹138 Cr (first profit post-tax); Net worth ₹4,173 Cr (+35% YoY); AUM ₹20,861 Cr; 71m customers.</t>
        </is>
      </c>
    </row>
    <row r="30" ht="43.5" customHeight="1">
      <c r="B30" s="307" t="inlineStr">
        <is>
          <t>Profitability</t>
        </is>
      </c>
      <c r="C30" s="191" t="inlineStr">
        <is>
          <t>IFRS PAT ₹70 Cr (vs ₹36 Cr); Combined ratio 103.2% (↓70bps); EoM ratio improved to 35.9% (↓480bps).</t>
        </is>
      </c>
      <c r="D30" s="191" t="inlineStr">
        <is>
          <t>IFRS PAT ₹438 Cr (+44% YoY); Claim ratio 69.5%; Combined ratio 99.6%; expense ratio 30.1%; Inv. income ₹586 Cr.</t>
        </is>
      </c>
      <c r="E30" s="191" t="inlineStr">
        <is>
          <t>PAT ₹747 Cr (+29% YoY); Combined ratio 102.9% (vs 102.3%); Inv. income ₹1,288 Cr; ROE 20.5%.</t>
        </is>
      </c>
      <c r="F30" s="191" t="inlineStr">
        <is>
          <t>Loss ratio 70.3% (flat YoY); Net retention ↓ to 65%; Combined ratio ~107.5% adj.; IFRS ROE 4.8%; Inv. income ₹372 Cr.</t>
        </is>
      </c>
    </row>
    <row r="31" ht="58" customHeight="1">
      <c r="B31" s="307" t="inlineStr">
        <is>
          <t>Competition</t>
        </is>
      </c>
      <c r="C31" s="191" t="inlineStr">
        <is>
          <t>Retail share 67%, Group 31%; price hike of 7% on flagship ReAssure 2.0; SME focus in Group.</t>
        </is>
      </c>
      <c r="D31" s="191" t="inlineStr">
        <is>
          <t>Products (Super Star, Health Assure) ~80% of new biz; agency force 7.9 L (2× peer); digital 20% of NB.</t>
        </is>
      </c>
      <c r="E31" s="191" t="inlineStr">
        <is>
          <t>Maintains leadership in Motor (10.5% share) &amp; Retail Health (share ↑ to 3.5%); cautious in CV due to pricing.</t>
        </is>
      </c>
      <c r="F31" s="191" t="inlineStr">
        <is>
          <t>Strong position in 2-wheeler (31% of motor premium); retail health &lt;10% (group heavy); tactical reinsurance in Fire.</t>
        </is>
      </c>
    </row>
    <row r="32" ht="43.5" customHeight="1">
      <c r="B32" s="307" t="inlineStr">
        <is>
          <t>Regulations</t>
        </is>
      </c>
      <c r="C32" s="191" t="inlineStr">
        <is>
          <t>1/n accounting continues to distort I-GAAP; IFRS used for true picture; solvency 2.86x.</t>
        </is>
      </c>
      <c r="D32" s="191" t="inlineStr">
        <is>
          <t>Transition to IFRS (quarterly reporting) ahead of Apr’27 mandate.</t>
        </is>
      </c>
      <c r="E32" s="191" t="inlineStr">
        <is>
          <t>Impact of 1/n visible in muted health growth; solvency 2.7x.</t>
        </is>
      </c>
      <c r="F32" s="191" t="inlineStr">
        <is>
          <t>Full IFRS disclosures incl. discount rates &amp; DAC; solvency 227%.</t>
        </is>
      </c>
    </row>
    <row r="33" ht="58" customHeight="1">
      <c r="B33" s="307" t="inlineStr">
        <is>
          <t>Others / Highlights</t>
        </is>
      </c>
      <c r="C33" s="191" t="inlineStr">
        <is>
          <t>Health app 12.3m downloads; chronic disease mgmt program launched; NPS 57 overall; automation upgrades (Oracle, Sprinklr, Convin).</t>
        </is>
      </c>
      <c r="D33" s="191" t="inlineStr">
        <is>
          <t>Claims NPS ↑ to 57; Claim settlement ratio ↑ to 90%; fraud savings +30%; governance strengthened with ex-Commerce Secy as Chair.</t>
        </is>
      </c>
      <c r="E33" s="191" t="inlineStr">
        <is>
          <t>“One IL One Team” efficiency drive: +78% productivity; IL Sahayak assisted 28k customers; digital engagement 38% (↑16pp YoY).</t>
        </is>
      </c>
      <c r="F33" s="191" t="inlineStr">
        <is>
          <t>First positive PAT; IFRS discount rate cut to 6.3% (reserve ↑); clear disclosure culture; strategy to gradually raise retention.</t>
        </is>
      </c>
    </row>
    <row r="35">
      <c r="A35" s="160" t="inlineStr">
        <is>
          <t>xx</t>
        </is>
      </c>
      <c r="B35" s="150" t="inlineStr">
        <is>
          <t>Q4'25 Concall</t>
        </is>
      </c>
      <c r="C35" s="151" t="inlineStr">
        <is>
          <t>Niva Bupa</t>
        </is>
      </c>
      <c r="D35" s="151" t="inlineStr">
        <is>
          <t>Star Health</t>
        </is>
      </c>
      <c r="E35" s="151" t="inlineStr">
        <is>
          <t>ICICI Lombard</t>
        </is>
      </c>
      <c r="F35" s="151" t="inlineStr">
        <is>
          <t>Go Digit</t>
        </is>
      </c>
    </row>
    <row r="36" ht="104" customHeight="1">
      <c r="B36" s="153" t="inlineStr">
        <is>
          <t>Growth</t>
        </is>
      </c>
      <c r="C36" s="154" t="inlineStr">
        <is>
          <t>- GWP: ₹7,406 Cr (+32% YoY on like-for-like)
- Retail share 65.5%, added 30 distribution partners and 8,000 agents
- Group business grew from two large corporate accounts based on wellness ecosystem value proposition
- Retail market share up from 9.1% to 9.4%</t>
        </is>
      </c>
      <c r="D36" s="154" t="inlineStr">
        <is>
          <t>- GWP growth: +15%
- Fresh retail GWP: +25%
- Fresh business digital channel: +71%
- Digital + SME segment expansion
- Targeting Gen Z, MSMEs, rural expansion through agency and tech</t>
        </is>
      </c>
      <c r="E36" s="154" t="inlineStr">
        <is>
          <t>- GDPI: 8.3% YoY (vs 6.2% industry)
- Health: +19.2% (Retail +38.1%)
- Gained 210 bps over industry
- Positive long-term outlook due to higher disposable income, regulatory boost, rising protection awareness</t>
        </is>
      </c>
      <c r="F36" s="154" t="inlineStr">
        <is>
          <t>- GWP: ₹10,282 Cr (1/n)- 14% YoY growth, 10,419 Cr w/o 1/n
- Fire segment pricing pressure impacted growth
- Expected to grow 1.7–1.8x industry over 3–5 years
- Targeting low-commission, higher ROE business even if COR looks worse</t>
        </is>
      </c>
    </row>
    <row r="37" ht="78" customHeight="1">
      <c r="B37" s="153" t="inlineStr">
        <is>
          <t>Profitability</t>
        </is>
      </c>
      <c r="C37" s="154" t="inlineStr">
        <is>
          <t>- PAT (IFRS): ₹203 Cr, +91% YoY- COR (adj.): 96.1% (↓ 270 bps YoY)
- Loss ratio improved 80 bps; expense ratio improved 190 bps
- Yield: 7.4% on AUM of ₹8,175 Cr</t>
        </is>
      </c>
      <c r="D37" s="155" t="inlineStr">
        <is>
          <t>- PAT: ₹787 Cr (vs ₹1,103 Cr)- ROE: 9.5%- COR: 101.1% (vs 97.3%)- Claim ratio rose to 70.7% (↑ severity/frequency of surgical claims)- Group business rebalanced due to high losses (↓ from 9% to 7% GWP share)</t>
        </is>
      </c>
      <c r="E37" s="154" t="inlineStr">
        <is>
          <t>- PAT: ₹2,508 Cr (+30.7%)
- ROAE: 19.1% (FY), 14.5% (Q4)
- COR: 102.6% (improved despite industry worsening to 113.2%)
- Combined profitability from pricing discipline and customer experience investments</t>
        </is>
      </c>
      <c r="F37" s="154" t="inlineStr">
        <is>
          <t>- PAT: ₹425 Cr (vs ₹182 Cr prev. year)
- ROE: 13% FY, 3.5% Q4
- COR on NEP basis: 110.8% (improved 1.4% YoY)
- Strategic focus on ROE vs IRDA COR comparison; not relying on equity gains</t>
        </is>
      </c>
    </row>
    <row r="38" ht="91" customHeight="1">
      <c r="B38" s="153" t="inlineStr">
        <is>
          <t>Competition</t>
        </is>
      </c>
      <c r="C38" s="154" t="inlineStr">
        <is>
          <t>- Gained group business due to wellness ecosystem and total cost ownership value to corporates
- Targeting “Missing Middle” with new "Rise" product
- Mobile app adoption strong: 11M downloads, 0.5M+ monthly active users</t>
        </is>
      </c>
      <c r="D38" s="155" t="inlineStr">
        <is>
          <t>- 33% retail health share – 3x nearest competitor- Leading in digital, wellness-integrated products (e.g., Superstar policy with ₹550 Cr GWP)- Differentiated via strong agency base (7.75 lakh agents) and app-led claims support</t>
        </is>
      </c>
      <c r="E38" s="154" t="inlineStr">
        <is>
          <t>- Gained retail health share from 3.0% to 3.3%
- Cautious in Fire &amp; Commercial due to pricing pressures
- Competitor CORs deteriorating while IL maintains control
- Sector poised for price hikes in Motor &amp; Health</t>
        </is>
      </c>
      <c r="F38" s="154" t="inlineStr">
        <is>
          <t>- Holding 3.3% overall market share, 5.92% in motor
- Shifting to profitable low-commission segments (less focus on topline)
- Outperformed industry on ROE basis despite appearing higher COR</t>
        </is>
      </c>
    </row>
    <row r="39" ht="78" customHeight="1">
      <c r="B39" s="153" t="inlineStr">
        <is>
          <t>Regulations</t>
        </is>
      </c>
      <c r="C39" s="154" t="inlineStr">
        <is>
          <t>- Adjusted for 1/n norm in disclosures
- Reporting on IFRS and iGAAP
- Advocated alignment with fair economics in employer health pricing</t>
        </is>
      </c>
      <c r="D39" s="154" t="inlineStr">
        <is>
          <t>- Regulatory shifts (Master Circular, "Insurance for All 2047")
- Budget 2025: GST reduction on premiums discussed
- Aligned with reforms via tech and new customer segments</t>
        </is>
      </c>
      <c r="E39" s="154" t="inlineStr">
        <is>
          <t>- Regulatory reforms: senior citizen premium cap (10%/yr), BIMA-ASBA launched
- Budget measures: FDI limit increased to 100%, tax reliefs expected to spur insurance demand</t>
        </is>
      </c>
      <c r="F39" s="154" t="inlineStr">
        <is>
          <t>- Advocating NEP-based COR transparency
- Highlighted that IRDA COR distorts reality due to mismatched expense accounting</t>
        </is>
      </c>
    </row>
    <row r="40" ht="117" customHeight="1">
      <c r="B40" s="153" t="inlineStr">
        <is>
          <t>Others</t>
        </is>
      </c>
      <c r="C40" s="154" t="inlineStr">
        <is>
          <t>- Solvency: 3.03x- NPS: 55 (↑ from 50), claims NPS: 67
- Preferred Provider Network: 600 hospitals in 40 cities
- Claims auto-adjudication rate: 28.5%</t>
        </is>
      </c>
      <c r="D40" s="154" t="inlineStr">
        <is>
          <t>- Solvency: 2.21x
- Claims NPS: 55
- App downloads: 1 Cr
- Preventive health checks ↑ 48%
- Home healthcare in 156 cities
- Claims fraud savings: 2.6% of outgo</t>
        </is>
      </c>
      <c r="E40" s="154" t="inlineStr">
        <is>
          <t>- Solvency: 2.69x
- Investment income: ₹4,250 Cr (↑ YoY)
- PBT: ₹3,321 Cr
- Dividend: ₹12.5/share proposed (↑ from ₹11 last year)
- ROAE improvement due to higher margin business
- ‘One IL Digital’ platform saw 37% jump in transactions; NPS of 67 (Health), 69 (Motor)</t>
        </is>
      </c>
      <c r="F40" s="154" t="inlineStr">
        <is>
          <t>- No capital gains (₹3.4 Cr loss); strategic shift to long-duration bonds
- Solvency: 2.24x- AUM ~₹20,000 Cr
- Declares COR on NEP basis for fairer view
- Focus on non-price-sensitive underwriting</t>
        </is>
      </c>
    </row>
    <row r="43" hidden="1" outlineLevel="1">
      <c r="B43" s="150" t="inlineStr">
        <is>
          <t>H1'25 Concall</t>
        </is>
      </c>
      <c r="C43" s="151" t="inlineStr">
        <is>
          <t>Niva Bupa</t>
        </is>
      </c>
      <c r="D43" s="151" t="inlineStr">
        <is>
          <t>Star Health</t>
        </is>
      </c>
      <c r="E43" s="151" t="inlineStr">
        <is>
          <t>ICICI Lombard</t>
        </is>
      </c>
      <c r="F43" s="151" t="inlineStr">
        <is>
          <t>Go Digit</t>
        </is>
      </c>
    </row>
    <row r="44" hidden="1" outlineLevel="1" ht="208" customHeight="1">
      <c r="B44" s="153" t="inlineStr">
        <is>
          <t>Growth</t>
        </is>
      </c>
      <c r="C44" s="156" t="inlineStr">
        <is>
          <t>1. Niva Bupa grew at 33.1% against 9.6 % of industry average
2. Overall market share improved on YoY basis from 4.1% to 5 %
3. New business book has grown at 40% with similar pace across all the channels with Banca growing faster
4. Expecting a robust CAGR of around 17%  to 18% in retail book over next 4-5 years</t>
        </is>
      </c>
      <c r="D44" s="157" t="inlineStr">
        <is>
          <t>1. Outperformed industry growth with a 17% increase in overall GWP, including a 31% rise in fresh business
2. Agency business contributed 80.4% of GWP, with a 17% growth in fresh GWP. The company expanded its agent network to 742,000
3. Digital channel grew 41%, becoming the fastest-growing vertical, contributing 7.4% to GWP
4.Target to double GWP and triple PAT by FY2028, driven by distribution expansion, pricing corrections, and operational improvements
5. ABCD Engines of Growth- Agency ,Banca, Corporate and Digital</t>
        </is>
      </c>
      <c r="E44" s="156" t="inlineStr">
        <is>
          <t>1. Recorded a 15.5% growth, outpacing industry growth of 7.0%
2.Retail health GDPI grew 41.4%, supported by the launch of the "Elevate" product
3. Customer-facing digital business grew 14.7%, contributing 6.3% to overall GDPI.
4.Mixed performance, with the ICICI Group distribution growing 19.6% in Q2, though overall Banca business de-grew by 2.6% due to slower credit disbursements</t>
        </is>
      </c>
      <c r="F44" s="156" t="inlineStr">
        <is>
          <t>1.H1FY25 premiums crossed ₹5,000 crores with an 18% growth
2.Non-employer-employee attachment products grew by 110%
3.Employer-employee health business de-grew by 3.3%</t>
        </is>
      </c>
    </row>
    <row r="45" hidden="1" outlineLevel="1" ht="195" customHeight="1">
      <c r="B45" s="153" t="inlineStr">
        <is>
          <t>Profitability</t>
        </is>
      </c>
      <c r="C45" s="156" t="inlineStr">
        <is>
          <t>1. The losses in H1 have declined  93% on YoY basis from 80 Cr last year to 6 Cr in current year as per Indian GAAP, however IFRS reflect profits of 59 Cr in H1 and reflect a much smoother picture
2. Combined ratio has improved by 1.2% to 103.5% in H1 as compared to 104.7% in H1 last year
3. Loss ratio has improved from 63.8% in H1 last year to 62.5% as of H1 in current year
4.Planned price increase has been around 10% on 2 products which contribute to 25% of retail portfolio improving overall profitability</t>
        </is>
      </c>
      <c r="D45" s="156" t="inlineStr">
        <is>
          <t>1.Combined ratio increased to 101.1% in H1 FY2025 (vs. 98.4% YoY)
2.Loss ratio rose to 70.2%, driven by medical inflation, seasonal illnesses, and a higher share of group business with higher loss ratios
3.Strategic price hikes in 12% of products (average hike ~10%) with plans to extend this to 50-60% of the portfolio.
4.Structural changes like pricing based on customer cohorts and cost optimizations in claims processing</t>
        </is>
      </c>
      <c r="E45" s="156" t="inlineStr">
        <is>
          <t>1. Retail health loss ratio increased to 70.3% in Q2 FY2025 (vs. 66.6% YoY), reflecting seasonal challenges
2.Group health (employer-employee) loss ratio improved to 98% in Q2 FY2025 from 102% YoY due to improved underwriting discipline
3.Return on Equity: Improved to 20.3% in H1 FY2025, from 18.0% in H1 FY2024, signaling efficient capital allocation.</t>
        </is>
      </c>
      <c r="F45" s="156" t="inlineStr">
        <is>
          <t>1. Improved loss ratios in health and fire insurance
2.H1 ROE was ~12% (annualized), with profitability up 3x despite a higher combined ratio.</t>
        </is>
      </c>
    </row>
    <row r="46" hidden="1" outlineLevel="1" ht="130" customHeight="1">
      <c r="B46" s="153" t="inlineStr">
        <is>
          <t>Competition</t>
        </is>
      </c>
      <c r="C46" s="156" t="inlineStr">
        <is>
          <t>1. Repricing has been a challenge for the entire industry , however Niva Bupa has been constantly repricing matured products to compete with other industry peers
2. Strong focus on digital channel and good engagement of app can increase help to reduce costs and increase profitability as compared to other large players.</t>
        </is>
      </c>
      <c r="D46" s="156" t="inlineStr">
        <is>
          <t>1.Star Health remains a leader in retail health but is recalibrating strategies to retain margins and competitiveness
2.Digital business growth and app engagement (7.4 million downloads) are positioning Star Health strongly against competitors leveraging technology
3.Competition increasing in the corporate segment and among smaller players focusing on health insurance</t>
        </is>
      </c>
      <c r="E46" s="156" t="inlineStr">
        <is>
          <t>1.Focused on product differentiation through innovative offerings like ‘Elevate’ in health and enhanced CRM tools
2.Competed effectively in health, increasing market share in retail health from 2.9% to 3.5%.
3.Strengthened its digital presence, leveraging data analytics to enhance pricing strategies and improve customer engagement</t>
        </is>
      </c>
      <c r="F46" s="156" t="inlineStr">
        <is>
          <t>1.Competition intense in employer-employee segment, affecting large corporates' conversion ratios
2.Shift toward smaller groups with relatively higher profitability</t>
        </is>
      </c>
    </row>
    <row r="47" hidden="1" outlineLevel="1" ht="208" customHeight="1">
      <c r="B47" s="153" t="inlineStr">
        <is>
          <t>Regulations</t>
        </is>
      </c>
      <c r="C47" s="156" t="inlineStr">
        <is>
          <t xml:space="preserve">1.Prepared for IFRS adoptipon  and will easily be able to transition from I-GAAP to IFRS , since currenty prepares IFRS financials for the purpose of consolidation by Bupa (parent company)
2. IRDAI as well as FM has shown some discontent towards excessive bankassurance business , but it is mostly towards life insurance miselling, the volume of health insurance through Banca is realtively smaller and would not be subjected to regulatory discontent
3. Largely comfortable with 1/365, however delibrations are on with regulators for more clarity with respect to the same </t>
        </is>
      </c>
      <c r="D47" s="156" t="inlineStr">
        <is>
          <t>1.The “Insurance for All by 2047” vision by the regulator provides long-term tailwinds for sector growth
2.Collaborative efforts with the GI Council to standardize hospital billing practices and pricing models are underway but require time
3.New accounting standards for long-term policies starting October 2024 will impact GWP reporting but not underwriting profits
4.Star Health is engaging with regulators to address systemic issues like medical inflation and hospital pricing dynamics</t>
        </is>
      </c>
      <c r="E47" s="156" t="inlineStr">
        <is>
          <t>1.The regulatory environment continues to focus on policyholder's interest while fostering innovation, competition and sustainable growth for the industry, thereby reinforcing the authority's vision of ‘Insurance for All  by 2047’.
2.Regulatory master circulars for product categories aim to standardize industry practices, which could benefit disciplined players like ICICI Lombard
3.Industry-wide discussions on rising expense-of-management (EOM) norms may tighten operational requirements</t>
        </is>
      </c>
      <c r="F47" s="156" t="inlineStr">
        <is>
          <t>1.Received an IRDAI show-cause notice on EOM; committed to the 3-year glide path for compliance
2.Changes in attachment product accounting from October could challenge EOM compliance for many insurers
3.Fully prepared for IFRS implementation; published audited results proactively</t>
        </is>
      </c>
    </row>
    <row r="48" hidden="1" outlineLevel="1" ht="208" customHeight="1">
      <c r="B48" s="153" t="inlineStr">
        <is>
          <t>Others</t>
        </is>
      </c>
      <c r="C48" s="156" t="inlineStr">
        <is>
          <t>1. Focus on comprehensive portfolio covering all age of customers to widen the custome base
2.Renewal book has shown better combined ratio as comapred to new book 
3.Through App, Enabling Access to a 360° Health and Wellness Ecosystem Platform, Providing a Holistic Customer Health Proposition
4.Featured amongst India's Best Workplaces for Millennials 2024: Top 50 (Large)
5.Continous monitoring of  the provider network like hospitals , banks etc., and focus on grooming the same to improve customer experience.</t>
        </is>
      </c>
      <c r="D48" s="156" t="inlineStr">
        <is>
          <t>1.The company faced a cyberattack but ensured continuity in claims processing and customer service. Systems are being fortified for future resilience
2.Increasing focus on proprietary fraud detection systems and tech-driven claims processing, saving 3% of claims outgo
3.Persistent medical inflation and behavioral shifts in healthcare utilization post-COVID are driving higher claim costs. These are being tackled through pricing corrections and operational efficiencies</t>
        </is>
      </c>
      <c r="E48" s="156" t="inlineStr">
        <is>
          <t>1. Focused on customer retention through tech-driven initiatives and CRM enhancements, achieving a 2-4% improvement in retention rates for motor and health insurance
2.Continued investment in AI tools for fraud detection, claims automation, and personalized customer engagement
3.Anticipates industry-wide reinsurance repricing, which could lead to higher premiums in high-risk segments
4.While optimistic about sustained growth in motor and retail health, cautious about rising claims inflation and pricing pressures in commercial lines</t>
        </is>
      </c>
      <c r="F48" s="156" t="inlineStr">
        <is>
          <t>1.Losses from floods in Q2 impacted combined and loss ratios but normalized over the half-year
2.Heavy investment in technology (e.g., API integrations) to improve efficiency and service delivery
3.Confident in sustaining growth through strategic market share gains, product diversification, and partnerships</t>
        </is>
      </c>
    </row>
    <row r="49" collapsed="1">
      <c r="B49" s="158" t="n"/>
      <c r="C49" s="159" t="n"/>
      <c r="D49" s="159" t="n"/>
      <c r="E49" s="159" t="n"/>
      <c r="F49" s="159" t="n"/>
    </row>
    <row r="50">
      <c r="B50" s="158" t="n"/>
      <c r="C50" s="159" t="n"/>
      <c r="D50" s="159" t="n"/>
      <c r="E50" s="159" t="n"/>
      <c r="F50" s="159" t="n"/>
    </row>
  </sheetData>
  <pageMargins left="0.7086614173228347" right="0.7086614173228347" top="0.7480314960629921" bottom="0.7480314960629921" header="0.3149606299212598" footer="0.3149606299212598"/>
  <pageSetup orientation="landscape" paperSize="9" scale="56" fitToHeight="0"/>
</worksheet>
</file>

<file path=xl/worksheets/sheet6.xml><?xml version="1.0" encoding="utf-8"?>
<worksheet xmlns="http://schemas.openxmlformats.org/spreadsheetml/2006/main">
  <sheetPr>
    <tabColor rgb="FF002060"/>
    <outlinePr summaryBelow="1" summaryRight="1"/>
    <pageSetUpPr fitToPage="1"/>
  </sheetPr>
  <dimension ref="B2:J66"/>
  <sheetViews>
    <sheetView showGridLines="0" view="pageBreakPreview" topLeftCell="B1" zoomScale="57" zoomScaleNormal="100" zoomScaleSheetLayoutView="115" workbookViewId="0">
      <pane xSplit="1" ySplit="3" topLeftCell="C4" activePane="bottomRight" state="frozen"/>
      <selection activeCell="E9" sqref="E9"/>
      <selection pane="topRight" activeCell="E9" sqref="E9"/>
      <selection pane="bottomLeft" activeCell="E9" sqref="E9"/>
      <selection pane="bottomRight" activeCell="D4" sqref="D4:D13"/>
    </sheetView>
  </sheetViews>
  <sheetFormatPr baseColWidth="8" defaultRowHeight="14.5"/>
  <cols>
    <col width="1.7265625" customWidth="1" min="1" max="1"/>
    <col width="19" bestFit="1" customWidth="1" min="2" max="2"/>
    <col width="21.7265625" bestFit="1" customWidth="1" style="73" min="3" max="3"/>
    <col width="10.7265625" bestFit="1" customWidth="1" min="4" max="4"/>
    <col width="16.81640625" bestFit="1" customWidth="1" min="5" max="5"/>
    <col width="10.1796875" customWidth="1" min="6" max="7"/>
    <col width="9.54296875" bestFit="1" customWidth="1" min="8" max="8"/>
    <col width="23.7265625" bestFit="1" customWidth="1" min="9" max="10"/>
  </cols>
  <sheetData>
    <row r="2">
      <c r="B2" s="4" t="inlineStr">
        <is>
          <t>Broker coverage</t>
        </is>
      </c>
    </row>
    <row r="3" ht="29" customFormat="1" customHeight="1" s="165">
      <c r="B3" s="163" t="inlineStr">
        <is>
          <t>Company</t>
        </is>
      </c>
      <c r="C3" s="164" t="inlineStr">
        <is>
          <t>Broker</t>
        </is>
      </c>
      <c r="D3" s="163" t="inlineStr">
        <is>
          <t>Date</t>
        </is>
      </c>
      <c r="E3" s="163" t="inlineStr">
        <is>
          <t>Recommendation</t>
        </is>
      </c>
      <c r="F3" s="163" t="inlineStr">
        <is>
          <t>CMP</t>
        </is>
      </c>
      <c r="G3" s="304" t="inlineStr">
        <is>
          <t>Price at reco</t>
        </is>
      </c>
      <c r="H3" s="163" t="inlineStr">
        <is>
          <t>Target</t>
        </is>
      </c>
      <c r="I3" s="304" t="inlineStr">
        <is>
          <t>Upside % / (Downside %) from reco</t>
        </is>
      </c>
      <c r="J3" s="304" t="inlineStr">
        <is>
          <t>Upside % / (Downside %) from CMP</t>
        </is>
      </c>
    </row>
    <row r="4">
      <c r="B4" s="403" t="inlineStr">
        <is>
          <t>Niva Bupa</t>
        </is>
      </c>
      <c r="C4" s="170" t="inlineStr">
        <is>
          <t>Motilal Oswal</t>
        </is>
      </c>
      <c r="D4" s="171" t="n">
        <v>46051</v>
      </c>
      <c r="E4" s="172" t="inlineStr">
        <is>
          <t>Buy</t>
        </is>
      </c>
      <c r="F4" s="475" t="n">
        <v>86.03</v>
      </c>
      <c r="G4" s="475" t="n">
        <v>78</v>
      </c>
      <c r="H4" s="475" t="n">
        <v>92</v>
      </c>
      <c r="I4" s="174">
        <f>H4/G4-1</f>
        <v/>
      </c>
      <c r="J4" s="174">
        <f>H4/F4-1</f>
        <v/>
      </c>
    </row>
    <row r="5">
      <c r="B5" s="476" t="n"/>
      <c r="C5" s="170" t="inlineStr">
        <is>
          <t>ICICI Securities</t>
        </is>
      </c>
      <c r="D5" s="171" t="n">
        <v>45967</v>
      </c>
      <c r="E5" s="172" t="inlineStr">
        <is>
          <t>Buy</t>
        </is>
      </c>
      <c r="F5" s="475" t="n">
        <v>86.03</v>
      </c>
      <c r="G5" s="475" t="n">
        <v>75.43000000000001</v>
      </c>
      <c r="H5" s="475" t="n">
        <v>90</v>
      </c>
      <c r="I5" s="174">
        <f>H5/G5-1</f>
        <v/>
      </c>
      <c r="J5" s="174">
        <f>H5/F5-1</f>
        <v/>
      </c>
    </row>
    <row r="6">
      <c r="B6" s="476" t="n"/>
      <c r="C6" s="170" t="inlineStr">
        <is>
          <t>Motilal Oswal</t>
        </is>
      </c>
      <c r="D6" s="171" t="n">
        <v>45964</v>
      </c>
      <c r="E6" s="172" t="inlineStr">
        <is>
          <t>Buy</t>
        </is>
      </c>
      <c r="F6" s="475" t="n">
        <v>86.03</v>
      </c>
      <c r="G6" s="475" t="n">
        <v>74.06</v>
      </c>
      <c r="H6" s="475" t="n">
        <v>92</v>
      </c>
      <c r="I6" s="174">
        <f>H6/G6-1</f>
        <v/>
      </c>
      <c r="J6" s="174">
        <f>H6/F6-1</f>
        <v/>
      </c>
    </row>
    <row r="7">
      <c r="B7" s="476" t="n"/>
      <c r="C7" s="170" t="inlineStr">
        <is>
          <t>ICICI Securities</t>
        </is>
      </c>
      <c r="D7" s="171" t="n">
        <v>45880</v>
      </c>
      <c r="E7" s="172" t="inlineStr">
        <is>
          <t>Buy</t>
        </is>
      </c>
      <c r="F7" s="475" t="n">
        <v>86.03</v>
      </c>
      <c r="G7" s="475" t="n">
        <v>79.65000000000001</v>
      </c>
      <c r="H7" s="475" t="n">
        <v>92</v>
      </c>
      <c r="I7" s="174">
        <f>H7/G7-1</f>
        <v/>
      </c>
      <c r="J7" s="174">
        <f>H7/F7-1</f>
        <v/>
      </c>
    </row>
    <row r="8">
      <c r="B8" s="476" t="n"/>
      <c r="C8" s="170" t="inlineStr">
        <is>
          <t>Motilal Oswal</t>
        </is>
      </c>
      <c r="D8" s="171" t="n">
        <v>45876</v>
      </c>
      <c r="E8" s="172" t="inlineStr">
        <is>
          <t>Buy</t>
        </is>
      </c>
      <c r="F8" s="475" t="n">
        <v>86.03</v>
      </c>
      <c r="G8" s="475" t="n">
        <v>80.37</v>
      </c>
      <c r="H8" s="475" t="n">
        <v>101</v>
      </c>
      <c r="I8" s="174">
        <f>H8/G8-1</f>
        <v/>
      </c>
      <c r="J8" s="174">
        <f>H8/F8-1</f>
        <v/>
      </c>
    </row>
    <row r="9">
      <c r="B9" s="476" t="n"/>
      <c r="C9" s="170" t="inlineStr">
        <is>
          <t>Motilal Oswal</t>
        </is>
      </c>
      <c r="D9" s="171" t="n">
        <v>45869</v>
      </c>
      <c r="E9" s="172" t="inlineStr">
        <is>
          <t>Buy</t>
        </is>
      </c>
      <c r="F9" s="475" t="n">
        <v>86.03</v>
      </c>
      <c r="G9" s="475" t="n">
        <v>87.55</v>
      </c>
      <c r="H9" s="475" t="n">
        <v>101</v>
      </c>
      <c r="I9" s="174">
        <f>H9/G9-1</f>
        <v/>
      </c>
      <c r="J9" s="174">
        <f>H9/F9-1</f>
        <v/>
      </c>
    </row>
    <row r="10">
      <c r="B10" s="476" t="n"/>
      <c r="C10" s="170" t="inlineStr">
        <is>
          <t>Motilal Oswal</t>
        </is>
      </c>
      <c r="D10" s="171" t="n">
        <v>45770</v>
      </c>
      <c r="E10" s="172" t="inlineStr">
        <is>
          <t>Buy</t>
        </is>
      </c>
      <c r="F10" s="475" t="n">
        <v>86.03</v>
      </c>
      <c r="G10" s="475" t="n">
        <v>77.62</v>
      </c>
      <c r="H10" s="475" t="n">
        <v>100</v>
      </c>
      <c r="I10" s="174">
        <f>H10/G10-1</f>
        <v/>
      </c>
      <c r="J10" s="174">
        <f>H10/F10-1</f>
        <v/>
      </c>
    </row>
    <row r="11">
      <c r="B11" s="476" t="n"/>
      <c r="C11" s="170" t="inlineStr">
        <is>
          <t>ICICI Securities</t>
        </is>
      </c>
      <c r="D11" s="171" t="n">
        <v>45762</v>
      </c>
      <c r="E11" s="172" t="inlineStr">
        <is>
          <t>Buy</t>
        </is>
      </c>
      <c r="F11" s="475" t="n">
        <v>86.03</v>
      </c>
      <c r="G11" s="475" t="n">
        <v>74.56999999999999</v>
      </c>
      <c r="H11" s="475" t="n">
        <v>90</v>
      </c>
      <c r="I11" s="174">
        <f>H11/G11-1</f>
        <v/>
      </c>
      <c r="J11" s="174">
        <f>H11/F11-1</f>
        <v/>
      </c>
    </row>
    <row r="12">
      <c r="B12" s="476" t="n"/>
      <c r="C12" s="170" t="inlineStr">
        <is>
          <t>Kotak Securities</t>
        </is>
      </c>
      <c r="D12" s="171" t="n">
        <v>45749</v>
      </c>
      <c r="E12" s="172" t="inlineStr">
        <is>
          <t>Buy</t>
        </is>
      </c>
      <c r="F12" s="475" t="n">
        <v>86.03</v>
      </c>
      <c r="G12" s="475" t="n">
        <v>77</v>
      </c>
      <c r="H12" s="475" t="n">
        <v>85</v>
      </c>
      <c r="I12" s="174">
        <f>H12/G12-1</f>
        <v/>
      </c>
      <c r="J12" s="174">
        <f>H12/F12-1</f>
        <v/>
      </c>
    </row>
    <row r="13">
      <c r="B13" s="476" t="n"/>
      <c r="C13" s="170" t="inlineStr">
        <is>
          <t>Morgan Stanley</t>
        </is>
      </c>
      <c r="D13" s="171" t="n">
        <v>45648</v>
      </c>
      <c r="E13" s="172" t="inlineStr">
        <is>
          <t>Buy</t>
        </is>
      </c>
      <c r="F13" s="475" t="n">
        <v>86.03</v>
      </c>
      <c r="G13" s="475" t="n">
        <v>76.27</v>
      </c>
      <c r="H13" s="475" t="n">
        <v>88</v>
      </c>
      <c r="I13" s="174">
        <f>H13/G13-1</f>
        <v/>
      </c>
      <c r="J13" s="174">
        <f>H13/F13-1</f>
        <v/>
      </c>
    </row>
    <row r="14">
      <c r="B14" s="476" t="n"/>
      <c r="C14" s="170" t="inlineStr">
        <is>
          <t>HDFC Securities</t>
        </is>
      </c>
      <c r="D14" s="171" t="n">
        <v>45602</v>
      </c>
      <c r="E14" s="175" t="inlineStr">
        <is>
          <t>IPO Note</t>
        </is>
      </c>
      <c r="F14" s="475" t="n">
        <v>86.03</v>
      </c>
      <c r="G14" s="477" t="inlineStr">
        <is>
          <t>NA</t>
        </is>
      </c>
      <c r="H14" s="477" t="inlineStr">
        <is>
          <t>NA</t>
        </is>
      </c>
      <c r="I14" s="175">
        <f>IFERROR(H14/G14-1,"NA")</f>
        <v/>
      </c>
      <c r="J14" s="175">
        <f>IFERROR(I14/H14-1,"NA")</f>
        <v/>
      </c>
    </row>
    <row r="15">
      <c r="B15" s="476" t="n"/>
      <c r="C15" s="170" t="inlineStr">
        <is>
          <t>KR Choksey</t>
        </is>
      </c>
      <c r="D15" s="171">
        <f>D14</f>
        <v/>
      </c>
      <c r="E15" s="172" t="inlineStr">
        <is>
          <t>IPO Subscribe</t>
        </is>
      </c>
      <c r="F15" s="475" t="n">
        <v>86.03</v>
      </c>
      <c r="G15" s="477" t="inlineStr">
        <is>
          <t>NA</t>
        </is>
      </c>
      <c r="H15" s="477" t="inlineStr">
        <is>
          <t>NA</t>
        </is>
      </c>
      <c r="I15" s="175">
        <f>IFERROR(H15/G15-1,"NA")</f>
        <v/>
      </c>
      <c r="J15" s="175">
        <f>IFERROR(I15/H15-1,"NA")</f>
        <v/>
      </c>
    </row>
    <row r="16">
      <c r="B16" s="476" t="n"/>
      <c r="C16" s="170" t="inlineStr">
        <is>
          <t>SBI Securities</t>
        </is>
      </c>
      <c r="D16" s="171">
        <f>D14</f>
        <v/>
      </c>
      <c r="E16" s="177" t="inlineStr">
        <is>
          <t>IPO Avoid</t>
        </is>
      </c>
      <c r="F16" s="475" t="n">
        <v>86.03</v>
      </c>
      <c r="G16" s="477" t="inlineStr">
        <is>
          <t>NA</t>
        </is>
      </c>
      <c r="H16" s="477" t="inlineStr">
        <is>
          <t>NA</t>
        </is>
      </c>
      <c r="I16" s="175">
        <f>IFERROR(H16/G16-1,"NA")</f>
        <v/>
      </c>
      <c r="J16" s="175">
        <f>IFERROR(I16/H16-1,"NA")</f>
        <v/>
      </c>
    </row>
    <row r="17">
      <c r="B17" s="476" t="n"/>
      <c r="C17" s="170" t="inlineStr">
        <is>
          <t>Ventura</t>
        </is>
      </c>
      <c r="D17" s="171">
        <f>D14</f>
        <v/>
      </c>
      <c r="E17" s="172" t="inlineStr">
        <is>
          <t>IPO Subscribe</t>
        </is>
      </c>
      <c r="F17" s="475" t="n">
        <v>86.03</v>
      </c>
      <c r="G17" s="477" t="inlineStr">
        <is>
          <t>NA</t>
        </is>
      </c>
      <c r="H17" s="477" t="inlineStr">
        <is>
          <t>NA</t>
        </is>
      </c>
      <c r="I17" s="175">
        <f>IFERROR(H17/G17-1,"NA")</f>
        <v/>
      </c>
      <c r="J17" s="175">
        <f>IFERROR(I17/H17-1,"NA")</f>
        <v/>
      </c>
    </row>
    <row r="18">
      <c r="B18" s="402" t="n"/>
      <c r="C18" s="178" t="inlineStr">
        <is>
          <t>Average</t>
        </is>
      </c>
      <c r="D18" s="179" t="n"/>
      <c r="E18" s="179" t="n"/>
      <c r="F18" s="478">
        <f>AVERAGE(F4:F17)</f>
        <v/>
      </c>
      <c r="G18" s="478">
        <f>AVERAGE(G4:G17)</f>
        <v/>
      </c>
      <c r="H18" s="478">
        <f>AVERAGE(H4:H17)</f>
        <v/>
      </c>
      <c r="I18" s="181">
        <f>H18/G18-1</f>
        <v/>
      </c>
      <c r="J18" s="181">
        <f>H18/F18-1</f>
        <v/>
      </c>
    </row>
    <row r="19" ht="4" customHeight="1">
      <c r="B19" s="166" t="n"/>
      <c r="D19" s="167" t="n"/>
      <c r="E19" s="167" t="n"/>
      <c r="F19" s="167" t="n"/>
      <c r="G19" s="167" t="n"/>
      <c r="H19" s="479" t="n"/>
      <c r="I19" s="169" t="n"/>
      <c r="J19" s="169" t="n"/>
    </row>
    <row r="20">
      <c r="B20" s="403" t="inlineStr">
        <is>
          <t>Star Health</t>
        </is>
      </c>
      <c r="C20" s="170" t="inlineStr">
        <is>
          <t>ICICI Securities Limited</t>
        </is>
      </c>
      <c r="D20" s="171" t="n">
        <v>46145</v>
      </c>
      <c r="E20" s="172" t="inlineStr">
        <is>
          <t>Buy</t>
        </is>
      </c>
      <c r="F20" s="475" t="n">
        <v>530.55</v>
      </c>
      <c r="G20" s="475" t="n">
        <v>525.65</v>
      </c>
      <c r="H20" s="475" t="n">
        <v>644</v>
      </c>
      <c r="I20" s="174">
        <f>H20/G20-1</f>
        <v/>
      </c>
      <c r="J20" s="174">
        <f>H20/F20-1</f>
        <v/>
      </c>
    </row>
    <row r="21">
      <c r="B21" s="476" t="n"/>
      <c r="C21" s="170" t="inlineStr">
        <is>
          <t>Emkay</t>
        </is>
      </c>
      <c r="D21" s="171" t="n">
        <v>46141</v>
      </c>
      <c r="E21" s="172" t="inlineStr">
        <is>
          <t>Buy</t>
        </is>
      </c>
      <c r="F21" s="475" t="n">
        <v>530.55</v>
      </c>
      <c r="G21" s="475" t="n">
        <v>533.25</v>
      </c>
      <c r="H21" s="475" t="n">
        <v>650</v>
      </c>
      <c r="I21" s="174">
        <f>H21/G21-1</f>
        <v/>
      </c>
      <c r="J21" s="174">
        <f>H21/F21-1</f>
        <v/>
      </c>
    </row>
    <row r="22">
      <c r="B22" s="476" t="n"/>
      <c r="C22" s="170" t="inlineStr">
        <is>
          <t>Motilal Oswal</t>
        </is>
      </c>
      <c r="D22" s="171" t="n">
        <v>46141</v>
      </c>
      <c r="E22" s="172" t="inlineStr">
        <is>
          <t>Buy</t>
        </is>
      </c>
      <c r="F22" s="475" t="n">
        <v>530.55</v>
      </c>
      <c r="G22" s="475" t="n">
        <v>533.25</v>
      </c>
      <c r="H22" s="475" t="n">
        <v>640</v>
      </c>
      <c r="I22" s="174">
        <f>H22/G22-1</f>
        <v/>
      </c>
      <c r="J22" s="174">
        <f>H22/F22-1</f>
        <v/>
      </c>
    </row>
    <row r="23">
      <c r="B23" s="476" t="n"/>
      <c r="C23" s="170" t="inlineStr">
        <is>
          <t>Motilal Oswal</t>
        </is>
      </c>
      <c r="D23" s="171" t="n">
        <v>46051</v>
      </c>
      <c r="E23" s="172" t="inlineStr">
        <is>
          <t>Buy</t>
        </is>
      </c>
      <c r="F23" s="475" t="n">
        <v>530.55</v>
      </c>
      <c r="G23" s="475" t="n">
        <v>450.5</v>
      </c>
      <c r="H23" s="475" t="n">
        <v>560</v>
      </c>
      <c r="I23" s="174">
        <f>H23/G23-1</f>
        <v/>
      </c>
      <c r="J23" s="182" t="inlineStr">
        <is>
          <t>Target met</t>
        </is>
      </c>
    </row>
    <row r="24">
      <c r="B24" s="476" t="n"/>
      <c r="C24" s="170" t="inlineStr">
        <is>
          <t>Geojit BNP Paribas</t>
        </is>
      </c>
      <c r="D24" s="171" t="n">
        <v>46028</v>
      </c>
      <c r="E24" s="172" t="inlineStr">
        <is>
          <t>Buy</t>
        </is>
      </c>
      <c r="F24" s="475" t="n">
        <v>530.55</v>
      </c>
      <c r="G24" s="475" t="n">
        <v>451.85</v>
      </c>
      <c r="H24" s="475" t="n">
        <v>510</v>
      </c>
      <c r="I24" s="174">
        <f>H24/G24-1</f>
        <v/>
      </c>
      <c r="J24" s="182" t="inlineStr">
        <is>
          <t>Target met</t>
        </is>
      </c>
    </row>
    <row r="25">
      <c r="B25" s="476" t="n"/>
      <c r="C25" s="170" t="inlineStr">
        <is>
          <t>ICICI Securities</t>
        </is>
      </c>
      <c r="D25" s="171" t="n">
        <v>45967</v>
      </c>
      <c r="E25" s="172" t="inlineStr">
        <is>
          <t>Buy</t>
        </is>
      </c>
      <c r="F25" s="475" t="n">
        <v>530.55</v>
      </c>
      <c r="G25" s="475" t="n">
        <v>486.7</v>
      </c>
      <c r="H25" s="475" t="n">
        <v>570</v>
      </c>
      <c r="I25" s="174">
        <f>H25/G25-1</f>
        <v/>
      </c>
      <c r="J25" s="182" t="inlineStr">
        <is>
          <t>Target met</t>
        </is>
      </c>
    </row>
    <row r="26">
      <c r="B26" s="476" t="n"/>
      <c r="C26" s="170" t="inlineStr">
        <is>
          <t>Motilal Oswal</t>
        </is>
      </c>
      <c r="D26" s="171" t="n">
        <v>45959</v>
      </c>
      <c r="E26" s="172" t="inlineStr">
        <is>
          <t>Buy</t>
        </is>
      </c>
      <c r="F26" s="475" t="n">
        <v>530.55</v>
      </c>
      <c r="G26" s="475" t="n">
        <v>480.45</v>
      </c>
      <c r="H26" s="475" t="n">
        <v>570</v>
      </c>
      <c r="I26" s="174">
        <f>H26/G26-1</f>
        <v/>
      </c>
      <c r="J26" s="182" t="inlineStr">
        <is>
          <t>Target met</t>
        </is>
      </c>
    </row>
    <row r="27">
      <c r="B27" s="476" t="n"/>
      <c r="C27" s="170" t="inlineStr">
        <is>
          <t>ICICI Securities</t>
        </is>
      </c>
      <c r="D27" s="171" t="n">
        <v>45903</v>
      </c>
      <c r="E27" s="172" t="inlineStr">
        <is>
          <t>Buy</t>
        </is>
      </c>
      <c r="F27" s="475" t="n">
        <v>530.55</v>
      </c>
      <c r="G27" s="475" t="n">
        <v>512</v>
      </c>
      <c r="H27" s="475" t="n">
        <v>512</v>
      </c>
      <c r="I27" s="174">
        <f>H27/G27-1</f>
        <v/>
      </c>
      <c r="J27" s="182" t="inlineStr">
        <is>
          <t>Target met</t>
        </is>
      </c>
    </row>
    <row r="28">
      <c r="B28" s="476" t="n"/>
      <c r="C28" s="170" t="inlineStr">
        <is>
          <t>Motilal Oswal</t>
        </is>
      </c>
      <c r="D28" s="171" t="n">
        <v>45894</v>
      </c>
      <c r="E28" s="172" t="inlineStr">
        <is>
          <t>Buy</t>
        </is>
      </c>
      <c r="F28" s="475" t="n">
        <v>530.55</v>
      </c>
      <c r="G28" s="475" t="n">
        <v>520</v>
      </c>
      <c r="H28" s="475" t="n">
        <v>520</v>
      </c>
      <c r="I28" s="174">
        <f>H28/G28-1</f>
        <v/>
      </c>
      <c r="J28" s="182" t="inlineStr">
        <is>
          <t>Target met</t>
        </is>
      </c>
    </row>
    <row r="29">
      <c r="B29" s="476" t="n"/>
      <c r="C29" s="170" t="inlineStr">
        <is>
          <t>Motilal Oswal</t>
        </is>
      </c>
      <c r="D29" s="171" t="n">
        <v>45868</v>
      </c>
      <c r="E29" s="172" t="inlineStr">
        <is>
          <t>Buy</t>
        </is>
      </c>
      <c r="F29" s="475" t="n">
        <v>530.55</v>
      </c>
      <c r="G29" s="475" t="n">
        <v>520</v>
      </c>
      <c r="H29" s="475" t="n">
        <v>520</v>
      </c>
      <c r="I29" s="174">
        <f>H29/G29-1</f>
        <v/>
      </c>
      <c r="J29" s="182" t="inlineStr">
        <is>
          <t>Target met</t>
        </is>
      </c>
    </row>
    <row r="30">
      <c r="B30" s="476" t="n"/>
      <c r="C30" s="170" t="inlineStr">
        <is>
          <t>Geojit BNP Paribas</t>
        </is>
      </c>
      <c r="D30" s="171" t="n">
        <v>45791</v>
      </c>
      <c r="E30" s="175" t="inlineStr">
        <is>
          <t>Hold</t>
        </is>
      </c>
      <c r="F30" s="475" t="n">
        <v>530.55</v>
      </c>
      <c r="G30" s="475" t="n">
        <v>403.6</v>
      </c>
      <c r="H30" s="475" t="n">
        <v>421</v>
      </c>
      <c r="I30" s="174">
        <f>H30/G30-1</f>
        <v/>
      </c>
      <c r="J30" s="182" t="inlineStr">
        <is>
          <t>Target met</t>
        </is>
      </c>
    </row>
    <row r="31">
      <c r="B31" s="476" t="n"/>
      <c r="C31" s="170" t="inlineStr">
        <is>
          <t>Geojit BNP Paribas</t>
        </is>
      </c>
      <c r="D31" s="171" t="n">
        <v>45701</v>
      </c>
      <c r="E31" s="175" t="inlineStr">
        <is>
          <t>Hold</t>
        </is>
      </c>
      <c r="F31" s="475" t="n">
        <v>530.55</v>
      </c>
      <c r="G31" s="475" t="n">
        <v>397.15</v>
      </c>
      <c r="H31" s="475" t="n">
        <v>430</v>
      </c>
      <c r="I31" s="174">
        <f>H31/G31-1</f>
        <v/>
      </c>
      <c r="J31" s="182" t="inlineStr">
        <is>
          <t>Target met</t>
        </is>
      </c>
    </row>
    <row r="32">
      <c r="B32" s="476" t="n"/>
      <c r="C32" s="170" t="inlineStr">
        <is>
          <t>Emkay</t>
        </is>
      </c>
      <c r="D32" s="171" t="n">
        <v>45687</v>
      </c>
      <c r="E32" s="172" t="inlineStr">
        <is>
          <t>Buy</t>
        </is>
      </c>
      <c r="F32" s="475" t="n">
        <v>530.55</v>
      </c>
      <c r="G32" s="475" t="n">
        <v>434.95</v>
      </c>
      <c r="H32" s="475" t="n">
        <v>525</v>
      </c>
      <c r="I32" s="174">
        <f>H32/G32-1</f>
        <v/>
      </c>
      <c r="J32" s="174">
        <f>H32/F32-1</f>
        <v/>
      </c>
    </row>
    <row r="33">
      <c r="B33" s="476" t="n"/>
      <c r="C33" s="170" t="inlineStr">
        <is>
          <t>ICICI Direct</t>
        </is>
      </c>
      <c r="D33" s="171" t="n">
        <v>45607</v>
      </c>
      <c r="E33" s="172" t="inlineStr">
        <is>
          <t>Buy</t>
        </is>
      </c>
      <c r="F33" s="475" t="n">
        <v>530.55</v>
      </c>
      <c r="G33" s="475" t="n">
        <v>479</v>
      </c>
      <c r="H33" s="475" t="n">
        <v>600</v>
      </c>
      <c r="I33" s="174">
        <f>H33/G33-1</f>
        <v/>
      </c>
      <c r="J33" s="174">
        <f>H33/F33-1</f>
        <v/>
      </c>
    </row>
    <row r="34">
      <c r="B34" s="476" t="n"/>
      <c r="C34" s="170" t="inlineStr">
        <is>
          <t>Geojit BNP Paribas</t>
        </is>
      </c>
      <c r="D34" s="171" t="n">
        <v>45539</v>
      </c>
      <c r="E34" s="172" t="inlineStr">
        <is>
          <t>Buy</t>
        </is>
      </c>
      <c r="F34" s="475" t="n">
        <v>530.55</v>
      </c>
      <c r="G34" s="475" t="n">
        <v>630</v>
      </c>
      <c r="H34" s="475" t="n">
        <v>738</v>
      </c>
      <c r="I34" s="174">
        <f>H34/G34-1</f>
        <v/>
      </c>
      <c r="J34" s="174">
        <f>H34/F34-1</f>
        <v/>
      </c>
    </row>
    <row r="35">
      <c r="B35" s="476" t="n"/>
      <c r="C35" s="170" t="inlineStr">
        <is>
          <t>Motilal Oswal</t>
        </is>
      </c>
      <c r="D35" s="171" t="n">
        <v>45471</v>
      </c>
      <c r="E35" s="172" t="inlineStr">
        <is>
          <t>Buy</t>
        </is>
      </c>
      <c r="F35" s="475" t="n">
        <v>530.55</v>
      </c>
      <c r="G35" s="475" t="n">
        <v>558</v>
      </c>
      <c r="H35" s="475" t="n">
        <v>730</v>
      </c>
      <c r="I35" s="174">
        <f>H35/G35-1</f>
        <v/>
      </c>
      <c r="J35" s="174">
        <f>H35/F35-1</f>
        <v/>
      </c>
    </row>
    <row r="36">
      <c r="B36" s="476" t="n"/>
      <c r="C36" s="170" t="inlineStr">
        <is>
          <t>Emkay</t>
        </is>
      </c>
      <c r="D36" s="171" t="n">
        <v>45413</v>
      </c>
      <c r="E36" s="177" t="inlineStr">
        <is>
          <t>Sell</t>
        </is>
      </c>
      <c r="F36" s="475" t="n">
        <v>530.55</v>
      </c>
      <c r="G36" s="475" t="n">
        <v>571</v>
      </c>
      <c r="H36" s="475" t="n">
        <v>525</v>
      </c>
      <c r="I36" s="182">
        <f>H36/G36-1</f>
        <v/>
      </c>
      <c r="J36" s="182" t="inlineStr">
        <is>
          <t>Target met</t>
        </is>
      </c>
    </row>
    <row r="37" customFormat="1" s="1">
      <c r="B37" s="384" t="n"/>
      <c r="C37" s="178" t="inlineStr">
        <is>
          <t>Average</t>
        </is>
      </c>
      <c r="D37" s="179" t="n"/>
      <c r="E37" s="179" t="n"/>
      <c r="F37" s="478">
        <f>AVERAGE(F20:F36)</f>
        <v/>
      </c>
      <c r="G37" s="478">
        <f>AVERAGE(G20:G36)</f>
        <v/>
      </c>
      <c r="H37" s="478">
        <f>AVERAGE(H20:H36)</f>
        <v/>
      </c>
      <c r="I37" s="181">
        <f>H37/G37-1</f>
        <v/>
      </c>
      <c r="J37" s="181">
        <f>H37/F37-1</f>
        <v/>
      </c>
    </row>
    <row r="38" ht="4" customHeight="1">
      <c r="B38" s="166" t="n"/>
      <c r="D38" s="167" t="n"/>
      <c r="E38" s="167" t="n"/>
      <c r="F38" s="167" t="n"/>
      <c r="G38" s="167" t="n"/>
      <c r="H38" s="479" t="n"/>
      <c r="I38" s="169" t="n"/>
      <c r="J38" s="169" t="n"/>
    </row>
    <row r="39">
      <c r="B39" s="402" t="inlineStr">
        <is>
          <t>ICICI Lombard</t>
        </is>
      </c>
      <c r="C39" s="170" t="inlineStr">
        <is>
          <t>Motilal Oswal</t>
        </is>
      </c>
      <c r="D39" s="171" t="n">
        <v>46147</v>
      </c>
      <c r="E39" s="172" t="inlineStr">
        <is>
          <t>Buy</t>
        </is>
      </c>
      <c r="F39" s="385" t="n">
        <v>1837.9</v>
      </c>
      <c r="G39" s="475" t="n">
        <v>1776.9</v>
      </c>
      <c r="H39" s="475" t="n">
        <v>2230</v>
      </c>
      <c r="I39" s="174">
        <f>H39/G39-1</f>
        <v/>
      </c>
      <c r="J39" s="174">
        <f>H39/F39-1</f>
        <v/>
      </c>
    </row>
    <row r="40">
      <c r="B40" s="476" t="n"/>
      <c r="C40" s="170" t="inlineStr">
        <is>
          <t>ICICI Securities</t>
        </is>
      </c>
      <c r="D40" s="171" t="n">
        <v>46132</v>
      </c>
      <c r="E40" s="172" t="inlineStr">
        <is>
          <t>Buy</t>
        </is>
      </c>
      <c r="F40" s="385" t="n">
        <v>1837.9</v>
      </c>
      <c r="G40" s="475" t="n">
        <v>1891.6</v>
      </c>
      <c r="H40" s="475" t="n">
        <v>2250</v>
      </c>
      <c r="I40" s="174">
        <f>H40/G40-1</f>
        <v/>
      </c>
      <c r="J40" s="174">
        <f>H40/F40-1</f>
        <v/>
      </c>
    </row>
    <row r="41">
      <c r="B41" s="476" t="n"/>
      <c r="C41" s="170" t="inlineStr">
        <is>
          <t>Motilal Oswal</t>
        </is>
      </c>
      <c r="D41" s="171" t="n">
        <v>46127</v>
      </c>
      <c r="E41" s="172" t="inlineStr">
        <is>
          <t>Buy</t>
        </is>
      </c>
      <c r="F41" s="385" t="n">
        <v>1837.9</v>
      </c>
      <c r="G41" s="475" t="n">
        <v>1858</v>
      </c>
      <c r="H41" s="475" t="n">
        <v>2230</v>
      </c>
      <c r="I41" s="174">
        <f>H41/G41-1</f>
        <v/>
      </c>
      <c r="J41" s="174">
        <f>H41/F41-1</f>
        <v/>
      </c>
    </row>
    <row r="42">
      <c r="B42" s="476" t="n"/>
      <c r="C42" s="170" t="inlineStr">
        <is>
          <t>ICICI Securities</t>
        </is>
      </c>
      <c r="D42" s="171" t="n">
        <v>46097</v>
      </c>
      <c r="E42" s="172" t="inlineStr">
        <is>
          <t>Buy</t>
        </is>
      </c>
      <c r="F42" s="385" t="n">
        <v>1837.9</v>
      </c>
      <c r="G42" s="475" t="n">
        <v>1850.5</v>
      </c>
      <c r="H42" s="475" t="n">
        <v>2250</v>
      </c>
      <c r="I42" s="174">
        <f>H42/G42-1</f>
        <v/>
      </c>
      <c r="J42" s="174">
        <f>H42/F42-1</f>
        <v/>
      </c>
    </row>
    <row r="43">
      <c r="B43" s="476" t="n"/>
      <c r="C43" s="170" t="inlineStr">
        <is>
          <t>Geojit BNP Paribas</t>
        </is>
      </c>
      <c r="D43" s="171" t="n">
        <v>46050</v>
      </c>
      <c r="E43" s="172" t="inlineStr">
        <is>
          <t>Buy</t>
        </is>
      </c>
      <c r="F43" s="385" t="n">
        <v>1837.9</v>
      </c>
      <c r="G43" s="475" t="n">
        <v>1822.2</v>
      </c>
      <c r="H43" s="475" t="n">
        <v>2080</v>
      </c>
      <c r="I43" s="174">
        <f>H43/G43-1</f>
        <v/>
      </c>
      <c r="J43" s="174">
        <f>H43/F43-1</f>
        <v/>
      </c>
    </row>
    <row r="44">
      <c r="B44" s="476" t="n"/>
      <c r="C44" s="170" t="inlineStr">
        <is>
          <t>ICICI Securities</t>
        </is>
      </c>
      <c r="D44" s="171" t="n">
        <v>46036</v>
      </c>
      <c r="E44" s="172" t="inlineStr">
        <is>
          <t>Buy</t>
        </is>
      </c>
      <c r="F44" s="385" t="n">
        <v>1837.9</v>
      </c>
      <c r="G44" s="475" t="n">
        <v>1857.7</v>
      </c>
      <c r="H44" s="475" t="n">
        <v>2250</v>
      </c>
      <c r="I44" s="174">
        <f>H44/G44-1</f>
        <v/>
      </c>
      <c r="J44" s="174">
        <f>H44/F44-1</f>
        <v/>
      </c>
    </row>
    <row r="45">
      <c r="B45" s="476" t="n"/>
      <c r="C45" s="170" t="inlineStr">
        <is>
          <t>Motilal Oswal</t>
        </is>
      </c>
      <c r="D45" s="171" t="n">
        <v>46035</v>
      </c>
      <c r="E45" s="172" t="inlineStr">
        <is>
          <t>Buy</t>
        </is>
      </c>
      <c r="F45" s="385" t="n">
        <v>1837.9</v>
      </c>
      <c r="G45" s="475" t="n">
        <v>1885.5</v>
      </c>
      <c r="H45" s="475" t="n">
        <v>2260</v>
      </c>
      <c r="I45" s="174">
        <f>H45/G45-1</f>
        <v/>
      </c>
      <c r="J45" s="174">
        <f>H45/F45-1</f>
        <v/>
      </c>
    </row>
    <row r="46">
      <c r="B46" s="476" t="n"/>
      <c r="C46" s="170" t="inlineStr">
        <is>
          <t>ICICI Securities</t>
        </is>
      </c>
      <c r="D46" s="171" t="n">
        <v>45945</v>
      </c>
      <c r="E46" s="172" t="inlineStr">
        <is>
          <t>Buy</t>
        </is>
      </c>
      <c r="F46" s="385" t="n">
        <v>1837.9</v>
      </c>
      <c r="G46" s="475" t="n">
        <v>2020.3</v>
      </c>
      <c r="H46" s="475" t="n">
        <v>2250</v>
      </c>
      <c r="I46" s="174">
        <f>H46/G46-1</f>
        <v/>
      </c>
      <c r="J46" s="174">
        <f>H46/F46-1</f>
        <v/>
      </c>
    </row>
    <row r="47">
      <c r="B47" s="476" t="n"/>
      <c r="C47" s="170" t="inlineStr">
        <is>
          <t>Motilal Oswal</t>
        </is>
      </c>
      <c r="D47" s="171" t="n">
        <v>45944</v>
      </c>
      <c r="E47" s="172" t="inlineStr">
        <is>
          <t>Buy</t>
        </is>
      </c>
      <c r="F47" s="385" t="n">
        <v>1837.9</v>
      </c>
      <c r="G47" s="475" t="n">
        <v>1854.8</v>
      </c>
      <c r="H47" s="475" t="n">
        <v>2300</v>
      </c>
      <c r="I47" s="174">
        <f>H47/G47-1</f>
        <v/>
      </c>
      <c r="J47" s="174">
        <f>H47/F47-1</f>
        <v/>
      </c>
    </row>
    <row r="48">
      <c r="B48" s="476" t="n"/>
      <c r="C48" s="170" t="inlineStr">
        <is>
          <t>Geojit BNP Paribas</t>
        </is>
      </c>
      <c r="D48" s="171" t="n">
        <v>45860</v>
      </c>
      <c r="E48" s="172" t="inlineStr">
        <is>
          <t>Buy</t>
        </is>
      </c>
      <c r="F48" s="385" t="n">
        <v>1837.9</v>
      </c>
      <c r="G48" s="475" t="n">
        <v>1962.3</v>
      </c>
      <c r="H48" s="475" t="n">
        <v>2244</v>
      </c>
      <c r="I48" s="174">
        <f>H48/G48-1</f>
        <v/>
      </c>
      <c r="J48" s="174">
        <f>H48/F48-1</f>
        <v/>
      </c>
    </row>
    <row r="49">
      <c r="B49" s="476" t="n"/>
      <c r="C49" s="170" t="inlineStr">
        <is>
          <t>Motilal Oswal</t>
        </is>
      </c>
      <c r="D49" s="171" t="n">
        <v>45853</v>
      </c>
      <c r="E49" s="172" t="inlineStr">
        <is>
          <t>Buy</t>
        </is>
      </c>
      <c r="F49" s="385" t="n">
        <v>1837.9</v>
      </c>
      <c r="G49" s="475" t="n">
        <v>2002.7</v>
      </c>
      <c r="H49" s="475" t="n">
        <v>2400</v>
      </c>
      <c r="I49" s="174">
        <f>H49/G49-1</f>
        <v/>
      </c>
      <c r="J49" s="174">
        <f>H49/F49-1</f>
        <v/>
      </c>
    </row>
    <row r="50">
      <c r="B50" s="476" t="n"/>
      <c r="C50" s="170" t="inlineStr">
        <is>
          <t>Sharekhan</t>
        </is>
      </c>
      <c r="D50" s="171" t="n">
        <v>45763</v>
      </c>
      <c r="E50" s="172" t="inlineStr">
        <is>
          <t>Buy</t>
        </is>
      </c>
      <c r="F50" s="385" t="n">
        <v>1837.9</v>
      </c>
      <c r="G50" s="475" t="n">
        <v>1811.8</v>
      </c>
      <c r="H50" s="475" t="n">
        <v>2300</v>
      </c>
      <c r="I50" s="174">
        <f>H50/G50-1</f>
        <v/>
      </c>
      <c r="J50" s="174">
        <f>H50/F50-1</f>
        <v/>
      </c>
    </row>
    <row r="51">
      <c r="B51" s="476" t="n"/>
      <c r="C51" s="170" t="inlineStr">
        <is>
          <t>Motilal Oswal</t>
        </is>
      </c>
      <c r="D51" s="171" t="n">
        <v>45762</v>
      </c>
      <c r="E51" s="172" t="inlineStr">
        <is>
          <t>Buy</t>
        </is>
      </c>
      <c r="F51" s="385" t="n">
        <v>1837.9</v>
      </c>
      <c r="G51" s="475" t="n">
        <v>1822.6</v>
      </c>
      <c r="H51" s="475" t="n">
        <v>2200</v>
      </c>
      <c r="I51" s="174">
        <f>H51/G51-1</f>
        <v/>
      </c>
      <c r="J51" s="174">
        <f>H51/F51-1</f>
        <v/>
      </c>
    </row>
    <row r="52">
      <c r="B52" s="476" t="n"/>
      <c r="C52" s="170" t="inlineStr">
        <is>
          <t>Geojit BNP Paribas</t>
        </is>
      </c>
      <c r="D52" s="171" t="n">
        <v>45688</v>
      </c>
      <c r="E52" s="175" t="inlineStr">
        <is>
          <t>Hold</t>
        </is>
      </c>
      <c r="F52" s="385" t="n">
        <v>1837.9</v>
      </c>
      <c r="G52" s="475" t="n">
        <v>1858.5</v>
      </c>
      <c r="H52" s="475" t="n">
        <v>2030</v>
      </c>
      <c r="I52" s="174">
        <f>H52/G52-1</f>
        <v/>
      </c>
      <c r="J52" s="182" t="inlineStr">
        <is>
          <t>Target met</t>
        </is>
      </c>
    </row>
    <row r="53">
      <c r="B53" s="476" t="n"/>
      <c r="C53" s="170" t="inlineStr">
        <is>
          <t>Emkay</t>
        </is>
      </c>
      <c r="D53" s="171" t="n">
        <v>45676</v>
      </c>
      <c r="E53" s="177" t="inlineStr">
        <is>
          <t>Sell</t>
        </is>
      </c>
      <c r="F53" s="385" t="n">
        <v>1837.9</v>
      </c>
      <c r="G53" s="475" t="n">
        <v>1948.75</v>
      </c>
      <c r="H53" s="475" t="n">
        <v>2000</v>
      </c>
      <c r="I53" s="174">
        <f>H53/G53-1</f>
        <v/>
      </c>
      <c r="J53" s="182" t="inlineStr">
        <is>
          <t>Target met</t>
        </is>
      </c>
    </row>
    <row r="54">
      <c r="B54" s="476" t="n"/>
      <c r="C54" s="170" t="inlineStr">
        <is>
          <t>Sharekhan</t>
        </is>
      </c>
      <c r="D54" s="171" t="n">
        <v>45674</v>
      </c>
      <c r="E54" s="172" t="inlineStr">
        <is>
          <t>Buy</t>
        </is>
      </c>
      <c r="F54" s="385" t="n">
        <v>1837.9</v>
      </c>
      <c r="G54" s="475" t="n">
        <v>1948.75</v>
      </c>
      <c r="H54" s="475" t="n">
        <v>2550</v>
      </c>
      <c r="I54" s="174">
        <f>H54/G54-1</f>
        <v/>
      </c>
      <c r="J54" s="174">
        <f>H54/F54-1</f>
        <v/>
      </c>
    </row>
    <row r="55">
      <c r="B55" s="476" t="n"/>
      <c r="C55" s="170" t="inlineStr">
        <is>
          <t>Motilal Oswal</t>
        </is>
      </c>
      <c r="D55" s="171" t="n">
        <v>45674</v>
      </c>
      <c r="E55" s="172" t="inlineStr">
        <is>
          <t>Buy</t>
        </is>
      </c>
      <c r="F55" s="385" t="n">
        <v>1837.9</v>
      </c>
      <c r="G55" s="475" t="n">
        <v>1948.75</v>
      </c>
      <c r="H55" s="475" t="n">
        <v>2300</v>
      </c>
      <c r="I55" s="174">
        <f>H55/G55-1</f>
        <v/>
      </c>
      <c r="J55" s="174">
        <f>H55/F55-1</f>
        <v/>
      </c>
    </row>
    <row r="56">
      <c r="B56" s="476" t="n"/>
      <c r="C56" s="170" t="inlineStr">
        <is>
          <t>ICICI Direct</t>
        </is>
      </c>
      <c r="D56" s="171" t="n">
        <v>45588</v>
      </c>
      <c r="E56" s="175" t="inlineStr">
        <is>
          <t>Hold</t>
        </is>
      </c>
      <c r="F56" s="385" t="n">
        <v>1837.9</v>
      </c>
      <c r="G56" s="475" t="n">
        <v>1959</v>
      </c>
      <c r="H56" s="475" t="n">
        <v>2100</v>
      </c>
      <c r="I56" s="174">
        <f>H56/G56-1</f>
        <v/>
      </c>
      <c r="J56" s="174">
        <f>H56/F56-1</f>
        <v/>
      </c>
    </row>
    <row r="57">
      <c r="B57" s="476" t="n"/>
      <c r="C57" s="170" t="inlineStr">
        <is>
          <t>Emkay</t>
        </is>
      </c>
      <c r="D57" s="171" t="n">
        <v>45585</v>
      </c>
      <c r="E57" s="177" t="inlineStr">
        <is>
          <t>Sell</t>
        </is>
      </c>
      <c r="F57" s="385" t="n">
        <v>1837.9</v>
      </c>
      <c r="G57" s="475" t="n">
        <v>2020</v>
      </c>
      <c r="H57" s="480" t="n">
        <v>1900</v>
      </c>
      <c r="I57" s="182">
        <f>H57/G57-1</f>
        <v/>
      </c>
      <c r="J57" s="182" t="inlineStr">
        <is>
          <t>Target met</t>
        </is>
      </c>
    </row>
    <row r="58" hidden="1">
      <c r="B58" s="402" t="n"/>
      <c r="C58" s="170" t="inlineStr">
        <is>
          <t>Motilal Oswal</t>
        </is>
      </c>
      <c r="D58" s="171" t="n">
        <v>45583</v>
      </c>
      <c r="E58" s="172" t="inlineStr">
        <is>
          <t>Buy</t>
        </is>
      </c>
      <c r="F58" s="475" t="n">
        <v>1938</v>
      </c>
      <c r="G58" s="475" t="n">
        <v>2020</v>
      </c>
      <c r="H58" s="475" t="n">
        <v>2400</v>
      </c>
      <c r="I58" s="174">
        <f>H58/G58-1</f>
        <v/>
      </c>
      <c r="J58" s="174">
        <f>H58/F58-1</f>
        <v/>
      </c>
    </row>
    <row r="59" hidden="1">
      <c r="B59" s="402" t="n"/>
      <c r="C59" s="170" t="inlineStr">
        <is>
          <t>Sharekhan</t>
        </is>
      </c>
      <c r="D59" s="171" t="n">
        <v>45527</v>
      </c>
      <c r="E59" s="172" t="inlineStr">
        <is>
          <t>Buy</t>
        </is>
      </c>
      <c r="F59" s="475" t="n">
        <v>1938</v>
      </c>
      <c r="G59" s="475" t="n">
        <v>2096</v>
      </c>
      <c r="H59" s="475" t="n">
        <v>2550</v>
      </c>
      <c r="I59" s="174">
        <f>H59/G59-1</f>
        <v/>
      </c>
      <c r="J59" s="174">
        <f>H59/F59-1</f>
        <v/>
      </c>
    </row>
    <row r="60" hidden="1">
      <c r="B60" s="402" t="n"/>
      <c r="C60" s="170" t="inlineStr">
        <is>
          <t>Geojit BNP Paribas</t>
        </is>
      </c>
      <c r="D60" s="171" t="n">
        <v>45505</v>
      </c>
      <c r="E60" s="172" t="inlineStr">
        <is>
          <t>Buy</t>
        </is>
      </c>
      <c r="F60" s="475" t="n">
        <v>1938</v>
      </c>
      <c r="G60" s="475" t="n">
        <v>2004</v>
      </c>
      <c r="H60" s="475" t="n">
        <v>2331</v>
      </c>
      <c r="I60" s="174">
        <f>H60/G60-1</f>
        <v/>
      </c>
      <c r="J60" s="174">
        <f>H60/F60-1</f>
        <v/>
      </c>
    </row>
    <row r="61" hidden="1">
      <c r="B61" s="402" t="n"/>
      <c r="C61" s="170" t="inlineStr">
        <is>
          <t>IDBI Capital</t>
        </is>
      </c>
      <c r="D61" s="171" t="n">
        <v>45457</v>
      </c>
      <c r="E61" s="172" t="inlineStr">
        <is>
          <t>Buy</t>
        </is>
      </c>
      <c r="F61" s="475" t="n">
        <v>1938</v>
      </c>
      <c r="G61" s="475" t="n">
        <v>1730</v>
      </c>
      <c r="H61" s="475" t="n">
        <v>2100</v>
      </c>
      <c r="I61" s="174">
        <f>H61/G61-1</f>
        <v/>
      </c>
      <c r="J61" s="174">
        <f>H61/F61-1</f>
        <v/>
      </c>
    </row>
    <row r="62" customFormat="1" s="1">
      <c r="B62" s="402" t="n"/>
      <c r="C62" s="178" t="inlineStr">
        <is>
          <t>Average</t>
        </is>
      </c>
      <c r="D62" s="179" t="n"/>
      <c r="E62" s="179" t="n"/>
      <c r="F62" s="478">
        <f>AVERAGE(F39:F61)</f>
        <v/>
      </c>
      <c r="G62" s="478">
        <f>AVERAGE(G39:G61)</f>
        <v/>
      </c>
      <c r="H62" s="478">
        <f>AVERAGE(H39:H61)</f>
        <v/>
      </c>
      <c r="I62" s="181">
        <f>H62/G62-1</f>
        <v/>
      </c>
      <c r="J62" s="181">
        <f>H62/F62-1</f>
        <v/>
      </c>
    </row>
    <row r="63" ht="4" customHeight="1">
      <c r="B63" s="184" t="n"/>
      <c r="H63" s="481" t="n"/>
    </row>
    <row r="64">
      <c r="B64" s="304" t="inlineStr">
        <is>
          <t>Go Digit</t>
        </is>
      </c>
      <c r="C64" s="186" t="inlineStr">
        <is>
          <t>Emkay</t>
        </is>
      </c>
      <c r="D64" s="171" t="n">
        <v>45776</v>
      </c>
      <c r="E64" s="177" t="inlineStr">
        <is>
          <t>Sell</t>
        </is>
      </c>
      <c r="F64" s="475" t="n">
        <v>308</v>
      </c>
      <c r="G64" s="475" t="n">
        <v>365</v>
      </c>
      <c r="H64" s="475" t="n">
        <v>290</v>
      </c>
      <c r="I64" s="182">
        <f>H64/G64-1</f>
        <v/>
      </c>
      <c r="J64" s="182" t="inlineStr">
        <is>
          <t>Target met</t>
        </is>
      </c>
    </row>
    <row r="65">
      <c r="B65" s="482" t="n"/>
      <c r="C65" s="186" t="inlineStr">
        <is>
          <t>Emkay</t>
        </is>
      </c>
      <c r="D65" s="171" t="n">
        <v>45776</v>
      </c>
      <c r="E65" s="177" t="inlineStr">
        <is>
          <t>Sell</t>
        </is>
      </c>
      <c r="F65" s="475" t="n">
        <v>308</v>
      </c>
      <c r="G65" s="475" t="n">
        <v>290.7</v>
      </c>
      <c r="H65" s="475" t="n">
        <v>250</v>
      </c>
      <c r="I65" s="182">
        <f>H65/G65-1</f>
        <v/>
      </c>
      <c r="J65" s="182" t="inlineStr">
        <is>
          <t>Target met</t>
        </is>
      </c>
    </row>
    <row r="66">
      <c r="B66" s="386" t="n"/>
      <c r="C66" s="178" t="inlineStr">
        <is>
          <t>Average</t>
        </is>
      </c>
      <c r="D66" s="179" t="n"/>
      <c r="E66" s="179" t="n"/>
      <c r="F66" s="478">
        <f>AVERAGE(F64:F65)</f>
        <v/>
      </c>
      <c r="G66" s="478">
        <f>AVERAGE(G64:G65)</f>
        <v/>
      </c>
      <c r="H66" s="478">
        <f>AVERAGE(H64:H65)</f>
        <v/>
      </c>
      <c r="I66" s="181">
        <f>H66/G66-1</f>
        <v/>
      </c>
      <c r="J66" s="181" t="inlineStr">
        <is>
          <t>NM</t>
        </is>
      </c>
    </row>
  </sheetData>
  <mergeCells count="4">
    <mergeCell ref="B4:B17"/>
    <mergeCell ref="B39:B57"/>
    <mergeCell ref="B20:B36"/>
    <mergeCell ref="B64:B65"/>
  </mergeCells>
  <pageMargins left="0.7086614173228347" right="0.7086614173228347" top="0.7480314960629921" bottom="0.7480314960629921" header="0.3149606299212598" footer="0.3149606299212598"/>
  <pageSetup orientation="landscape" paperSize="9" scale="88" fitToHeight="0"/>
  <legacyDrawing xmlns:r="http://schemas.openxmlformats.org/officeDocument/2006/relationships" r:id="anysvml"/>
</worksheet>
</file>

<file path=xl/worksheets/sheet7.xml><?xml version="1.0" encoding="utf-8"?>
<worksheet xmlns="http://schemas.openxmlformats.org/spreadsheetml/2006/main">
  <sheetPr>
    <tabColor rgb="FF002060"/>
    <outlinePr summaryBelow="1" summaryRight="1"/>
    <pageSetUpPr fitToPage="1"/>
  </sheetPr>
  <dimension ref="A1:Q10"/>
  <sheetViews>
    <sheetView showGridLines="0" view="pageBreakPreview" topLeftCell="B1" zoomScaleNormal="160" zoomScaleSheetLayoutView="115" workbookViewId="0">
      <selection activeCell="K5" sqref="K5"/>
    </sheetView>
  </sheetViews>
  <sheetFormatPr baseColWidth="8" defaultRowHeight="14.5"/>
  <cols>
    <col hidden="1" width="15.7265625" customWidth="1" min="1" max="1"/>
    <col width="15.453125" bestFit="1" customWidth="1" min="2" max="2"/>
    <col width="9.453125" customWidth="1" style="2" min="3" max="5"/>
    <col width="10.36328125" customWidth="1" style="2" min="6" max="6"/>
    <col width="9.453125" customWidth="1" style="2" min="7" max="14"/>
    <col width="8.7265625" customWidth="1" min="15" max="17"/>
  </cols>
  <sheetData>
    <row r="1" ht="12" customFormat="1" customHeight="1" s="129">
      <c r="A1" s="126" t="inlineStr">
        <is>
          <t>INR Cr.</t>
        </is>
      </c>
      <c r="B1" s="127" t="inlineStr">
        <is>
          <t>&gt;&gt; As on</t>
        </is>
      </c>
      <c r="C1" s="128">
        <f>TODAY()</f>
        <v/>
      </c>
      <c r="D1" s="126" t="n"/>
      <c r="E1" s="126" t="n"/>
      <c r="F1" s="126" t="n"/>
      <c r="G1" s="126" t="n"/>
      <c r="H1" s="126" t="n"/>
      <c r="I1" s="126" t="n"/>
      <c r="J1" s="126" t="n"/>
      <c r="K1" s="126" t="n"/>
      <c r="L1" s="126" t="n"/>
      <c r="M1" s="128">
        <f>DATE(YEAR(N1)-3,MONTH(N1),DAY(N1))</f>
        <v/>
      </c>
      <c r="N1" s="128">
        <f>TODAY()</f>
        <v/>
      </c>
    </row>
    <row r="2" ht="14.5" customHeight="1">
      <c r="A2" s="130" t="inlineStr">
        <is>
          <t>Ticker</t>
        </is>
      </c>
      <c r="B2" s="407" t="inlineStr">
        <is>
          <t>Company (INR cr)</t>
        </is>
      </c>
      <c r="C2" s="409" t="inlineStr">
        <is>
          <t>Market Cap</t>
        </is>
      </c>
      <c r="D2" s="411" t="inlineStr">
        <is>
          <t>Enterprise Value</t>
        </is>
      </c>
      <c r="E2" s="413" t="n"/>
      <c r="F2" s="413" t="inlineStr">
        <is>
          <t xml:space="preserve">IFRS </t>
        </is>
      </c>
      <c r="G2" s="428" t="n"/>
      <c r="H2" s="416" t="inlineStr">
        <is>
          <t xml:space="preserve">IGAAP </t>
        </is>
      </c>
      <c r="I2" s="428" t="n"/>
      <c r="J2" s="413" t="inlineStr">
        <is>
          <t>P/GWP</t>
        </is>
      </c>
      <c r="K2" s="483" t="inlineStr">
        <is>
          <t>IGAAP</t>
        </is>
      </c>
      <c r="M2" s="476" t="n"/>
      <c r="N2" s="483" t="inlineStr">
        <is>
          <t>IFRS</t>
        </is>
      </c>
      <c r="P2" s="476" t="n"/>
      <c r="Q2" s="413" t="n"/>
    </row>
    <row r="3" ht="29" customHeight="1">
      <c r="A3" s="130" t="n"/>
      <c r="B3" s="239" t="n"/>
      <c r="C3" s="197" t="n"/>
      <c r="D3" s="476" t="n"/>
      <c r="E3" s="379" t="inlineStr">
        <is>
          <t>GWP</t>
        </is>
      </c>
      <c r="F3" s="379" t="inlineStr">
        <is>
          <t>Net Worth</t>
        </is>
      </c>
      <c r="G3" s="377" t="inlineStr">
        <is>
          <t>PAT</t>
        </is>
      </c>
      <c r="H3" s="376" t="inlineStr">
        <is>
          <t>Net Worth</t>
        </is>
      </c>
      <c r="I3" s="377" t="inlineStr">
        <is>
          <t>PAT</t>
        </is>
      </c>
      <c r="J3" s="239" t="n"/>
      <c r="K3" s="379" t="inlineStr">
        <is>
          <t>P/E</t>
        </is>
      </c>
      <c r="L3" s="376" t="inlineStr">
        <is>
          <t xml:space="preserve">P/B </t>
        </is>
      </c>
      <c r="M3" s="377" t="inlineStr">
        <is>
          <t>ROE</t>
        </is>
      </c>
      <c r="N3" s="379" t="inlineStr">
        <is>
          <t>P/E</t>
        </is>
      </c>
      <c r="O3" s="376" t="inlineStr">
        <is>
          <t xml:space="preserve">P/B </t>
        </is>
      </c>
      <c r="P3" s="377" t="inlineStr">
        <is>
          <t>ROE</t>
        </is>
      </c>
      <c r="Q3" s="414" t="inlineStr">
        <is>
          <t>3-yr avg P/E</t>
        </is>
      </c>
    </row>
    <row r="4" ht="15" customHeight="1">
      <c r="A4" s="130" t="inlineStr">
        <is>
          <t>NSEI:NIVABUPA</t>
        </is>
      </c>
      <c r="B4" s="197" t="inlineStr">
        <is>
          <t>Niva Bupa</t>
        </is>
      </c>
      <c r="C4" s="131">
        <f>_xll.ciqfunctions.udf.CIQ(A4, "IQ_MARKETCAP", $C$1)/10</f>
        <v/>
      </c>
      <c r="D4" s="132">
        <f>_xll.ciqfunctions.udf.CIQ(A4, "IQ_TEV", $C$1)/10</f>
        <v/>
      </c>
      <c r="E4" s="133">
        <f>'SAHIs comparison'!F7</f>
        <v/>
      </c>
      <c r="F4" s="131" t="n">
        <v>3582.44</v>
      </c>
      <c r="G4" s="132">
        <f>'SAHIs comparison'!F25</f>
        <v/>
      </c>
      <c r="H4" s="390">
        <f>'SAHIs comparison'!F33</f>
        <v/>
      </c>
      <c r="I4" s="132">
        <f>'SAHIs comparison'!F17</f>
        <v/>
      </c>
      <c r="J4" s="484">
        <f>C4/E4</f>
        <v/>
      </c>
      <c r="K4" s="485">
        <f>C4/I4</f>
        <v/>
      </c>
      <c r="L4" s="486">
        <f>C4/H4</f>
        <v/>
      </c>
      <c r="M4" s="380">
        <f>I4/H4</f>
        <v/>
      </c>
      <c r="N4" s="485">
        <f>C4/G4</f>
        <v/>
      </c>
      <c r="O4" s="486">
        <f>C4/F4</f>
        <v/>
      </c>
      <c r="P4" s="380">
        <f>G4/F4</f>
        <v/>
      </c>
      <c r="Q4" s="487">
        <f>_xll.ciqfunctions.udf.CIQAVG(A4, "IQ_PE_EXCL", IQ_LTM, $M$1, $N$1)</f>
        <v/>
      </c>
    </row>
    <row r="5" ht="15" customHeight="1">
      <c r="A5" s="130" t="inlineStr">
        <is>
          <t>NSEI:STARHEALTH</t>
        </is>
      </c>
      <c r="B5" s="197" t="inlineStr">
        <is>
          <t>Star</t>
        </is>
      </c>
      <c r="C5" s="131">
        <f>_xll.ciqfunctions.udf.CIQ(A5, "IQ_MARKETCAP", $C$1)/10</f>
        <v/>
      </c>
      <c r="D5" s="132">
        <f>_xll.ciqfunctions.udf.CIQ(A5, "IQ_TEV", $C$1)/10</f>
        <v/>
      </c>
      <c r="E5" s="133">
        <f>'SAHIs comparison'!S7</f>
        <v/>
      </c>
      <c r="F5" s="131">
        <f>8667+G5</f>
        <v/>
      </c>
      <c r="G5" s="132">
        <f>'SAHIs comparison'!S25</f>
        <v/>
      </c>
      <c r="H5" s="133">
        <f>'SAHIs comparison'!S33</f>
        <v/>
      </c>
      <c r="I5" s="132">
        <f>'SAHIs comparison'!S17</f>
        <v/>
      </c>
      <c r="J5" s="484">
        <f>C5/E5</f>
        <v/>
      </c>
      <c r="K5" s="485">
        <f>C5/I5</f>
        <v/>
      </c>
      <c r="L5" s="486">
        <f>C5/H5</f>
        <v/>
      </c>
      <c r="M5" s="380">
        <f>I5/H5</f>
        <v/>
      </c>
      <c r="N5" s="485">
        <f>C5/G5</f>
        <v/>
      </c>
      <c r="O5" s="486">
        <f>C5/F5</f>
        <v/>
      </c>
      <c r="P5" s="380">
        <f>G5/F5</f>
        <v/>
      </c>
      <c r="Q5" s="487">
        <f>_xll.ciqfunctions.udf.CIQAVG(A5, "IQ_PE_EXCL", IQ_LTM, $M$1, $N$1)</f>
        <v/>
      </c>
    </row>
    <row r="6" ht="15" customHeight="1">
      <c r="A6" s="130" t="inlineStr">
        <is>
          <t>NSEI:ICICIGI</t>
        </is>
      </c>
      <c r="B6" s="197" t="inlineStr">
        <is>
          <t>ICICI Lombard</t>
        </is>
      </c>
      <c r="C6" s="131">
        <f>_xll.ciqfunctions.udf.CIQ(A6, "IQ_MARKETCAP", $C$1)/10</f>
        <v/>
      </c>
      <c r="D6" s="132">
        <f>_xll.ciqfunctions.udf.CIQ(A6, "IQ_TEV", $C$1)/10</f>
        <v/>
      </c>
      <c r="E6" s="133" t="n">
        <v>28712.47</v>
      </c>
      <c r="F6" s="387" t="n">
        <v>16843</v>
      </c>
      <c r="G6" s="388" t="n">
        <v>2772</v>
      </c>
      <c r="H6" s="133" t="n">
        <v>16843</v>
      </c>
      <c r="I6" s="133" t="n">
        <v>2772</v>
      </c>
      <c r="J6" s="484">
        <f>C6/E6</f>
        <v/>
      </c>
      <c r="K6" s="485">
        <f>C6/I6</f>
        <v/>
      </c>
      <c r="L6" s="486">
        <f>C6/H6</f>
        <v/>
      </c>
      <c r="M6" s="380">
        <f>I6/H6</f>
        <v/>
      </c>
      <c r="N6" s="485">
        <f>C6/G6</f>
        <v/>
      </c>
      <c r="O6" s="486">
        <f>C6/F6</f>
        <v/>
      </c>
      <c r="P6" s="380">
        <f>G6/F6</f>
        <v/>
      </c>
      <c r="Q6" s="487">
        <f>_xll.ciqfunctions.udf.CIQAVG(A6, "IQ_PE_EXCL", IQ_LTM, $M$1, $N$1)</f>
        <v/>
      </c>
    </row>
    <row r="7" ht="15" customHeight="1">
      <c r="A7" s="130" t="inlineStr">
        <is>
          <t>NSEI:GODIGIT</t>
        </is>
      </c>
      <c r="B7" s="198" t="inlineStr">
        <is>
          <t>Go Digit</t>
        </is>
      </c>
      <c r="C7" s="136">
        <f>_xll.ciqfunctions.udf.CIQ(A7, "IQ_MARKETCAP", $C$1)/10</f>
        <v/>
      </c>
      <c r="D7" s="137">
        <f>_xll.ciqfunctions.udf.CIQ(A7, "IQ_TEV", $C$1)/10</f>
        <v/>
      </c>
      <c r="E7" s="138" t="n">
        <v>9846.109999999999</v>
      </c>
      <c r="F7" s="136" t="n">
        <v>7610</v>
      </c>
      <c r="G7" s="137" t="n">
        <v>778</v>
      </c>
      <c r="H7" s="138" t="n">
        <v>4586</v>
      </c>
      <c r="I7" s="137" t="n">
        <v>544</v>
      </c>
      <c r="J7" s="488">
        <f>C7/E7</f>
        <v/>
      </c>
      <c r="K7" s="489">
        <f>C7/I7</f>
        <v/>
      </c>
      <c r="L7" s="490">
        <f>C7/H7</f>
        <v/>
      </c>
      <c r="M7" s="381">
        <f>I7/H7</f>
        <v/>
      </c>
      <c r="N7" s="489">
        <f>C7/G7</f>
        <v/>
      </c>
      <c r="O7" s="490">
        <f>C7/F7</f>
        <v/>
      </c>
      <c r="P7" s="381">
        <f>G7/F7</f>
        <v/>
      </c>
      <c r="Q7" s="491">
        <f>_xll.ciqfunctions.udf.CIQAVG(A7, "IQ_PE_EXCL", IQ_LTM, $M$1, $N$1)</f>
        <v/>
      </c>
    </row>
    <row r="9">
      <c r="B9" s="389" t="inlineStr">
        <is>
          <t>*IGAAP PAT &amp; Net Worth taken as IFRS PAT &amp; Net Worth is not disclosed</t>
        </is>
      </c>
      <c r="K9" s="492" t="n"/>
    </row>
    <row r="10">
      <c r="K10" s="306" t="n"/>
    </row>
  </sheetData>
  <mergeCells count="8">
    <mergeCell ref="F2:G2"/>
    <mergeCell ref="K2:M2"/>
    <mergeCell ref="H2:I2"/>
    <mergeCell ref="N2:P2"/>
    <mergeCell ref="C2:C3"/>
    <mergeCell ref="B2:B3"/>
    <mergeCell ref="D2:D3"/>
    <mergeCell ref="J2:J3"/>
  </mergeCells>
  <pageMargins left="0.7086614173228347" right="0.7086614173228347" top="0.7480314960629921" bottom="0.7480314960629921" header="0.3149606299212598" footer="0.3149606299212598"/>
  <pageSetup orientation="landscape" paperSize="9" scale="79" fitToHeight="0"/>
</worksheet>
</file>

<file path=xl/worksheets/sheet8.xml><?xml version="1.0" encoding="utf-8"?>
<worksheet xmlns="http://schemas.openxmlformats.org/spreadsheetml/2006/main">
  <sheetPr>
    <tabColor rgb="FF002060"/>
    <outlinePr summaryBelow="1" summaryRight="1"/>
    <pageSetUpPr fitToPage="1"/>
  </sheetPr>
  <dimension ref="A2:E32"/>
  <sheetViews>
    <sheetView showGridLines="0" view="pageBreakPreview" zoomScale="85" zoomScaleNormal="160" zoomScaleSheetLayoutView="85" workbookViewId="0">
      <selection activeCell="D17" sqref="D17"/>
    </sheetView>
  </sheetViews>
  <sheetFormatPr baseColWidth="8" defaultRowHeight="14.5"/>
  <cols>
    <col width="2.453125" customWidth="1" min="1" max="1"/>
    <col width="24.81640625" customWidth="1" min="2" max="2"/>
    <col width="13.54296875" bestFit="1" customWidth="1" min="3" max="3"/>
    <col width="16.54296875" customWidth="1" min="4" max="4"/>
    <col width="15" bestFit="1" customWidth="1" min="5" max="5"/>
  </cols>
  <sheetData>
    <row r="2">
      <c r="A2" t="inlineStr">
        <is>
          <t>xx</t>
        </is>
      </c>
      <c r="B2" s="1" t="inlineStr">
        <is>
          <t>Shareholding pattern</t>
        </is>
      </c>
      <c r="C2" s="418" t="n">
        <v>46112</v>
      </c>
      <c r="D2" s="493" t="n"/>
    </row>
    <row r="3">
      <c r="B3" s="248" t="inlineStr">
        <is>
          <t>Key Investors</t>
        </is>
      </c>
      <c r="C3" s="246" t="inlineStr">
        <is>
          <t>% shareholding</t>
        </is>
      </c>
      <c r="D3" s="247" t="inlineStr">
        <is>
          <t># shares</t>
        </is>
      </c>
    </row>
    <row r="4">
      <c r="B4" s="239" t="inlineStr">
        <is>
          <t>Bupa Singapore Holdings</t>
        </is>
      </c>
      <c r="C4" s="50">
        <f>D4/$D$19</f>
        <v/>
      </c>
      <c r="D4" s="234" t="n">
        <v>1022690470</v>
      </c>
    </row>
    <row r="5">
      <c r="B5" s="239" t="inlineStr">
        <is>
          <t>Fettle Tone LLP</t>
        </is>
      </c>
      <c r="C5" s="50">
        <f>D5/$D$19</f>
        <v/>
      </c>
      <c r="D5" s="234" t="n">
        <v>146202091</v>
      </c>
      <c r="E5" s="27" t="n"/>
    </row>
    <row r="6">
      <c r="B6" s="239" t="inlineStr">
        <is>
          <t>Temasek</t>
        </is>
      </c>
      <c r="C6" s="50">
        <f>D6/$D$19</f>
        <v/>
      </c>
      <c r="D6" s="234">
        <f>44676098+37778328</f>
        <v/>
      </c>
    </row>
    <row r="7">
      <c r="B7" s="239" t="inlineStr">
        <is>
          <t>DSP Mutual Fund</t>
        </is>
      </c>
      <c r="C7" s="50">
        <f>D7/$D$19</f>
        <v/>
      </c>
      <c r="D7" s="234" t="n">
        <v>59247149</v>
      </c>
      <c r="E7" s="27" t="n"/>
    </row>
    <row r="8">
      <c r="B8" s="239" t="inlineStr">
        <is>
          <t>Motilal Oswal Private Equity</t>
        </is>
      </c>
      <c r="C8" s="50">
        <f>D8/$D$19</f>
        <v/>
      </c>
      <c r="D8" s="234" t="n">
        <v>48399106</v>
      </c>
    </row>
    <row r="9">
      <c r="B9" s="239" t="inlineStr">
        <is>
          <t>Nippon India Mutual Funds</t>
        </is>
      </c>
      <c r="C9" s="50">
        <f>D9/$D$19</f>
        <v/>
      </c>
      <c r="D9" s="234" t="n">
        <v>46624267</v>
      </c>
    </row>
    <row r="10">
      <c r="B10" s="239" t="inlineStr">
        <is>
          <t>Amansa Holdings</t>
        </is>
      </c>
      <c r="C10" s="50">
        <f>D10/$D$19</f>
        <v/>
      </c>
      <c r="D10" s="234" t="n">
        <v>42291644</v>
      </c>
    </row>
    <row r="11">
      <c r="B11" s="239" t="inlineStr">
        <is>
          <t>A91</t>
        </is>
      </c>
      <c r="C11" s="50">
        <f>D11/$D$19</f>
        <v/>
      </c>
      <c r="D11" s="234" t="n">
        <v>39035360</v>
      </c>
    </row>
    <row r="12">
      <c r="B12" s="239" t="inlineStr">
        <is>
          <t>Tata Mutual Fund</t>
        </is>
      </c>
      <c r="C12" s="50">
        <f>D12/$D$19</f>
        <v/>
      </c>
      <c r="D12" s="234" t="n">
        <v>27583115</v>
      </c>
      <c r="E12" s="27" t="n"/>
    </row>
    <row r="13">
      <c r="B13" s="239" t="inlineStr">
        <is>
          <t>SBI Mutual Fund</t>
        </is>
      </c>
      <c r="C13" s="50">
        <f>D13/$D$19</f>
        <v/>
      </c>
      <c r="D13" s="234" t="n">
        <v>25698569</v>
      </c>
      <c r="E13" s="312" t="n"/>
    </row>
    <row r="14">
      <c r="B14" s="239" t="inlineStr">
        <is>
          <t>Insurance Companies</t>
        </is>
      </c>
      <c r="C14" s="50">
        <f>D14/$D$19</f>
        <v/>
      </c>
      <c r="D14" s="234" t="n">
        <v>17157540</v>
      </c>
    </row>
    <row r="15">
      <c r="B15" s="239" t="inlineStr">
        <is>
          <t>Pallonji</t>
        </is>
      </c>
      <c r="C15" s="50">
        <f>D15/$D$19</f>
        <v/>
      </c>
      <c r="D15" s="234" t="n">
        <v>21281061</v>
      </c>
    </row>
    <row r="16">
      <c r="B16" s="239" t="inlineStr">
        <is>
          <t xml:space="preserve">Other Mutual funds </t>
        </is>
      </c>
      <c r="C16" s="50">
        <f>D16/$D$19</f>
        <v/>
      </c>
      <c r="D16" s="234" t="n">
        <v>40266015</v>
      </c>
      <c r="E16" s="219" t="n"/>
    </row>
    <row r="17">
      <c r="B17" s="249" t="inlineStr">
        <is>
          <t>Paragon</t>
        </is>
      </c>
      <c r="C17" s="310">
        <f>D17/$D$19</f>
        <v/>
      </c>
      <c r="D17" s="250" t="n">
        <v>7818694</v>
      </c>
    </row>
    <row r="18">
      <c r="B18" s="239" t="inlineStr">
        <is>
          <t>Others</t>
        </is>
      </c>
      <c r="C18" s="50">
        <f>D18/$D$19</f>
        <v/>
      </c>
      <c r="D18" s="234">
        <f>D19-SUM(D4:D17)</f>
        <v/>
      </c>
      <c r="E18" s="433" t="n"/>
    </row>
    <row r="19">
      <c r="B19" s="251" t="inlineStr">
        <is>
          <t>Total</t>
        </is>
      </c>
      <c r="C19" s="311">
        <f>SUM(C4:C18)</f>
        <v/>
      </c>
      <c r="D19" s="252" t="n">
        <v>1847456771</v>
      </c>
    </row>
    <row r="20">
      <c r="D20" s="433" t="n"/>
    </row>
    <row r="21">
      <c r="D21" s="494" t="n"/>
    </row>
    <row r="32" customFormat="1" s="1"/>
  </sheetData>
  <mergeCells count="1">
    <mergeCell ref="C2:D2"/>
  </mergeCells>
  <pageMargins left="0.7086614173228347" right="0.7086614173228347" top="0.7480314960629921" bottom="0.7480314960629921" header="0.3149606299212598" footer="0.3149606299212598"/>
  <pageSetup orientation="landscape" paperSize="9" fitToHeight="0"/>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1:Z44"/>
  <sheetViews>
    <sheetView showGridLines="0" zoomScale="111" zoomScaleNormal="130" workbookViewId="0">
      <pane xSplit="2" ySplit="3" topLeftCell="J30" activePane="bottomRight" state="frozen"/>
      <selection activeCell="I17" sqref="I17"/>
      <selection pane="topRight" activeCell="I17" sqref="I17"/>
      <selection pane="bottomLeft" activeCell="I17" sqref="I17"/>
      <selection pane="bottomRight" activeCell="J35" sqref="J35"/>
    </sheetView>
  </sheetViews>
  <sheetFormatPr baseColWidth="8" defaultRowHeight="14.5"/>
  <cols>
    <col width="31.54296875" bestFit="1" customWidth="1" min="2" max="2"/>
    <col hidden="1" outlineLevel="1" width="9.453125" customWidth="1" min="3" max="9"/>
    <col collapsed="1" width="9.453125" customWidth="1" min="10" max="10"/>
    <col hidden="1" outlineLevel="1" width="9.453125" customWidth="1" min="11" max="17"/>
    <col collapsed="1" width="9.453125" customWidth="1" min="18" max="18"/>
    <col hidden="1" outlineLevel="1" width="9.453125" customWidth="1" min="19" max="25"/>
    <col collapsed="1" width="9.81640625" customWidth="1" min="26" max="26"/>
  </cols>
  <sheetData>
    <row r="1">
      <c r="B1" s="238" t="n"/>
      <c r="C1" s="223" t="inlineStr">
        <is>
          <t>Niva</t>
        </is>
      </c>
      <c r="D1" s="224" t="inlineStr">
        <is>
          <t>Niva</t>
        </is>
      </c>
      <c r="E1" s="224" t="inlineStr">
        <is>
          <t>Niva</t>
        </is>
      </c>
      <c r="F1" s="224" t="inlineStr">
        <is>
          <t>Niva</t>
        </is>
      </c>
      <c r="G1" s="224" t="inlineStr">
        <is>
          <t>Niva</t>
        </is>
      </c>
      <c r="H1" s="224" t="inlineStr">
        <is>
          <t>Niva</t>
        </is>
      </c>
      <c r="I1" s="224" t="inlineStr">
        <is>
          <t>Niva</t>
        </is>
      </c>
      <c r="J1" s="224" t="inlineStr">
        <is>
          <t>Niva</t>
        </is>
      </c>
      <c r="K1" s="223" t="inlineStr">
        <is>
          <t>Star</t>
        </is>
      </c>
      <c r="L1" s="224" t="inlineStr">
        <is>
          <t>Star</t>
        </is>
      </c>
      <c r="M1" s="224" t="inlineStr">
        <is>
          <t>Star</t>
        </is>
      </c>
      <c r="N1" s="224" t="inlineStr">
        <is>
          <t>Star</t>
        </is>
      </c>
      <c r="O1" s="224" t="inlineStr">
        <is>
          <t>Star</t>
        </is>
      </c>
      <c r="P1" s="224" t="inlineStr">
        <is>
          <t>Star</t>
        </is>
      </c>
      <c r="Q1" s="224" t="inlineStr">
        <is>
          <t>Star</t>
        </is>
      </c>
      <c r="R1" s="224" t="inlineStr">
        <is>
          <t>Star</t>
        </is>
      </c>
      <c r="S1" s="223" t="inlineStr">
        <is>
          <t>Care</t>
        </is>
      </c>
      <c r="T1" s="224" t="inlineStr">
        <is>
          <t>Care</t>
        </is>
      </c>
      <c r="U1" s="224" t="inlineStr">
        <is>
          <t>Care</t>
        </is>
      </c>
      <c r="V1" s="224" t="inlineStr">
        <is>
          <t>Care</t>
        </is>
      </c>
      <c r="W1" s="224" t="inlineStr">
        <is>
          <t>Care</t>
        </is>
      </c>
      <c r="X1" s="224" t="inlineStr">
        <is>
          <t>Care</t>
        </is>
      </c>
      <c r="Y1" s="224" t="inlineStr">
        <is>
          <t>Care</t>
        </is>
      </c>
      <c r="Z1" s="224" t="inlineStr">
        <is>
          <t>Care</t>
        </is>
      </c>
    </row>
    <row r="2">
      <c r="B2" s="239" t="n"/>
      <c r="C2" s="225" t="n"/>
      <c r="D2" s="212" t="n"/>
      <c r="E2" s="212" t="n"/>
      <c r="F2" s="212" t="n"/>
      <c r="G2" s="212" t="n"/>
      <c r="H2" s="212" t="n"/>
      <c r="I2" s="212" t="n"/>
      <c r="J2" s="212" t="n"/>
      <c r="K2" s="236" t="n"/>
      <c r="L2" s="237" t="n"/>
      <c r="M2" s="237" t="n"/>
      <c r="N2" s="237" t="n"/>
      <c r="O2" s="237" t="n"/>
      <c r="P2" s="237" t="n"/>
      <c r="Q2" s="237" t="n"/>
      <c r="R2" s="237" t="n"/>
      <c r="S2" s="244" t="n"/>
      <c r="T2" s="245" t="n"/>
      <c r="U2" s="245" t="n"/>
      <c r="V2" s="245" t="n"/>
      <c r="W2" s="245" t="n"/>
      <c r="X2" s="245" t="n"/>
      <c r="Y2" s="245" t="n"/>
      <c r="Z2" s="245" t="n"/>
    </row>
    <row r="3">
      <c r="B3" s="240" t="inlineStr">
        <is>
          <t>Channel GWP (Mix%)</t>
        </is>
      </c>
      <c r="C3" s="226" t="inlineStr">
        <is>
          <t>FY19</t>
        </is>
      </c>
      <c r="D3" s="213" t="inlineStr">
        <is>
          <t>FY20</t>
        </is>
      </c>
      <c r="E3" s="213" t="inlineStr">
        <is>
          <t>FY21</t>
        </is>
      </c>
      <c r="F3" s="213" t="inlineStr">
        <is>
          <t>FY22</t>
        </is>
      </c>
      <c r="G3" s="213" t="inlineStr">
        <is>
          <t>FY23</t>
        </is>
      </c>
      <c r="H3" s="213" t="inlineStr">
        <is>
          <t>FY24</t>
        </is>
      </c>
      <c r="I3" s="213" t="inlineStr">
        <is>
          <t>FY25</t>
        </is>
      </c>
      <c r="J3" s="213" t="inlineStr">
        <is>
          <t>9M FY26</t>
        </is>
      </c>
      <c r="K3" s="226" t="inlineStr">
        <is>
          <t>FY19</t>
        </is>
      </c>
      <c r="L3" s="213" t="inlineStr">
        <is>
          <t>FY20</t>
        </is>
      </c>
      <c r="M3" s="213" t="inlineStr">
        <is>
          <t>FY21</t>
        </is>
      </c>
      <c r="N3" s="213" t="inlineStr">
        <is>
          <t>FY22</t>
        </is>
      </c>
      <c r="O3" s="213" t="inlineStr">
        <is>
          <t>FY23</t>
        </is>
      </c>
      <c r="P3" s="213" t="inlineStr">
        <is>
          <t>FY24</t>
        </is>
      </c>
      <c r="Q3" s="213" t="inlineStr">
        <is>
          <t>FY25</t>
        </is>
      </c>
      <c r="R3" s="213" t="inlineStr">
        <is>
          <t>9M FY26</t>
        </is>
      </c>
      <c r="S3" s="226" t="inlineStr">
        <is>
          <t>FY19</t>
        </is>
      </c>
      <c r="T3" s="213" t="inlineStr">
        <is>
          <t>FY20</t>
        </is>
      </c>
      <c r="U3" s="213" t="inlineStr">
        <is>
          <t>FY21</t>
        </is>
      </c>
      <c r="V3" s="213" t="inlineStr">
        <is>
          <t>FY22</t>
        </is>
      </c>
      <c r="W3" s="213" t="inlineStr">
        <is>
          <t>FY23</t>
        </is>
      </c>
      <c r="X3" s="213" t="inlineStr">
        <is>
          <t>FY24</t>
        </is>
      </c>
      <c r="Y3" s="213" t="inlineStr">
        <is>
          <t>FY25</t>
        </is>
      </c>
      <c r="Z3" s="213" t="inlineStr">
        <is>
          <t>9M FY26</t>
        </is>
      </c>
    </row>
    <row r="4">
      <c r="B4" s="241" t="inlineStr">
        <is>
          <t>Banca</t>
        </is>
      </c>
      <c r="C4" s="227" t="n">
        <v>0.1757214812937561</v>
      </c>
      <c r="D4" s="214" t="n">
        <v>0.2086756818165727</v>
      </c>
      <c r="E4" s="214" t="n">
        <v>0.2153619651749336</v>
      </c>
      <c r="F4" s="214" t="n">
        <v>0.1859201343786588</v>
      </c>
      <c r="G4" s="214" t="n">
        <v>0.1754688769785639</v>
      </c>
      <c r="H4" s="214" t="n">
        <v>0.1959850701819148</v>
      </c>
      <c r="I4" s="214" t="n">
        <v>0.2009751221120843</v>
      </c>
      <c r="J4" s="214" t="n">
        <v>0.2016578313253012</v>
      </c>
      <c r="K4" s="227" t="n">
        <v>0.01483534488983187</v>
      </c>
      <c r="L4" s="214" t="n">
        <v>0.02225158154324827</v>
      </c>
      <c r="M4" s="214" t="n">
        <v>0.02309404225900847</v>
      </c>
      <c r="N4" s="214" t="n">
        <v>0.02842769248752777</v>
      </c>
      <c r="O4" s="214" t="n">
        <v>0.0434781937344769</v>
      </c>
      <c r="P4" s="214" t="n">
        <v>0.04822982917782734</v>
      </c>
      <c r="Q4" s="214" t="n">
        <v>0.04634494624067595</v>
      </c>
      <c r="R4" s="214" t="n">
        <v>0.0400778546712803</v>
      </c>
      <c r="S4" s="227" t="n">
        <v>0.2021056933036696</v>
      </c>
      <c r="T4" s="214" t="n">
        <v>0.1600090414777793</v>
      </c>
      <c r="U4" s="214" t="n">
        <v>0.1998476413712277</v>
      </c>
      <c r="V4" s="214" t="n">
        <v>0.1699859053675556</v>
      </c>
      <c r="W4" s="214" t="n">
        <v>0.1608687703247288</v>
      </c>
      <c r="X4" s="214" t="n">
        <v>0.1465126171614373</v>
      </c>
      <c r="Y4" s="214" t="n">
        <v>0.1116268445887056</v>
      </c>
      <c r="Z4" s="214" t="n">
        <v>0.09061425161434759</v>
      </c>
    </row>
    <row r="5">
      <c r="B5" s="241" t="inlineStr">
        <is>
          <t>Brokers</t>
        </is>
      </c>
      <c r="C5" s="227" t="n">
        <v>0.0967782811163557</v>
      </c>
      <c r="D5" s="214" t="n">
        <v>0.1329969548283446</v>
      </c>
      <c r="E5" s="214" t="n">
        <v>0.1635163065648587</v>
      </c>
      <c r="F5" s="214" t="n">
        <v>0.1335992910956345</v>
      </c>
      <c r="G5" s="214" t="n">
        <v>0.2176684188429744</v>
      </c>
      <c r="H5" s="214" t="n">
        <v>0.2703488320252802</v>
      </c>
      <c r="I5" s="214" t="n">
        <v>0.3062747052377692</v>
      </c>
      <c r="J5" s="214" t="n">
        <v>0.2817226725082147</v>
      </c>
      <c r="K5" s="227" t="n">
        <v>0.07249749596855566</v>
      </c>
      <c r="L5" s="214" t="n">
        <v>0.09483869933999793</v>
      </c>
      <c r="M5" s="214" t="n">
        <v>0.07453425860892149</v>
      </c>
      <c r="N5" s="214" t="n">
        <v>0.07422970531610411</v>
      </c>
      <c r="O5" s="214" t="n">
        <v>0.04531413699471992</v>
      </c>
      <c r="P5" s="214" t="n">
        <v>0.04689841528313687</v>
      </c>
      <c r="Q5" s="214" t="n">
        <v>0.0524958767468864</v>
      </c>
      <c r="R5" s="214" t="n">
        <v>0.0423442906574395</v>
      </c>
      <c r="S5" s="227" t="n">
        <v>0.2591649916231849</v>
      </c>
      <c r="T5" s="214" t="n">
        <v>0.2281256932846098</v>
      </c>
      <c r="U5" s="214" t="n">
        <v>0.2554468209786112</v>
      </c>
      <c r="V5" s="214" t="n">
        <v>0.2470760723644712</v>
      </c>
      <c r="W5" s="214" t="n">
        <v>0.3457012712194059</v>
      </c>
      <c r="X5" s="214" t="n">
        <v>0.2967006873082515</v>
      </c>
      <c r="Y5" s="214" t="n">
        <v>0.3184011060018634</v>
      </c>
      <c r="Z5" s="214" t="n">
        <v>0.315954202246276</v>
      </c>
    </row>
    <row r="6">
      <c r="B6" s="241" t="inlineStr">
        <is>
          <t>Individual agents</t>
        </is>
      </c>
      <c r="C6" s="227" t="n">
        <v>0.412561641376543</v>
      </c>
      <c r="D6" s="214" t="n">
        <v>0.3624871025941567</v>
      </c>
      <c r="E6" s="214" t="n">
        <v>0.3787925953181605</v>
      </c>
      <c r="F6" s="214" t="n">
        <v>0.3729078958138343</v>
      </c>
      <c r="G6" s="214" t="n">
        <v>0.3601863968593406</v>
      </c>
      <c r="H6" s="214" t="n">
        <v>0.3208163250748542</v>
      </c>
      <c r="I6" s="214" t="n">
        <v>0.2967349528188187</v>
      </c>
      <c r="J6" s="214" t="n">
        <v>0.2975158817086528</v>
      </c>
      <c r="K6" s="227" t="n">
        <v>0.7750722512584958</v>
      </c>
      <c r="L6" s="214" t="n">
        <v>0.7611421779339941</v>
      </c>
      <c r="M6" s="214" t="n">
        <v>0.7885962509769593</v>
      </c>
      <c r="N6" s="214" t="n">
        <v>0.7965005360506026</v>
      </c>
      <c r="O6" s="214" t="n">
        <v>0.8233564717771977</v>
      </c>
      <c r="P6" s="214" t="n">
        <v>0.817603507433236</v>
      </c>
      <c r="Q6" s="214" t="n">
        <v>0.8227572464266636</v>
      </c>
      <c r="R6" s="214" t="n">
        <v>0.835049740484429</v>
      </c>
      <c r="S6" s="227" t="n">
        <v>0.2878523993405911</v>
      </c>
      <c r="T6" s="214" t="n">
        <v>0.3036806349126619</v>
      </c>
      <c r="U6" s="214" t="n">
        <v>0.4065670475632386</v>
      </c>
      <c r="V6" s="214" t="n">
        <v>0.3458570283773651</v>
      </c>
      <c r="W6" s="214" t="n">
        <v>0.3376044438220603</v>
      </c>
      <c r="X6" s="214" t="n">
        <v>0.3712105540712597</v>
      </c>
      <c r="Y6" s="214" t="n">
        <v>0.398521323595708</v>
      </c>
      <c r="Z6" s="214" t="n">
        <v>0.405613364849817</v>
      </c>
    </row>
    <row r="7">
      <c r="B7" s="241" t="inlineStr">
        <is>
          <t>Corporate Agents -Others</t>
        </is>
      </c>
      <c r="C7" s="227" t="n">
        <v>0.09093884964255922</v>
      </c>
      <c r="D7" s="214" t="n">
        <v>0.1027930486924943</v>
      </c>
      <c r="E7" s="214" t="n">
        <v>0.05454161001075296</v>
      </c>
      <c r="F7" s="214" t="n">
        <v>0.08825005249166361</v>
      </c>
      <c r="G7" s="214" t="n">
        <v>0.08302664110011465</v>
      </c>
      <c r="H7" s="214" t="n">
        <v>0.07650372621295856</v>
      </c>
      <c r="I7" s="214" t="n">
        <v>0.07499153385791374</v>
      </c>
      <c r="J7" s="214" t="n">
        <v>0.1119789704271632</v>
      </c>
      <c r="K7" s="227" t="n">
        <v>0.00253087688311496</v>
      </c>
      <c r="L7" s="214" t="n">
        <v>0.001608126867226113</v>
      </c>
      <c r="M7" s="214" t="n">
        <v>0.003391358295022736</v>
      </c>
      <c r="N7" s="214" t="n">
        <v>0.007742856220673148</v>
      </c>
      <c r="O7" s="214" t="n">
        <v>0.002401086433707239</v>
      </c>
      <c r="P7" s="214" t="n">
        <v>0.001805373641544833</v>
      </c>
      <c r="Q7" s="214" t="n">
        <v>0.001864063359011065</v>
      </c>
      <c r="R7" s="214" t="n">
        <v>0.00267301038062284</v>
      </c>
      <c r="S7" s="227" t="n">
        <v>0.009961247815413722</v>
      </c>
      <c r="T7" s="214" t="n">
        <v>0.01028886684331035</v>
      </c>
      <c r="U7" s="214" t="n">
        <v>0.03366344369567341</v>
      </c>
      <c r="V7" s="214" t="n">
        <v>0.06078986629424542</v>
      </c>
      <c r="W7" s="214" t="n">
        <v>0.04226376635703061</v>
      </c>
      <c r="X7" s="214" t="n">
        <v>0.04007307202605886</v>
      </c>
      <c r="Y7" s="214" t="n">
        <v>0.0688666486340276</v>
      </c>
      <c r="Z7" s="214" t="n">
        <v>0.0970774567011778</v>
      </c>
    </row>
    <row r="8">
      <c r="B8" s="241" t="inlineStr">
        <is>
          <t>Direct Business</t>
        </is>
      </c>
      <c r="C8" s="227" t="n">
        <v>0.2239997465707859</v>
      </c>
      <c r="D8" s="214" t="n">
        <v>0.1930587980100502</v>
      </c>
      <c r="E8" s="214" t="n">
        <v>0.1877798691709618</v>
      </c>
      <c r="F8" s="214" t="n">
        <v>0.187788481727563</v>
      </c>
      <c r="G8" s="214" t="n">
        <v>0.1568390117431003</v>
      </c>
      <c r="H8" s="214" t="n">
        <v>0.1307161569093208</v>
      </c>
      <c r="I8" s="214" t="n">
        <v>0.1153613526898671</v>
      </c>
      <c r="J8" s="214" t="n">
        <v>0.101</v>
      </c>
      <c r="K8" s="227" t="n">
        <v>0.1350640310000019</v>
      </c>
      <c r="L8" s="214" t="n">
        <v>0.09779421511318796</v>
      </c>
      <c r="M8" s="214" t="n">
        <v>0.08955039216521249</v>
      </c>
      <c r="N8" s="214" t="n">
        <v>0.08576111770694214</v>
      </c>
      <c r="O8" s="214" t="n">
        <v>0.08349372745121202</v>
      </c>
      <c r="P8" s="214" t="n">
        <v>0.08399182927484815</v>
      </c>
      <c r="Q8" s="214" t="n">
        <v>0.07501479106757111</v>
      </c>
      <c r="R8" s="214" t="n">
        <v>0.0781725778546713</v>
      </c>
      <c r="S8" s="227" t="n">
        <v>0.2331260652468579</v>
      </c>
      <c r="T8" s="214" t="n">
        <v>0.2826801284224715</v>
      </c>
      <c r="U8" s="214" t="n">
        <v>0.09377087606211544</v>
      </c>
      <c r="V8" s="214" t="n">
        <v>0.1178357653230814</v>
      </c>
      <c r="W8" s="214" t="n">
        <v>0.0766193654794691</v>
      </c>
      <c r="X8" s="214" t="n">
        <v>0.1219236473080184</v>
      </c>
      <c r="Y8" s="214" t="n">
        <v>0.08275779160280108</v>
      </c>
      <c r="Z8" s="214" t="n">
        <v>0.066</v>
      </c>
    </row>
    <row r="9">
      <c r="B9" s="241" t="inlineStr">
        <is>
          <t>Others</t>
        </is>
      </c>
      <c r="C9" s="227" t="n">
        <v>0</v>
      </c>
      <c r="D9" s="214" t="n">
        <v>-1.158594161843605e-05</v>
      </c>
      <c r="E9" s="214" t="n">
        <v>7.653760332492927e-06</v>
      </c>
      <c r="F9" s="214" t="n">
        <v>0.03153414449264579</v>
      </c>
      <c r="G9" s="214" t="n">
        <v>0.006810654475906145</v>
      </c>
      <c r="H9" s="214" t="n">
        <v>0.005629889595671514</v>
      </c>
      <c r="I9" s="214" t="n">
        <v>0.005662333283546957</v>
      </c>
      <c r="J9" s="214" t="n">
        <v>0.006</v>
      </c>
      <c r="K9" s="227" t="n">
        <v>0</v>
      </c>
      <c r="L9" s="214" t="n">
        <v>0.02236519920234574</v>
      </c>
      <c r="M9" s="214" t="n">
        <v>0.02083369769487544</v>
      </c>
      <c r="N9" s="214" t="n">
        <v>0.007338092218150351</v>
      </c>
      <c r="O9" s="214" t="n">
        <v>0.001956383608686178</v>
      </c>
      <c r="P9" s="214" t="n">
        <v>0.001471045189406875</v>
      </c>
      <c r="Q9" s="214" t="n">
        <v>0.001523076159191848</v>
      </c>
      <c r="R9" s="214" t="n">
        <v>0.002</v>
      </c>
      <c r="S9" s="227" t="n">
        <v>0.007789876556667456</v>
      </c>
      <c r="T9" s="214" t="n">
        <v>0.01521563505916713</v>
      </c>
      <c r="U9" s="214" t="n">
        <v>0.01070417032913366</v>
      </c>
      <c r="V9" s="214" t="n">
        <v>0.05845536227328126</v>
      </c>
      <c r="W9" s="214" t="n">
        <v>0.03693849289704211</v>
      </c>
      <c r="X9" s="214" t="n">
        <v>0.02357942212497422</v>
      </c>
      <c r="Y9" s="214" t="n">
        <v>0.01982628557689417</v>
      </c>
      <c r="Z9" s="214" t="n">
        <v>0.025</v>
      </c>
    </row>
    <row r="10">
      <c r="B10" s="242" t="inlineStr">
        <is>
          <t>Total</t>
        </is>
      </c>
      <c r="C10" s="228" t="n">
        <v>1</v>
      </c>
      <c r="D10" s="215" t="n">
        <v>0.9999999999999999</v>
      </c>
      <c r="E10" s="215" t="n">
        <v>1</v>
      </c>
      <c r="F10" s="215" t="n">
        <v>1</v>
      </c>
      <c r="G10" s="215" t="n">
        <v>0.9999999999999999</v>
      </c>
      <c r="H10" s="215" t="n">
        <v>1</v>
      </c>
      <c r="I10" s="215" t="n">
        <v>1</v>
      </c>
      <c r="J10" s="215" t="n">
        <v>1</v>
      </c>
      <c r="K10" s="228" t="n">
        <v>1</v>
      </c>
      <c r="L10" s="215" t="n">
        <v>1</v>
      </c>
      <c r="M10" s="215" t="n">
        <v>0.9999999999999999</v>
      </c>
      <c r="N10" s="215" t="n">
        <v>1</v>
      </c>
      <c r="O10" s="215" t="n">
        <v>1</v>
      </c>
      <c r="P10" s="215" t="n">
        <v>1</v>
      </c>
      <c r="Q10" s="215" t="n">
        <v>1</v>
      </c>
      <c r="R10" s="215" t="n">
        <v>1</v>
      </c>
      <c r="S10" s="228" t="n">
        <v>1.000000273886385</v>
      </c>
      <c r="T10" s="215" t="n">
        <v>1</v>
      </c>
      <c r="U10" s="215" t="n">
        <v>1</v>
      </c>
      <c r="V10" s="215" t="n">
        <v>1</v>
      </c>
      <c r="W10" s="215" t="n">
        <v>0.9999961100997369</v>
      </c>
      <c r="X10" s="215" t="n">
        <v>1</v>
      </c>
      <c r="Y10" s="215" t="n">
        <v>1</v>
      </c>
      <c r="Z10" s="215" t="n">
        <v>1</v>
      </c>
    </row>
    <row r="11">
      <c r="B11" s="243" t="n"/>
      <c r="C11" s="229" t="n"/>
      <c r="D11" s="218" t="n"/>
      <c r="E11" s="218" t="n"/>
      <c r="F11" s="218" t="n"/>
      <c r="G11" s="218" t="n"/>
      <c r="H11" s="215" t="n"/>
      <c r="I11" s="215" t="n"/>
      <c r="J11" s="215" t="n"/>
      <c r="K11" s="228" t="n"/>
      <c r="L11" s="215" t="n"/>
      <c r="M11" s="215" t="n"/>
      <c r="N11" s="215" t="n"/>
      <c r="O11" s="215" t="n"/>
      <c r="P11" s="215" t="n"/>
      <c r="Q11" s="215" t="n"/>
      <c r="R11" s="218" t="n"/>
      <c r="S11" s="229" t="n"/>
      <c r="T11" s="218" t="n"/>
      <c r="U11" s="218" t="n"/>
      <c r="V11" s="218" t="n"/>
      <c r="W11" s="215" t="n"/>
      <c r="X11" s="215" t="n"/>
      <c r="Y11" s="215" t="n"/>
      <c r="Z11" s="218" t="n"/>
    </row>
    <row r="12">
      <c r="B12" s="240" t="inlineStr">
        <is>
          <t>Avg. premium/policy (INR ,000)</t>
        </is>
      </c>
      <c r="C12" s="226" t="inlineStr">
        <is>
          <t>FY19</t>
        </is>
      </c>
      <c r="D12" s="213" t="inlineStr">
        <is>
          <t>FY20</t>
        </is>
      </c>
      <c r="E12" s="213" t="inlineStr">
        <is>
          <t>FY21</t>
        </is>
      </c>
      <c r="F12" s="213" t="inlineStr">
        <is>
          <t>FY22</t>
        </is>
      </c>
      <c r="G12" s="213" t="inlineStr">
        <is>
          <t>FY23</t>
        </is>
      </c>
      <c r="H12" s="213" t="inlineStr">
        <is>
          <t>FY24</t>
        </is>
      </c>
      <c r="I12" s="213" t="inlineStr">
        <is>
          <t>FY25</t>
        </is>
      </c>
      <c r="J12" s="213" t="inlineStr">
        <is>
          <t>9M FY26</t>
        </is>
      </c>
      <c r="K12" s="226" t="inlineStr">
        <is>
          <t>FY19</t>
        </is>
      </c>
      <c r="L12" s="213" t="inlineStr">
        <is>
          <t>FY20</t>
        </is>
      </c>
      <c r="M12" s="213" t="inlineStr">
        <is>
          <t>FY21</t>
        </is>
      </c>
      <c r="N12" s="213" t="inlineStr">
        <is>
          <t>FY22</t>
        </is>
      </c>
      <c r="O12" s="213" t="inlineStr">
        <is>
          <t>FY23</t>
        </is>
      </c>
      <c r="P12" s="213" t="inlineStr">
        <is>
          <t>FY24</t>
        </is>
      </c>
      <c r="Q12" s="213" t="inlineStr">
        <is>
          <t>FY25</t>
        </is>
      </c>
      <c r="R12" s="213" t="inlineStr">
        <is>
          <t>9M FY26</t>
        </is>
      </c>
      <c r="S12" s="226" t="inlineStr">
        <is>
          <t>FY19</t>
        </is>
      </c>
      <c r="T12" s="213" t="inlineStr">
        <is>
          <t>FY20</t>
        </is>
      </c>
      <c r="U12" s="213" t="inlineStr">
        <is>
          <t>FY21</t>
        </is>
      </c>
      <c r="V12" s="213" t="inlineStr">
        <is>
          <t>FY22</t>
        </is>
      </c>
      <c r="W12" s="213" t="inlineStr">
        <is>
          <t>FY23</t>
        </is>
      </c>
      <c r="X12" s="213" t="inlineStr">
        <is>
          <t>FY24</t>
        </is>
      </c>
      <c r="Y12" s="213" t="inlineStr">
        <is>
          <t>FY25</t>
        </is>
      </c>
      <c r="Z12" s="213" t="inlineStr">
        <is>
          <t>9M FY26</t>
        </is>
      </c>
    </row>
    <row r="13">
      <c r="B13" s="241" t="inlineStr">
        <is>
          <t>Banca</t>
        </is>
      </c>
      <c r="C13" s="230" t="n">
        <v>37.06236080178174</v>
      </c>
      <c r="D13" s="216" t="n">
        <v>11.59850636138005</v>
      </c>
      <c r="E13" s="216" t="n">
        <v>13.18107769861635</v>
      </c>
      <c r="F13" s="216" t="n">
        <v>21.40711753979799</v>
      </c>
      <c r="G13" s="216" t="n">
        <v>25.60346495281904</v>
      </c>
      <c r="H13" s="216" t="n">
        <v>36.49174536133137</v>
      </c>
      <c r="I13" s="216" t="n">
        <v>40.24877095302968</v>
      </c>
      <c r="J13" s="216" t="n">
        <v>40.20832532574855</v>
      </c>
      <c r="K13" s="230" t="n">
        <v>9.462347814791633</v>
      </c>
      <c r="L13" s="216" t="n">
        <v>12.24156168862391</v>
      </c>
      <c r="M13" s="216" t="n">
        <v>12.29730879391997</v>
      </c>
      <c r="N13" s="216" t="n">
        <v>19.18114611291614</v>
      </c>
      <c r="O13" s="216" t="n">
        <v>24.04425013022279</v>
      </c>
      <c r="P13" s="216" t="n">
        <v>59.53583220042727</v>
      </c>
      <c r="Q13" s="216" t="n">
        <v>67.78932815316497</v>
      </c>
      <c r="R13" s="216" t="n">
        <v>58.5829594311219</v>
      </c>
      <c r="S13" s="230" t="n">
        <v>27.97623651266653</v>
      </c>
      <c r="T13" s="216" t="n">
        <v>24.736464056221</v>
      </c>
      <c r="U13" s="216" t="n">
        <v>22.50029688991322</v>
      </c>
      <c r="V13" s="216" t="n">
        <v>22.25783595937785</v>
      </c>
      <c r="W13" s="216" t="n">
        <v>18.32926686035045</v>
      </c>
      <c r="X13" s="216" t="n">
        <v>21.48045629390419</v>
      </c>
      <c r="Y13" s="216" t="n">
        <v>25.40479017669043</v>
      </c>
      <c r="Z13" s="216" t="n">
        <v>50.61</v>
      </c>
    </row>
    <row r="14">
      <c r="B14" s="241" t="inlineStr">
        <is>
          <t>Brokers</t>
        </is>
      </c>
      <c r="C14" s="230" t="n">
        <v>16.76299520795991</v>
      </c>
      <c r="D14" s="216" t="n">
        <v>7.506709717851256</v>
      </c>
      <c r="E14" s="216" t="n">
        <v>10.3817170376495</v>
      </c>
      <c r="F14" s="216" t="n">
        <v>17.02439311968002</v>
      </c>
      <c r="G14" s="216" t="n">
        <v>23.79204203599789</v>
      </c>
      <c r="H14" s="216" t="n">
        <v>29.18140012973788</v>
      </c>
      <c r="I14" s="216" t="n">
        <v>30.08216639239136</v>
      </c>
      <c r="J14" s="216" t="n">
        <v>25.55474483883429</v>
      </c>
      <c r="K14" s="230" t="n">
        <v>70.3521379805965</v>
      </c>
      <c r="L14" s="216" t="n">
        <v>66.57191644257216</v>
      </c>
      <c r="M14" s="216" t="n">
        <v>50.32687259520299</v>
      </c>
      <c r="N14" s="216" t="n">
        <v>33.71862641760645</v>
      </c>
      <c r="O14" s="216" t="n">
        <v>19.34636429560287</v>
      </c>
      <c r="P14" s="216" t="n">
        <v>25.22006437125221</v>
      </c>
      <c r="Q14" s="216" t="n">
        <v>24.53579307317428</v>
      </c>
      <c r="R14" s="216" t="n">
        <v>18.8111676293333</v>
      </c>
      <c r="S14" s="230" t="n">
        <v>34.15473131009789</v>
      </c>
      <c r="T14" s="216" t="n">
        <v>24.40268300109254</v>
      </c>
      <c r="U14" s="216" t="n">
        <v>24.26063823866609</v>
      </c>
      <c r="V14" s="216" t="n">
        <v>35.0031576142308</v>
      </c>
      <c r="W14" s="216" t="n">
        <v>38.72539941566463</v>
      </c>
      <c r="X14" s="216" t="n">
        <v>36.53550510803563</v>
      </c>
      <c r="Y14" s="216" t="n">
        <v>34.99776683659851</v>
      </c>
      <c r="Z14" s="216" t="n">
        <v>39.21</v>
      </c>
    </row>
    <row r="15">
      <c r="B15" s="241" t="inlineStr">
        <is>
          <t>Individual agents</t>
        </is>
      </c>
      <c r="C15" s="230" t="n">
        <v>20.08337659800862</v>
      </c>
      <c r="D15" s="216" t="n">
        <v>6.724087495373299</v>
      </c>
      <c r="E15" s="216" t="n">
        <v>11.81412500334019</v>
      </c>
      <c r="F15" s="216" t="n">
        <v>20.6458604247941</v>
      </c>
      <c r="G15" s="216" t="n">
        <v>22.89543215020889</v>
      </c>
      <c r="H15" s="216" t="n">
        <v>25.03503373954381</v>
      </c>
      <c r="I15" s="216" t="n">
        <v>23.23291852112578</v>
      </c>
      <c r="J15" s="216" t="n">
        <v>23.38545713010562</v>
      </c>
      <c r="K15" s="230" t="n">
        <v>11.7252130493441</v>
      </c>
      <c r="L15" s="216" t="n">
        <v>12.34641818862304</v>
      </c>
      <c r="M15" s="216" t="n">
        <v>12.51672409578304</v>
      </c>
      <c r="N15" s="216" t="n">
        <v>14.08736155693436</v>
      </c>
      <c r="O15" s="216" t="n">
        <v>15.09523964551064</v>
      </c>
      <c r="P15" s="216" t="n">
        <v>16.97321500625944</v>
      </c>
      <c r="Q15" s="216" t="n">
        <v>17.71015904742295</v>
      </c>
      <c r="R15" s="216" t="n">
        <v>18.6509724874361</v>
      </c>
      <c r="S15" s="230" t="n">
        <v>14.26272934534795</v>
      </c>
      <c r="T15" s="216" t="n">
        <v>13.94923600202272</v>
      </c>
      <c r="U15" s="216" t="n">
        <v>14.97724005232701</v>
      </c>
      <c r="V15" s="216" t="n">
        <v>16.61163448067603</v>
      </c>
      <c r="W15" s="216" t="n">
        <v>17.68366232538428</v>
      </c>
      <c r="X15" s="216" t="n">
        <v>19.81287802860247</v>
      </c>
      <c r="Y15" s="216" t="n">
        <v>19.95988755026851</v>
      </c>
      <c r="Z15" s="216" t="n">
        <v>22.8348099929454</v>
      </c>
    </row>
    <row r="16" hidden="1">
      <c r="B16" s="241" t="inlineStr">
        <is>
          <t>Corporate Agents -Others</t>
        </is>
      </c>
      <c r="C16" s="230" t="n">
        <v>1505.594405594406</v>
      </c>
      <c r="D16" s="216" t="n">
        <v>164.1315519013361</v>
      </c>
      <c r="E16" s="216" t="n">
        <v>484.9669883189437</v>
      </c>
      <c r="F16" s="216" t="n">
        <v>959.6749226006192</v>
      </c>
      <c r="G16" s="216" t="n">
        <v>830.0687285223369</v>
      </c>
      <c r="H16" s="216" t="n">
        <v>33.84348374881666</v>
      </c>
      <c r="I16" s="216" t="n">
        <v>362.9992841803866</v>
      </c>
      <c r="J16" s="216" t="n"/>
      <c r="K16" s="230" t="n">
        <v>10.02346385100455</v>
      </c>
      <c r="L16" s="216" t="n">
        <v>11.60273252758802</v>
      </c>
      <c r="M16" s="216" t="n">
        <v>20.68069628474928</v>
      </c>
      <c r="N16" s="216" t="n">
        <v>45.95630112871493</v>
      </c>
      <c r="O16" s="216" t="n">
        <v>17.53001521898427</v>
      </c>
      <c r="P16" s="216" t="n">
        <v>18.18421921426213</v>
      </c>
      <c r="Q16" s="216" t="n">
        <v>18.61743442671925</v>
      </c>
      <c r="R16" s="216" t="n"/>
      <c r="S16" s="230" t="n">
        <v>16.68654799045697</v>
      </c>
      <c r="T16" s="216" t="n">
        <v>18.72191332165435</v>
      </c>
      <c r="U16" s="216" t="n">
        <v>37.31918579471633</v>
      </c>
      <c r="V16" s="216" t="n">
        <v>94.29633478556298</v>
      </c>
      <c r="W16" s="216" t="n">
        <v>78.73188405797102</v>
      </c>
      <c r="X16" s="216" t="n">
        <v>78.4844075437245</v>
      </c>
      <c r="Y16" s="216" t="n">
        <v>110.4693767355754</v>
      </c>
      <c r="Z16" s="216" t="n"/>
    </row>
    <row r="17">
      <c r="B17" s="241" t="inlineStr">
        <is>
          <t>Direct Business</t>
        </is>
      </c>
      <c r="C17" s="230" t="n">
        <v>22.7012970335174</v>
      </c>
      <c r="D17" s="216" t="n">
        <v>7.601051697921948</v>
      </c>
      <c r="E17" s="216" t="n">
        <v>12.90398549302519</v>
      </c>
      <c r="F17" s="216" t="n">
        <v>23.89238285406394</v>
      </c>
      <c r="G17" s="216" t="n">
        <v>25.43843580758203</v>
      </c>
      <c r="H17" s="216" t="n">
        <v>27.4451658317046</v>
      </c>
      <c r="I17" s="216" t="n">
        <v>24.90804362818974</v>
      </c>
      <c r="J17" s="216" t="n">
        <v>24.21227476293602</v>
      </c>
      <c r="K17" s="230" t="n">
        <v>12.77459370200903</v>
      </c>
      <c r="L17" s="216" t="n">
        <v>13.10432594807613</v>
      </c>
      <c r="M17" s="216" t="n">
        <v>13.55348852205313</v>
      </c>
      <c r="N17" s="216" t="n">
        <v>16.3546955370273</v>
      </c>
      <c r="O17" s="216" t="n">
        <v>18.00652027679541</v>
      </c>
      <c r="P17" s="216" t="n">
        <v>21.55462467615491</v>
      </c>
      <c r="Q17" s="216" t="n">
        <v>19.98317152928728</v>
      </c>
      <c r="R17" s="216" t="n">
        <v>20.1690047593047</v>
      </c>
      <c r="S17" s="230" t="n">
        <v>22.63578631605821</v>
      </c>
      <c r="T17" s="216" t="n">
        <v>35.08502137873349</v>
      </c>
      <c r="U17" s="216" t="n">
        <v>14.82087506328958</v>
      </c>
      <c r="V17" s="216" t="n">
        <v>20.48824852378521</v>
      </c>
      <c r="W17" s="216" t="n">
        <v>13.14908459754001</v>
      </c>
      <c r="X17" s="216" t="n">
        <v>29.30739250559402</v>
      </c>
      <c r="Y17" s="216" t="n">
        <v>17.53885350318471</v>
      </c>
      <c r="Z17" s="216" t="n">
        <v>19.35</v>
      </c>
    </row>
    <row r="18">
      <c r="B18" s="241" t="inlineStr">
        <is>
          <t>Others</t>
        </is>
      </c>
      <c r="C18" s="230" t="inlineStr"/>
      <c r="D18" s="216" t="n">
        <v>0.04092071611251731</v>
      </c>
      <c r="E18" s="216" t="inlineStr"/>
      <c r="F18" s="216" t="n">
        <v>12.48256723061967</v>
      </c>
      <c r="G18" s="216" t="n">
        <v>20.12332245194048</v>
      </c>
      <c r="H18" s="216" t="n">
        <v>22.32515380807566</v>
      </c>
      <c r="I18" s="216" t="n">
        <v>20.91778202676869</v>
      </c>
      <c r="J18" s="216" t="n">
        <v>22.71127886891434</v>
      </c>
      <c r="K18" s="230" t="inlineStr"/>
      <c r="L18" s="216" t="n">
        <v>18.76076783030511</v>
      </c>
      <c r="M18" s="216" t="n">
        <v>15.75616436149217</v>
      </c>
      <c r="N18" s="216" t="n">
        <v>17.00321387423441</v>
      </c>
      <c r="O18" s="216" t="n">
        <v>15.80687418127462</v>
      </c>
      <c r="P18" s="216" t="n">
        <v>16.74252033126894</v>
      </c>
      <c r="Q18" s="216" t="n">
        <v>15.70926143024297</v>
      </c>
      <c r="R18" s="216" t="n">
        <v>17.42</v>
      </c>
      <c r="S18" s="230" t="n">
        <v>500.7394366197153</v>
      </c>
      <c r="T18" s="216" t="n">
        <v>725.5489021955955</v>
      </c>
      <c r="U18" s="216" t="n">
        <v>10148.14814814811</v>
      </c>
      <c r="V18" s="216" t="n">
        <v>14.4434257773703</v>
      </c>
      <c r="W18" s="216" t="n">
        <v>12.14741662722422</v>
      </c>
      <c r="X18" s="216" t="n">
        <v>12.99923703971415</v>
      </c>
      <c r="Y18" s="216" t="n">
        <v>14.90021051109926</v>
      </c>
      <c r="Z18" s="216" t="n">
        <v>16.55</v>
      </c>
    </row>
    <row r="19" customFormat="1" s="1">
      <c r="B19" s="242" t="inlineStr">
        <is>
          <t>Total</t>
        </is>
      </c>
      <c r="C19" s="231" t="n">
        <v>24.39936206776613</v>
      </c>
      <c r="D19" s="220" t="n">
        <v>8.668551186473305</v>
      </c>
      <c r="E19" s="220" t="n">
        <v>12.68771994411173</v>
      </c>
      <c r="F19" s="220" t="n">
        <v>22.18643754648543</v>
      </c>
      <c r="G19" s="220" t="n">
        <v>26.08390206665211</v>
      </c>
      <c r="H19" s="220" t="n">
        <v>28.79745486572055</v>
      </c>
      <c r="I19" s="220" t="n">
        <v>30.25211023884128</v>
      </c>
      <c r="J19" s="220" t="n">
        <v>29.6941161287771</v>
      </c>
      <c r="K19" s="231" t="n">
        <v>12.57438943221334</v>
      </c>
      <c r="L19" s="220" t="n">
        <v>13.57135571025971</v>
      </c>
      <c r="M19" s="220" t="n">
        <v>13.43078493376927</v>
      </c>
      <c r="N19" s="220" t="n">
        <v>15.13604319411685</v>
      </c>
      <c r="O19" s="220" t="n">
        <v>15.72519256348731</v>
      </c>
      <c r="P19" s="220" t="n">
        <v>18.20706733738204</v>
      </c>
      <c r="Q19" s="220" t="n">
        <v>18.78604668098569</v>
      </c>
      <c r="R19" s="220" t="n">
        <v>19.2819860451272</v>
      </c>
      <c r="S19" s="231" t="n">
        <v>21.78372879737962</v>
      </c>
      <c r="T19" s="220" t="n">
        <v>21.6380497958008</v>
      </c>
      <c r="U19" s="220" t="n">
        <v>18.59186294134566</v>
      </c>
      <c r="V19" s="220" t="n">
        <v>21.75841931873992</v>
      </c>
      <c r="W19" s="220" t="n">
        <v>21.64523341524376</v>
      </c>
      <c r="X19" s="220" t="n">
        <v>24.89908999634374</v>
      </c>
      <c r="Y19" s="220" t="n">
        <v>24.9188021360386</v>
      </c>
      <c r="Z19" s="220" t="n">
        <v>24.9188021360386</v>
      </c>
    </row>
    <row r="20">
      <c r="B20" s="243" t="n"/>
      <c r="C20" s="197" t="n"/>
      <c r="K20" s="197" t="n"/>
      <c r="S20" s="197" t="n"/>
    </row>
    <row r="21">
      <c r="B21" s="240" t="inlineStr">
        <is>
          <t>% commission (gross)</t>
        </is>
      </c>
      <c r="C21" s="226" t="inlineStr">
        <is>
          <t>FY19</t>
        </is>
      </c>
      <c r="D21" s="213" t="inlineStr">
        <is>
          <t>FY20</t>
        </is>
      </c>
      <c r="E21" s="213" t="inlineStr">
        <is>
          <t>FY21</t>
        </is>
      </c>
      <c r="F21" s="213" t="inlineStr">
        <is>
          <t>FY22</t>
        </is>
      </c>
      <c r="G21" s="213" t="inlineStr">
        <is>
          <t>FY23</t>
        </is>
      </c>
      <c r="H21" s="213" t="inlineStr">
        <is>
          <t>FY24</t>
        </is>
      </c>
      <c r="I21" s="213" t="inlineStr">
        <is>
          <t>FY25</t>
        </is>
      </c>
      <c r="J21" s="213" t="inlineStr">
        <is>
          <t>9M FY26</t>
        </is>
      </c>
      <c r="K21" s="226" t="inlineStr">
        <is>
          <t>FY19</t>
        </is>
      </c>
      <c r="L21" s="213" t="inlineStr">
        <is>
          <t>FY20</t>
        </is>
      </c>
      <c r="M21" s="213" t="inlineStr">
        <is>
          <t>FY21</t>
        </is>
      </c>
      <c r="N21" s="213" t="inlineStr">
        <is>
          <t>FY22</t>
        </is>
      </c>
      <c r="O21" s="213" t="inlineStr">
        <is>
          <t>FY23</t>
        </is>
      </c>
      <c r="P21" s="213" t="inlineStr">
        <is>
          <t>FY24</t>
        </is>
      </c>
      <c r="Q21" s="213" t="inlineStr">
        <is>
          <t>FY25</t>
        </is>
      </c>
      <c r="R21" s="213" t="inlineStr">
        <is>
          <t>9M FY26</t>
        </is>
      </c>
      <c r="S21" s="226" t="inlineStr">
        <is>
          <t>FY19</t>
        </is>
      </c>
      <c r="T21" s="213" t="inlineStr">
        <is>
          <t>FY20</t>
        </is>
      </c>
      <c r="U21" s="213" t="inlineStr">
        <is>
          <t>FY21</t>
        </is>
      </c>
      <c r="V21" s="213" t="inlineStr">
        <is>
          <t>FY22</t>
        </is>
      </c>
      <c r="W21" s="213" t="inlineStr">
        <is>
          <t>FY23</t>
        </is>
      </c>
      <c r="X21" s="213" t="inlineStr">
        <is>
          <t>FY24</t>
        </is>
      </c>
      <c r="Y21" s="213" t="inlineStr">
        <is>
          <t>FY25</t>
        </is>
      </c>
      <c r="Z21" s="213" t="inlineStr">
        <is>
          <t>9M FY26</t>
        </is>
      </c>
    </row>
    <row r="22">
      <c r="B22" s="241" t="inlineStr">
        <is>
          <t>Banca</t>
        </is>
      </c>
      <c r="C22" s="232" t="n">
        <v>0.2248909320353344</v>
      </c>
      <c r="D22" s="217" t="n">
        <v>0.2223110734114744</v>
      </c>
      <c r="E22" s="217" t="n">
        <v>0.1834724837554701</v>
      </c>
      <c r="F22" s="217" t="n">
        <v>0.1413777922401087</v>
      </c>
      <c r="G22" s="217" t="n">
        <v>0.1519260098784088</v>
      </c>
      <c r="H22" s="217" t="n">
        <v>0.2724476797088262</v>
      </c>
      <c r="I22" s="217" t="n">
        <v>0.3344493171650577</v>
      </c>
      <c r="J22" s="217" t="n">
        <v>0.292680171372457</v>
      </c>
      <c r="K22" s="232" t="n">
        <v>0.1446174965680769</v>
      </c>
      <c r="L22" s="217" t="n">
        <v>0.1211639172558261</v>
      </c>
      <c r="M22" s="217" t="n">
        <v>0.1551909417950374</v>
      </c>
      <c r="N22" s="217" t="n">
        <v>0.1457591751564993</v>
      </c>
      <c r="O22" s="217" t="n">
        <v>0.1153511497824736</v>
      </c>
      <c r="P22" s="217" t="n">
        <v>0.2255885391181428</v>
      </c>
      <c r="Q22" s="217" t="n">
        <v>0.2367853777542564</v>
      </c>
      <c r="R22" s="217" t="n">
        <v>0.2898</v>
      </c>
      <c r="S22" s="232" t="n">
        <v>0.1470393729384566</v>
      </c>
      <c r="T22" s="217" t="n">
        <v>0.153997540940721</v>
      </c>
      <c r="U22" s="217" t="n">
        <v>0.1643887325044961</v>
      </c>
      <c r="V22" s="217" t="n">
        <v>0.1444596028497802</v>
      </c>
      <c r="W22" s="217" t="n">
        <v>0.1454582824533617</v>
      </c>
      <c r="X22" s="217" t="n">
        <v>0.208614638123552</v>
      </c>
      <c r="Y22" s="217" t="n">
        <v>0.2292739138863162</v>
      </c>
      <c r="Z22" s="217">
        <f>14079/62333</f>
        <v/>
      </c>
    </row>
    <row r="23">
      <c r="B23" s="241" t="inlineStr">
        <is>
          <t>Brokers</t>
        </is>
      </c>
      <c r="C23" s="232" t="n">
        <v>0.1549448990725586</v>
      </c>
      <c r="D23" s="217" t="n">
        <v>0.1395529340592861</v>
      </c>
      <c r="E23" s="217" t="n">
        <v>0.1407157328489591</v>
      </c>
      <c r="F23" s="217" t="n">
        <v>0.1430169681148611</v>
      </c>
      <c r="G23" s="217" t="n">
        <v>0.1332776881690109</v>
      </c>
      <c r="H23" s="217" t="n">
        <v>0.2534960422163589</v>
      </c>
      <c r="I23" s="217" t="n">
        <v>0.2201245714837526</v>
      </c>
      <c r="J23" s="217" t="n">
        <v>0.2075168887395962</v>
      </c>
      <c r="K23" s="232" t="n">
        <v>0.06275141733489963</v>
      </c>
      <c r="L23" s="217" t="n">
        <v>0.05841171591816674</v>
      </c>
      <c r="M23" s="217" t="n">
        <v>0.07226560155479658</v>
      </c>
      <c r="N23" s="217" t="n">
        <v>0.1074706497596747</v>
      </c>
      <c r="O23" s="217" t="n">
        <v>0.1315829826384748</v>
      </c>
      <c r="P23" s="217" t="n">
        <v>0.2415258383304678</v>
      </c>
      <c r="Q23" s="217" t="n">
        <v>0.2781329413239434</v>
      </c>
      <c r="R23" s="217" t="n">
        <v>0.317823431426985</v>
      </c>
      <c r="S23" s="232" t="n">
        <v>0.122647714663144</v>
      </c>
      <c r="T23" s="217" t="n">
        <v>0.1279434485036423</v>
      </c>
      <c r="U23" s="217" t="n">
        <v>0.1300298219856854</v>
      </c>
      <c r="V23" s="217" t="n">
        <v>0.1270231937260137</v>
      </c>
      <c r="W23" s="217" t="n">
        <v>0.1372824808853232</v>
      </c>
      <c r="X23" s="217" t="n">
        <v>0.245643666930166</v>
      </c>
      <c r="Y23" s="217" t="n">
        <v>0.2218392019754279</v>
      </c>
      <c r="Z23" s="217">
        <f>48877/217343</f>
        <v/>
      </c>
    </row>
    <row r="24">
      <c r="B24" s="241" t="inlineStr">
        <is>
          <t>Individual agents</t>
        </is>
      </c>
      <c r="C24" s="232" t="n">
        <v>0.1536618889173279</v>
      </c>
      <c r="D24" s="217" t="n">
        <v>0.1608774110492087</v>
      </c>
      <c r="E24" s="217" t="n">
        <v>0.1624001025362647</v>
      </c>
      <c r="F24" s="217" t="n">
        <v>0.1523199664077262</v>
      </c>
      <c r="G24" s="217" t="n">
        <v>0.1517807845676698</v>
      </c>
      <c r="H24" s="217" t="n">
        <v>0.1883602001111729</v>
      </c>
      <c r="I24" s="217" t="n">
        <v>0.1985009394046617</v>
      </c>
      <c r="J24" s="217" t="n">
        <v>0.1773811627496024</v>
      </c>
      <c r="K24" s="232" t="n">
        <v>0.1651690119649626</v>
      </c>
      <c r="L24" s="217" t="n">
        <v>0.1617411307206804</v>
      </c>
      <c r="M24" s="217" t="n">
        <v>0.1622380699614657</v>
      </c>
      <c r="N24" s="217" t="n">
        <v>0.160723321205696</v>
      </c>
      <c r="O24" s="217" t="n">
        <v>0.1573360213793427</v>
      </c>
      <c r="P24" s="217" t="n">
        <v>0.1549594695360044</v>
      </c>
      <c r="Q24" s="217" t="n">
        <v>0.1602540471957741</v>
      </c>
      <c r="R24" s="217" t="n">
        <v>0.164698453984724</v>
      </c>
      <c r="S24" s="232" t="n">
        <v>0.1819602813342062</v>
      </c>
      <c r="T24" s="217" t="n">
        <v>0.1765154585176915</v>
      </c>
      <c r="U24" s="217" t="n">
        <v>0.1769156633452162</v>
      </c>
      <c r="V24" s="217" t="n">
        <v>0.1502786386935273</v>
      </c>
      <c r="W24" s="217" t="n">
        <v>0.1673176633252679</v>
      </c>
      <c r="X24" s="217" t="n">
        <v>0.1861500062790406</v>
      </c>
      <c r="Y24" s="217" t="n">
        <v>0.1762684766214178</v>
      </c>
      <c r="Z24" s="217" t="n">
        <v>0.1649</v>
      </c>
    </row>
    <row r="25" hidden="1">
      <c r="B25" s="241" t="inlineStr">
        <is>
          <t>Corporate Agents -Others</t>
        </is>
      </c>
      <c r="C25" s="232" t="n">
        <v>0</v>
      </c>
      <c r="D25" s="217" t="n">
        <v>0</v>
      </c>
      <c r="E25" s="217" t="n">
        <v>0</v>
      </c>
      <c r="F25" s="217" t="n">
        <v>0.1491652552625212</v>
      </c>
      <c r="G25" s="217" t="n">
        <v>0.1251441582635952</v>
      </c>
      <c r="H25" s="217" t="n">
        <v>0.3824708624708625</v>
      </c>
      <c r="I25" s="217" t="n">
        <v>0.4926150144938968</v>
      </c>
      <c r="J25" s="217" t="n"/>
      <c r="K25" s="232" t="n">
        <v>0</v>
      </c>
      <c r="L25" s="217" t="n">
        <v>0</v>
      </c>
      <c r="M25" s="217" t="n">
        <v>0</v>
      </c>
      <c r="N25" s="217" t="n">
        <v>0.04191077061739523</v>
      </c>
      <c r="O25" s="217" t="n">
        <v>0.1363344051446945</v>
      </c>
      <c r="P25" s="217" t="n">
        <v>0.224400871459695</v>
      </c>
      <c r="Q25" s="217" t="n">
        <v>0.2150192554557124</v>
      </c>
      <c r="R25" s="217" t="n"/>
      <c r="S25" s="232" t="n">
        <v>0</v>
      </c>
      <c r="T25" s="217" t="n">
        <v>0</v>
      </c>
      <c r="U25" s="217" t="n">
        <v>0</v>
      </c>
      <c r="V25" s="217" t="n">
        <v>0.1428450322143099</v>
      </c>
      <c r="W25" s="217" t="n">
        <v>0.1334560515416475</v>
      </c>
      <c r="X25" s="217" t="n">
        <v>0.5299549222044496</v>
      </c>
      <c r="Y25" s="217" t="n">
        <v>0.5592738064065637</v>
      </c>
      <c r="Z25" s="217" t="n"/>
    </row>
    <row r="26">
      <c r="B26" s="241" t="inlineStr">
        <is>
          <t>Direct Business</t>
        </is>
      </c>
      <c r="C26" s="232" t="n">
        <v>0</v>
      </c>
      <c r="D26" s="217" t="n">
        <v>0</v>
      </c>
      <c r="E26" s="217" t="n">
        <v>0</v>
      </c>
      <c r="F26" s="217" t="n">
        <v>0</v>
      </c>
      <c r="G26" s="217" t="n">
        <v>0</v>
      </c>
      <c r="H26" s="217" t="n">
        <v>0</v>
      </c>
      <c r="I26" s="217" t="n">
        <v>0</v>
      </c>
      <c r="J26" s="217" t="n">
        <v>0</v>
      </c>
      <c r="K26" s="232" t="n">
        <v>0</v>
      </c>
      <c r="L26" s="217" t="n">
        <v>0</v>
      </c>
      <c r="M26" s="217" t="n">
        <v>0</v>
      </c>
      <c r="N26" s="217" t="n">
        <v>0</v>
      </c>
      <c r="O26" s="217" t="n">
        <v>0</v>
      </c>
      <c r="P26" s="217" t="n">
        <v>0</v>
      </c>
      <c r="Q26" s="217" t="n">
        <v>0</v>
      </c>
      <c r="R26" s="217" t="n">
        <v>0</v>
      </c>
      <c r="S26" s="232" t="n">
        <v>0</v>
      </c>
      <c r="T26" s="217" t="n">
        <v>0</v>
      </c>
      <c r="U26" s="217" t="n">
        <v>0</v>
      </c>
      <c r="V26" s="217" t="n">
        <v>0</v>
      </c>
      <c r="W26" s="217" t="n">
        <v>0</v>
      </c>
      <c r="X26" s="217" t="n">
        <v>0</v>
      </c>
      <c r="Y26" s="217" t="n">
        <v>0.04885241138872748</v>
      </c>
      <c r="Z26" s="217" t="n">
        <v>0</v>
      </c>
    </row>
    <row r="27">
      <c r="B27" s="241" t="inlineStr">
        <is>
          <t>Others</t>
        </is>
      </c>
      <c r="C27" s="232" t="n">
        <v>0</v>
      </c>
      <c r="D27" s="217" t="n">
        <v>-0.01388888888836804</v>
      </c>
      <c r="E27" s="217" t="n">
        <v>-0.02238805969994134</v>
      </c>
      <c r="F27" s="217" t="n">
        <v>0.1393747883986005</v>
      </c>
      <c r="G27" s="217" t="n">
        <v>0.1276135544340297</v>
      </c>
      <c r="H27" s="217" t="n">
        <v>0.2445359518530272</v>
      </c>
      <c r="I27" s="217" t="n">
        <v>0.2729172107599926</v>
      </c>
      <c r="J27" s="217" t="n">
        <v>0.1664788732394366</v>
      </c>
      <c r="K27" s="232" t="n">
        <v>0</v>
      </c>
      <c r="L27" s="217" t="n">
        <v>0.101337110850593</v>
      </c>
      <c r="M27" s="217" t="n">
        <v>0.1326103561068429</v>
      </c>
      <c r="N27" s="217" t="n">
        <v>0.04731336186400434</v>
      </c>
      <c r="O27" s="217" t="n">
        <v>0.1329913180741899</v>
      </c>
      <c r="P27" s="217" t="n">
        <v>0.1706773618538452</v>
      </c>
      <c r="Q27" s="217" t="n">
        <v>1.363707776905059</v>
      </c>
      <c r="R27" s="217" t="n">
        <v>0.3079</v>
      </c>
      <c r="S27" s="232" t="n">
        <v>0</v>
      </c>
      <c r="T27" s="217" t="n">
        <v>-9.773627727099126e-16</v>
      </c>
      <c r="U27" s="217" t="n">
        <v>0</v>
      </c>
      <c r="V27" s="217" t="n">
        <v>0.1646389843956625</v>
      </c>
      <c r="W27" s="217" t="n">
        <v>0.1743892165122156</v>
      </c>
      <c r="X27" s="217" t="n">
        <v>0.1897318670455948</v>
      </c>
      <c r="Y27" s="217" t="n">
        <v>0.1857264128062084</v>
      </c>
      <c r="Z27" s="217" t="n">
        <v>0.17</v>
      </c>
    </row>
    <row r="28" customFormat="1" s="1">
      <c r="B28" s="242" t="inlineStr">
        <is>
          <t>Total</t>
        </is>
      </c>
      <c r="C28" s="233" t="n">
        <v>0.1179084698155246</v>
      </c>
      <c r="D28" s="222" t="n">
        <v>0.123267177606692</v>
      </c>
      <c r="E28" s="222" t="n">
        <v>0.1240380965349371</v>
      </c>
      <c r="F28" s="222" t="n">
        <v>0.119752168172614</v>
      </c>
      <c r="G28" s="222" t="n">
        <v>0.1215974348335269</v>
      </c>
      <c r="H28" s="222" t="n">
        <v>0.2129942203128985</v>
      </c>
      <c r="I28" s="222" t="n">
        <v>0.2320240512375356</v>
      </c>
      <c r="J28" s="222" t="n">
        <v>0.2227592552026287</v>
      </c>
      <c r="K28" s="233" t="n">
        <v>0.1367674574036943</v>
      </c>
      <c r="L28" s="222" t="n">
        <v>0.133610201117823</v>
      </c>
      <c r="M28" s="222" t="n">
        <v>0.1396733470105336</v>
      </c>
      <c r="N28" s="222" t="n">
        <v>0.1408090220500424</v>
      </c>
      <c r="O28" s="222" t="n">
        <v>0.1411089931109665</v>
      </c>
      <c r="P28" s="222" t="n">
        <v>0.1495588831069733</v>
      </c>
      <c r="Q28" s="222" t="n">
        <v>0.159902657127799</v>
      </c>
      <c r="R28" s="222" t="n">
        <v>0.1674</v>
      </c>
      <c r="S28" s="235" t="n">
        <v>0.1138811919206803</v>
      </c>
      <c r="T28" s="222" t="n">
        <v>0.1074325133215292</v>
      </c>
      <c r="U28" s="222" t="n">
        <v>0.1379964840316437</v>
      </c>
      <c r="V28" s="222" t="n">
        <v>0.1262229734778699</v>
      </c>
      <c r="W28" s="222" t="n">
        <v>0.1394276400753084</v>
      </c>
      <c r="X28" s="222" t="n">
        <v>0.1982588579436693</v>
      </c>
      <c r="Y28" s="222" t="n">
        <v>0.2086712950440297</v>
      </c>
      <c r="Z28" s="222" t="n">
        <v>0.2147</v>
      </c>
    </row>
    <row r="29">
      <c r="B29" s="239" t="n"/>
      <c r="C29" s="197" t="n"/>
      <c r="K29" s="197" t="n"/>
      <c r="S29" s="197" t="n"/>
    </row>
    <row r="30">
      <c r="B30" s="241" t="inlineStr">
        <is>
          <t># Individual Agents</t>
        </is>
      </c>
      <c r="C30" s="232" t="n"/>
      <c r="D30" s="217" t="n"/>
      <c r="E30" s="217" t="n"/>
      <c r="F30" s="217" t="n">
        <v>103815</v>
      </c>
      <c r="G30" s="495" t="n">
        <v>145385</v>
      </c>
      <c r="H30" s="495" t="n">
        <v>143074</v>
      </c>
      <c r="I30" s="216" t="n">
        <v>180905</v>
      </c>
      <c r="J30" s="216" t="n">
        <v>224810</v>
      </c>
      <c r="K30" s="230" t="n"/>
      <c r="L30" s="216" t="n"/>
      <c r="M30" s="216" t="n"/>
      <c r="N30" s="216" t="n">
        <v>549501</v>
      </c>
      <c r="O30" s="216" t="n">
        <v>625860</v>
      </c>
      <c r="P30" s="216" t="n">
        <v>700716</v>
      </c>
      <c r="Q30" s="216" t="n">
        <v>775470</v>
      </c>
      <c r="R30" s="216" t="n">
        <v>818649</v>
      </c>
      <c r="S30" s="230" t="n"/>
      <c r="T30" s="216" t="n"/>
      <c r="U30" s="216" t="n"/>
      <c r="V30" s="216" t="n">
        <v>197806</v>
      </c>
      <c r="W30" s="216" t="n">
        <v>239901</v>
      </c>
      <c r="X30" s="216" t="n">
        <v>280314</v>
      </c>
      <c r="Y30" s="216" t="n">
        <v>362078</v>
      </c>
      <c r="Z30" s="216" t="n">
        <v>400370</v>
      </c>
    </row>
    <row r="31">
      <c r="B31" s="241" t="inlineStr">
        <is>
          <t># Active Agents (~36% basis DD findings)</t>
        </is>
      </c>
      <c r="C31" s="232" t="n"/>
      <c r="D31" s="217" t="n"/>
      <c r="E31" s="217" t="n"/>
      <c r="F31" s="217">
        <f>F30*36%</f>
        <v/>
      </c>
      <c r="G31" s="495">
        <f>G30*36%</f>
        <v/>
      </c>
      <c r="H31" s="495">
        <f>H30*36%</f>
        <v/>
      </c>
      <c r="I31" s="216">
        <f>I30*36%</f>
        <v/>
      </c>
      <c r="J31" s="216">
        <f>J30*36%</f>
        <v/>
      </c>
      <c r="K31" s="230" t="n"/>
      <c r="L31" s="216" t="n"/>
      <c r="M31" s="216" t="n"/>
      <c r="N31" s="216">
        <f>N30*36%</f>
        <v/>
      </c>
      <c r="O31" s="216">
        <f>O30*36%</f>
        <v/>
      </c>
      <c r="P31" s="216">
        <f>P30*36%</f>
        <v/>
      </c>
      <c r="Q31" s="216">
        <f>Q30*36%</f>
        <v/>
      </c>
      <c r="R31" s="216">
        <f>R30*36%</f>
        <v/>
      </c>
      <c r="S31" s="230" t="n"/>
      <c r="T31" s="216" t="n"/>
      <c r="U31" s="216" t="n"/>
      <c r="V31" s="216">
        <f>V30*36%</f>
        <v/>
      </c>
      <c r="W31" s="216">
        <f>W30*36%</f>
        <v/>
      </c>
      <c r="X31" s="216">
        <f>X30*36%</f>
        <v/>
      </c>
      <c r="Y31" s="216">
        <f>Y30*36%</f>
        <v/>
      </c>
      <c r="Z31" s="216">
        <f>Z30*36%</f>
        <v/>
      </c>
    </row>
    <row r="32">
      <c r="B32" s="241" t="inlineStr">
        <is>
          <t>Individual Agents GWP (INR cr)</t>
        </is>
      </c>
      <c r="C32" s="232" t="n">
        <v>390.7</v>
      </c>
      <c r="D32" s="217" t="n">
        <v>450.53</v>
      </c>
      <c r="E32" s="217" t="n">
        <v>663.1799999999999</v>
      </c>
      <c r="F32" s="217" t="n">
        <v>1047.86</v>
      </c>
      <c r="G32" s="495" t="n">
        <v>1467.05</v>
      </c>
      <c r="H32" s="495" t="n">
        <v>1799</v>
      </c>
      <c r="I32" s="216" t="n">
        <v>2006.59</v>
      </c>
      <c r="J32" s="216" t="n">
        <v>1697.7</v>
      </c>
      <c r="K32" s="230" t="n">
        <v>4186.39</v>
      </c>
      <c r="L32" s="216" t="n">
        <v>5225.34</v>
      </c>
      <c r="M32" s="216" t="n">
        <v>7403.79</v>
      </c>
      <c r="N32" s="216" t="n">
        <v>9130.66</v>
      </c>
      <c r="O32" s="216" t="n">
        <v>10664.5</v>
      </c>
      <c r="P32" s="216" t="n">
        <v>12472.1</v>
      </c>
      <c r="Q32" s="216" t="n">
        <v>13753.35</v>
      </c>
      <c r="R32" s="216" t="n">
        <v>10611.15</v>
      </c>
      <c r="S32" s="230" t="n">
        <v>525.496</v>
      </c>
      <c r="T32" s="216" t="n">
        <v>725.49</v>
      </c>
      <c r="U32" s="216" t="n">
        <v>1040.71</v>
      </c>
      <c r="V32" s="216" t="n">
        <v>1342.24</v>
      </c>
      <c r="W32" s="216" t="n">
        <v>1735.8</v>
      </c>
      <c r="X32" s="216" t="n">
        <v>2548.16</v>
      </c>
      <c r="Y32" s="216" t="n">
        <v>3315</v>
      </c>
      <c r="Z32" s="216" t="n">
        <v>2790.19</v>
      </c>
    </row>
    <row r="33">
      <c r="B33" s="241" t="inlineStr">
        <is>
          <t>GWP per Individual Agent (INR ,000)</t>
        </is>
      </c>
      <c r="C33" s="232" t="n"/>
      <c r="D33" s="217" t="n"/>
      <c r="E33" s="217" t="n"/>
      <c r="F33" s="217">
        <f>F32*10^4/F30</f>
        <v/>
      </c>
      <c r="G33" s="495">
        <f>G32*10^4/G30</f>
        <v/>
      </c>
      <c r="H33" s="495">
        <f>H32*10^4/H30</f>
        <v/>
      </c>
      <c r="I33" s="216">
        <f>I32*10^4/I30</f>
        <v/>
      </c>
      <c r="J33" s="216">
        <f>J32*10^4/J30</f>
        <v/>
      </c>
      <c r="K33" s="230" t="n"/>
      <c r="L33" s="216" t="n"/>
      <c r="M33" s="216" t="n"/>
      <c r="N33" s="216">
        <f>N32*10^4/N30</f>
        <v/>
      </c>
      <c r="O33" s="216">
        <f>O32*10^4/O30</f>
        <v/>
      </c>
      <c r="P33" s="216">
        <f>P32*10^4/P30</f>
        <v/>
      </c>
      <c r="Q33" s="216">
        <f>Q32*10^4/Q30</f>
        <v/>
      </c>
      <c r="R33" s="216">
        <f>R32*10^4/R30</f>
        <v/>
      </c>
      <c r="S33" s="230" t="n"/>
      <c r="T33" s="216" t="n"/>
      <c r="U33" s="216" t="n"/>
      <c r="V33" s="216">
        <f>V32*10^4/V30</f>
        <v/>
      </c>
      <c r="W33" s="216">
        <f>W32*10^4/W30</f>
        <v/>
      </c>
      <c r="X33" s="216">
        <f>X32*10^4/X30</f>
        <v/>
      </c>
      <c r="Y33" s="216">
        <f>Y32*10^4/Y30</f>
        <v/>
      </c>
      <c r="Z33" s="216">
        <f>Z32*10^4/Z30</f>
        <v/>
      </c>
    </row>
    <row r="34">
      <c r="B34" s="241" t="inlineStr">
        <is>
          <t># of policies (,000)</t>
        </is>
      </c>
      <c r="C34" s="232" t="n">
        <v>194.539</v>
      </c>
      <c r="D34" s="217" t="n">
        <v>670.0240000000001</v>
      </c>
      <c r="E34" s="217" t="n">
        <v>561.345</v>
      </c>
      <c r="F34" s="217" t="n">
        <v>507.54</v>
      </c>
      <c r="G34" s="495" t="n">
        <v>640.761</v>
      </c>
      <c r="H34" s="495" t="n">
        <v>718.593</v>
      </c>
      <c r="I34" s="216" t="n">
        <v>863.684</v>
      </c>
      <c r="J34" s="216" t="n">
        <v>725.9640000000001</v>
      </c>
      <c r="K34" s="230" t="n">
        <v>3570.417</v>
      </c>
      <c r="L34" s="216" t="n">
        <v>4232.272</v>
      </c>
      <c r="M34" s="216" t="n">
        <v>5915.118</v>
      </c>
      <c r="N34" s="216" t="n">
        <v>6481.455</v>
      </c>
      <c r="O34" s="216" t="n">
        <v>7064.81</v>
      </c>
      <c r="P34" s="216" t="n">
        <v>7348.107</v>
      </c>
      <c r="Q34" s="216" t="n">
        <v>7765.797</v>
      </c>
      <c r="R34" s="216" t="n">
        <v>5689.328</v>
      </c>
      <c r="S34" s="230" t="n">
        <v>368.44</v>
      </c>
      <c r="T34" s="216" t="n">
        <v>520.093</v>
      </c>
      <c r="U34" s="216" t="n">
        <v>694.861</v>
      </c>
      <c r="V34" s="216" t="n">
        <v>808.0119999999999</v>
      </c>
      <c r="W34" s="216" t="n">
        <v>981.5839999999999</v>
      </c>
      <c r="X34" s="216" t="n">
        <v>1286.113</v>
      </c>
      <c r="Y34" s="216" t="n">
        <v>1660.831</v>
      </c>
      <c r="Z34" s="216" t="n">
        <v>1222</v>
      </c>
    </row>
    <row r="35">
      <c r="B35" s="261" t="inlineStr">
        <is>
          <t>Policies per Active agent</t>
        </is>
      </c>
      <c r="C35" s="262" t="n"/>
      <c r="D35" s="263" t="n"/>
      <c r="E35" s="263" t="n"/>
      <c r="F35" s="263">
        <f>F34*1000/F31</f>
        <v/>
      </c>
      <c r="G35" s="496">
        <f>G34*1000/G31</f>
        <v/>
      </c>
      <c r="H35" s="496">
        <f>H34*1000/H31</f>
        <v/>
      </c>
      <c r="I35" s="265">
        <f>I34*1000/I31</f>
        <v/>
      </c>
      <c r="J35" s="265">
        <f>J34*1000/J31</f>
        <v/>
      </c>
      <c r="K35" s="264" t="n"/>
      <c r="L35" s="265" t="n"/>
      <c r="M35" s="265" t="n"/>
      <c r="N35" s="265">
        <f>N34*1000/N31</f>
        <v/>
      </c>
      <c r="O35" s="265">
        <f>O34*1000/O31</f>
        <v/>
      </c>
      <c r="P35" s="265">
        <f>P34*1000/P31</f>
        <v/>
      </c>
      <c r="Q35" s="265">
        <f>Q34*1000/Q31</f>
        <v/>
      </c>
      <c r="R35" s="265">
        <f>R34*1000/R31</f>
        <v/>
      </c>
      <c r="S35" s="264" t="n"/>
      <c r="T35" s="265" t="n"/>
      <c r="U35" s="265" t="n"/>
      <c r="V35" s="265">
        <f>V34*1000/V31</f>
        <v/>
      </c>
      <c r="W35" s="265">
        <f>W34*1000/W31</f>
        <v/>
      </c>
      <c r="X35" s="265">
        <f>X34*1000/X31</f>
        <v/>
      </c>
      <c r="Y35" s="265">
        <f>Y34*1000/Y31</f>
        <v/>
      </c>
      <c r="Z35" s="265">
        <f>Z34*1000/Z31</f>
        <v/>
      </c>
    </row>
    <row r="36">
      <c r="C36" s="253" t="n"/>
      <c r="D36" s="253" t="n"/>
      <c r="E36" s="253" t="n"/>
      <c r="F36" s="254" t="n"/>
      <c r="G36" s="254" t="n"/>
      <c r="H36" s="254" t="n"/>
      <c r="I36" s="256" t="n"/>
      <c r="J36" s="256" t="n"/>
      <c r="K36" s="256" t="n"/>
      <c r="L36" s="256" t="n"/>
      <c r="M36" s="256" t="n"/>
      <c r="N36" s="256" t="n"/>
      <c r="O36" s="256" t="n"/>
      <c r="P36" s="256" t="n"/>
      <c r="Q36" s="256" t="n"/>
      <c r="R36" s="256" t="n"/>
      <c r="S36" s="256" t="n"/>
      <c r="T36" s="256" t="n"/>
      <c r="U36" s="256" t="n"/>
      <c r="V36" s="256" t="n"/>
      <c r="W36" s="256" t="n"/>
      <c r="X36" s="256" t="n"/>
      <c r="Y36" s="256" t="n"/>
      <c r="Z36" s="256" t="n"/>
    </row>
    <row r="38">
      <c r="B38" s="255" t="inlineStr">
        <is>
          <t>Key Observations &gt;&gt;</t>
        </is>
      </c>
    </row>
    <row r="39">
      <c r="B39" s="221" t="inlineStr">
        <is>
          <t>Niva - Most diversified in sourcing</t>
        </is>
      </c>
    </row>
    <row r="40">
      <c r="B40" s="221" t="inlineStr">
        <is>
          <t>Niva - Highest Direct biz</t>
        </is>
      </c>
    </row>
    <row r="41">
      <c r="B41" s="221" t="inlineStr">
        <is>
          <t>Niva - Highest avg premium as well as commission payouts</t>
        </is>
      </c>
    </row>
    <row r="42">
      <c r="B42" s="221" t="inlineStr">
        <is>
          <t>Agent productivity for Star is the highest</t>
        </is>
      </c>
    </row>
    <row r="43">
      <c r="B43" s="221" t="inlineStr">
        <is>
          <t>Care's individual mix has increased</t>
        </is>
      </c>
    </row>
    <row r="44">
      <c r="B44" s="221" t="inlineStr">
        <is>
          <t>Star's banca has marginally declined to 4% in 9M FY26, continuing to remain at low levels</t>
        </is>
      </c>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B2:G34"/>
  <sheetViews>
    <sheetView showGridLines="0" view="pageBreakPreview" zoomScaleNormal="84" zoomScaleSheetLayoutView="100" workbookViewId="0">
      <pane xSplit="5" ySplit="3" topLeftCell="F4" activePane="bottomRight" state="frozen"/>
      <selection activeCell="I17" sqref="I17"/>
      <selection pane="topRight" activeCell="I17" sqref="I17"/>
      <selection pane="bottomLeft" activeCell="I17" sqref="I17"/>
      <selection pane="bottomRight" activeCell="F4" sqref="F4"/>
    </sheetView>
  </sheetViews>
  <sheetFormatPr baseColWidth="8" defaultRowHeight="14.5" outlineLevelRow="1"/>
  <cols>
    <col width="1.7265625" customWidth="1" min="1" max="1"/>
    <col width="6.26953125" bestFit="1" customWidth="1" min="2" max="2"/>
    <col width="13.54296875" customWidth="1" min="3" max="3"/>
    <col width="12" customWidth="1" min="4" max="4"/>
    <col width="28.1796875" customWidth="1" style="2" min="5" max="5"/>
    <col width="84.54296875" customWidth="1" style="2" min="6" max="6"/>
    <col width="100.7265625" customWidth="1" style="2" min="7" max="7"/>
  </cols>
  <sheetData>
    <row r="2">
      <c r="B2" s="4" t="inlineStr">
        <is>
          <t>Key updates in the insurance sector</t>
        </is>
      </c>
    </row>
    <row r="3">
      <c r="B3" s="187" t="inlineStr">
        <is>
          <t>S.No.</t>
        </is>
      </c>
      <c r="C3" s="187" t="inlineStr">
        <is>
          <t>Category</t>
        </is>
      </c>
      <c r="D3" s="187" t="inlineStr">
        <is>
          <t>Date</t>
        </is>
      </c>
      <c r="E3" s="188" t="inlineStr">
        <is>
          <t>Subject</t>
        </is>
      </c>
      <c r="F3" s="188" t="inlineStr">
        <is>
          <t>Summary</t>
        </is>
      </c>
      <c r="G3" s="188" t="inlineStr">
        <is>
          <t>Reference</t>
        </is>
      </c>
    </row>
    <row r="4" ht="29" customHeight="1">
      <c r="B4" s="317" t="n">
        <v>1</v>
      </c>
      <c r="C4" s="317" t="inlineStr">
        <is>
          <t>GST</t>
        </is>
      </c>
      <c r="D4" s="318" t="n">
        <v>45870</v>
      </c>
      <c r="E4" s="319" t="inlineStr">
        <is>
          <t>GST rationalisation proposed</t>
        </is>
      </c>
      <c r="F4" s="319" t="inlineStr">
        <is>
          <t>GST exemption / reduction in GST rate to 5% from the current 18% for insurance is being contemplated; GST council meeting is scheduled on 3/4th Sept in New Delhi to consider this</t>
        </is>
      </c>
      <c r="G4" s="320" t="inlineStr">
        <is>
          <t>https://www.moneycontrol.com/news/opinion/full-gst-exemption-on-life-and-health-insurance-policies-will-be-a-mixed-blessing-13495606.html</t>
        </is>
      </c>
    </row>
    <row r="5" ht="43.5" customHeight="1">
      <c r="B5" s="189">
        <f>B4+1</f>
        <v/>
      </c>
      <c r="C5" s="189" t="inlineStr">
        <is>
          <t>General</t>
        </is>
      </c>
      <c r="D5" s="190" t="n">
        <v>45817</v>
      </c>
      <c r="E5" s="191" t="inlineStr">
        <is>
          <t>Bupa weighs foray into private hospitals market in India</t>
        </is>
      </c>
      <c r="F5" s="191" t="inlineStr">
        <is>
          <t>Recognzing inidia's under-penetrated insurance market and significant growth potential, Bupa intends to replicate its 'Payvider' model in India, integrating insurance with healthcare provision, though no commitments on the dates yet, feels it is too soon to talk about this right now.</t>
        </is>
      </c>
      <c r="G5" s="192" t="inlineStr">
        <is>
          <t>https://timesofindia.indiatimes.com/business/india-business/bupa-weighs-foray-into-private-hospitals-market-in-india/articleshow/121713883.cms</t>
        </is>
      </c>
    </row>
    <row r="6" ht="72.5" customHeight="1">
      <c r="B6" s="189">
        <f>B5+1</f>
        <v/>
      </c>
      <c r="C6" s="193" t="inlineStr">
        <is>
          <t>Competition / Peers</t>
        </is>
      </c>
      <c r="D6" s="190" t="n">
        <v>45798</v>
      </c>
      <c r="E6" s="191" t="inlineStr">
        <is>
          <t>Star Health to focus on retail in bid to grow premiums</t>
        </is>
      </c>
      <c r="F6" s="191" t="inlineStr">
        <is>
          <t>Star Health Insurance aims for substantial premium growth, targeting ₹30,000 crore in three years while improving profitability by lowering the combined ratio to 97%. The company is prioritizing its retail business and limiting group insurance exposure, focusing on SMEs. To manage medical inflation, Star Health is negotiating with hospitals and implementing premium adjustments, rewarding healthy policyholders with discounts.</t>
        </is>
      </c>
      <c r="G6" s="192" t="inlineStr">
        <is>
          <t>https://economictimes.indiatimes.com/industry/banking/finance/insure/star-health-to-focus-on-retail-in-bid-to-grow-premiums/articleshow/121299740.cms</t>
        </is>
      </c>
    </row>
    <row r="7" ht="58" customHeight="1">
      <c r="B7" s="189">
        <f>B6+1</f>
        <v/>
      </c>
      <c r="C7" s="193" t="inlineStr">
        <is>
          <t>Competition / Peers</t>
        </is>
      </c>
      <c r="D7" s="190" t="n">
        <v>45790</v>
      </c>
      <c r="E7" s="191" t="inlineStr">
        <is>
          <t>Star Health Announces New Board Appointments</t>
        </is>
      </c>
      <c r="F7" s="191" t="inlineStr">
        <is>
          <t>Star announced key appointments and leadership updates - 1. Mr. Amitabh Jain, Chief Operating Officer has now been elevated as Whole-time Director and designated as a KMP, 2. Mr. Himanshu Walia, Chief Marketing Officer has also now been elevated as Whole-time Director and designated as a Key Managerial Personnel.</t>
        </is>
      </c>
      <c r="G7" s="192" t="inlineStr">
        <is>
          <t>https://www.business-standard.com/content/press-releases-ani/star-health-announces-new-board-appointments-125051300623_1.html</t>
        </is>
      </c>
    </row>
    <row r="8" ht="43.5" customHeight="1">
      <c r="B8" s="189">
        <f>B7+1</f>
        <v/>
      </c>
      <c r="C8" s="193" t="inlineStr">
        <is>
          <t>Competition / Peers</t>
        </is>
      </c>
      <c r="D8" s="190" t="n">
        <v>45782</v>
      </c>
      <c r="E8" s="191" t="inlineStr">
        <is>
          <t>Star Health appoints Rajeev Kher as Chairperson of the Board</t>
        </is>
      </c>
      <c r="F8" s="191" t="inlineStr">
        <is>
          <t>Rajeev Kher - A former Commerce Secretary to the Govt of India and a senior officer of the IAS</t>
        </is>
      </c>
      <c r="G8" s="192" t="inlineStr">
        <is>
          <t>https://www.exchange4media.com/people-movement-news/star-health-appoints-rajeev-kher-as-chairperson-of-the-board-143156.html</t>
        </is>
      </c>
    </row>
    <row r="9" ht="43.5" customHeight="1">
      <c r="B9" s="189">
        <f>B8+1</f>
        <v/>
      </c>
      <c r="C9" s="189" t="inlineStr">
        <is>
          <t>General</t>
        </is>
      </c>
      <c r="D9" s="190" t="n">
        <v>45709</v>
      </c>
      <c r="E9" s="191" t="inlineStr">
        <is>
          <t>Insurers look to hike health premiums as pollution stings</t>
        </is>
      </c>
      <c r="F9" s="191" t="inlineStr">
        <is>
          <t>Insurers are considering making New Delhi residents pay 10% to 15% more for new health policies after an extraordinary spike in claims related to air pollution in 2024 in India's capital, according to nine insurance executives, including Amitabh Jain (COO, Star Health).</t>
        </is>
      </c>
      <c r="G9" s="192" t="inlineStr">
        <is>
          <t>https://www.reuters.com/world/india/india-insurers-look-hike-health-premiums-pollution-stings-2025-02-21/</t>
        </is>
      </c>
    </row>
    <row r="10" outlineLevel="1" ht="203" customHeight="1">
      <c r="B10" s="189">
        <f>B9+1</f>
        <v/>
      </c>
      <c r="C10" s="189" t="inlineStr">
        <is>
          <t>Regulatory</t>
        </is>
      </c>
      <c r="D10" s="190" t="n">
        <v>45627</v>
      </c>
      <c r="E10" s="191" t="inlineStr">
        <is>
          <t>Insurance Amendment Bill likely in monsoon session</t>
        </is>
      </c>
      <c r="F10" s="191" t="inlineStr">
        <is>
          <t>Drafted late 2024; expected introduction next Monsoon Session (July 2025)
1. 100% FDI permitted (up from 74%), under automatic route—conditional on full reinvestment of premiums in India
2. Composite licenses enable insurers to offer life, health, general, and reinsurance under one entity
3. Differential capital norms: IRDAI may set lower capital thresholds
4. Reduced paid-up/net-owned fund requirements
5. Insurance agents can now represent multiple insurers across categories—breaking the single-insurer exclusivity
6. Permanent intermediary registrations, executive power enhancements, and larger share transfer limits (1→5%)
7. Expanded permissible activities for insurers: property management, employee trusts, indemnity guarantees, and mergers with non-insurers</t>
        </is>
      </c>
      <c r="G10" s="192" t="inlineStr">
        <is>
          <t>https://www.moneycontrol.com/banking/insurance-amendment-bill-likely-in-monsoon-session-composite-licenses-and-nod-for-100-fdi-on-cards-article-13035037.html</t>
        </is>
      </c>
    </row>
    <row r="11" outlineLevel="1" ht="43.5" customHeight="1">
      <c r="B11" s="189">
        <f>B10+1</f>
        <v/>
      </c>
      <c r="C11" s="189" t="inlineStr">
        <is>
          <t>General</t>
        </is>
      </c>
      <c r="D11" s="190" t="n">
        <v>45624</v>
      </c>
      <c r="E11" s="191" t="inlineStr">
        <is>
          <t>IRDAI approved Bima Sugam (electronic insurance marketplace)</t>
        </is>
      </c>
      <c r="F11" s="191" t="inlineStr">
        <is>
          <t>This platform will help the customers in identifying the best possible insurance policy by comparing it with other insurance companies. The platform will act as a one stop solution for all entities in the insurance value chain, including customers, insurers, intermediaries and agents.</t>
        </is>
      </c>
      <c r="G11" s="192" t="inlineStr">
        <is>
          <t>https://www.business-standard.com/finance/insurance/bima-sugam-is-a-game-changer-says-irdai-chairman-debasish-panda-124112601236_1.html</t>
        </is>
      </c>
    </row>
    <row r="12" outlineLevel="1" ht="72.5" customHeight="1">
      <c r="B12" s="189">
        <f>B11+1</f>
        <v/>
      </c>
      <c r="C12" s="189" t="inlineStr">
        <is>
          <t>Regulatory</t>
        </is>
      </c>
      <c r="D12" s="190" t="n">
        <v>45623</v>
      </c>
      <c r="E12" s="191" t="inlineStr">
        <is>
          <t>Propsoed insurance amendment may open doors to 100% FDI, waives min capital requirement and hints on composite implementation</t>
        </is>
      </c>
      <c r="F12" s="191" t="inlineStr">
        <is>
          <t>Proposed clauses
1. The bill proposes 100% foreign investment in the insurance sector (from current 74%)
2. Waiver of 100cr paid up capital for starting insurance business requirements for insurance companies
3. Composite license implementation</t>
        </is>
      </c>
      <c r="G12" s="192" t="inlineStr">
        <is>
          <t>https://economictimes.indiatimes.com/?back=1</t>
        </is>
      </c>
    </row>
    <row r="13" outlineLevel="1" ht="72.5" customHeight="1">
      <c r="B13" s="189">
        <f>B12+1</f>
        <v/>
      </c>
      <c r="C13" s="189" t="inlineStr">
        <is>
          <t>Regulatory</t>
        </is>
      </c>
      <c r="D13" s="190" t="n">
        <v>45621</v>
      </c>
      <c r="E13" s="194" t="inlineStr">
        <is>
          <t>GoM report on GST on health insurance to be placed before Council when received: Finance Ministry (Discussion on GST rate cut)</t>
        </is>
      </c>
      <c r="F13" s="191" t="inlineStr">
        <is>
          <t>Recommendations of the Group of Ministers (GoM), which is examining issues related to GST on life and health insurance, will be presented to the GST Council once received. The matter of exempting or reducing GST on life and health insurance was discussed at the GST Council's 54th meeting on September 9, 2024</t>
        </is>
      </c>
      <c r="G13" s="192" t="inlineStr">
        <is>
          <t>https://economictimes.indiatimes.com/industry/banking/finance/insure/gom-report-on-gst-on-health-insurance-to-be-placed-before-council-when-received-finance-ministry/articleshow/115657199.cms</t>
        </is>
      </c>
    </row>
    <row r="14" outlineLevel="1" ht="58" customHeight="1">
      <c r="B14" s="189">
        <f>B13+1</f>
        <v/>
      </c>
      <c r="C14" s="193" t="inlineStr">
        <is>
          <t>Competition / Peers</t>
        </is>
      </c>
      <c r="D14" s="190" t="n">
        <v>45618</v>
      </c>
      <c r="E14" s="194" t="inlineStr">
        <is>
          <t>Central Bank of India gets RBI nod to enter insurance biz through JV with Generali group (buying stake of Future Group)</t>
        </is>
      </c>
      <c r="F14" s="191" t="inlineStr">
        <is>
          <t>Central Bank of India received approval from the Reserve Bank of India to enter the insurance business. The bank will form a joint venture with Generali Group under FGIICL and FGILICL, offering a range of insurance products. This follows approvals from the Competition Commission of India and IRDAI</t>
        </is>
      </c>
      <c r="G14" s="192" t="inlineStr">
        <is>
          <t>https://economictimes.indiatimes.com/industry/banking/finance/insure/central-bank-of-india-gets-rbi-nod-to-enter-insurance-biz-through-jv-with-generali-group/articleshow/115566258.cms</t>
        </is>
      </c>
    </row>
    <row r="15" outlineLevel="1" ht="58" customHeight="1">
      <c r="B15" s="189">
        <f>B14+1</f>
        <v/>
      </c>
      <c r="C15" s="193" t="inlineStr">
        <is>
          <t>Competition / Peers</t>
        </is>
      </c>
      <c r="D15" s="190" t="n">
        <v>45613</v>
      </c>
      <c r="E15" s="194" t="inlineStr">
        <is>
          <t>WestBridge to float a general insurance JV with Neelesh Garg</t>
        </is>
      </c>
      <c r="F15" s="191" t="inlineStr">
        <is>
          <t>WestBridge Capital and Tata AIG's outgoing CEO, Neelesh Garg, are teaming up to launch a new AI-driven general insurance venture. The venture will focus on health and motor insurance; WestBridge will hold a majority stake, with Garg owning 10%; The new entity is expected to launch by mid-2025, pending regulatory approvals</t>
        </is>
      </c>
      <c r="G15" s="192" t="inlineStr">
        <is>
          <t>https://economictimes.indiatimes.com/industry/banking/finance/insure/westbridge-to-float-a-general-insurance-jv-with-neelesh-garg/articleshow/115378875.cms?utm_source=contentofinterest&amp;utm_medium=text&amp;utm_campaign=cppst</t>
        </is>
      </c>
    </row>
    <row r="16" outlineLevel="1" ht="43.5" customHeight="1">
      <c r="B16" s="189">
        <f>B15+1</f>
        <v/>
      </c>
      <c r="C16" s="193" t="inlineStr">
        <is>
          <t>Competition / Peers</t>
        </is>
      </c>
      <c r="D16" s="190" t="n">
        <v>45588</v>
      </c>
      <c r="E16" s="194" t="inlineStr">
        <is>
          <t>Jio Financial in talks with Allianz for insurance JVs in India post plans to exit Bajaj</t>
        </is>
      </c>
      <c r="F16" s="191" t="inlineStr">
        <is>
          <t>Jio Financial Services Ltd is in early talks with Allianz SE to form insurance companies in India. Allianz seeks to exit existing ventures with Bajaj Finserv due to a directional dispute, but remains committed to the Indian market</t>
        </is>
      </c>
      <c r="G16" s="192" t="inlineStr">
        <is>
          <t>https://economictimes.indiatimes.com/industry/banking/finance/insure/mukesh-ambanis-jio-fin-in-talks-with-allianz-for-insurance-jvs-in-india-post-plans-to-exit-bajaj/articleshow/114489668.cms</t>
        </is>
      </c>
    </row>
    <row r="17" outlineLevel="1" ht="58" customHeight="1">
      <c r="B17" s="189">
        <f>B16+1</f>
        <v/>
      </c>
      <c r="C17" s="193" t="inlineStr">
        <is>
          <t>Competition / Peers</t>
        </is>
      </c>
      <c r="D17" s="190" t="n">
        <v>45588</v>
      </c>
      <c r="E17" s="194" t="inlineStr">
        <is>
          <t>There's scope for more insurance companies in India, says IRDAI chairperson</t>
        </is>
      </c>
      <c r="F17" s="191" t="inlineStr">
        <is>
          <t>Speaking at an industry event organised by the CII, IRDAI chairperson Debasish Panda said the 1.4 billion population base offers massive growth opportunities. "There is scope for more than 70 insurance companies to cater to 1.4 billion people. I encourage more conglomerates to enter the insurance sector. It is an exciting time for the industry," said Panda</t>
        </is>
      </c>
      <c r="G17" s="192" t="inlineStr">
        <is>
          <t>https://economictimes.indiatimes.com/industry/banking/finance/insure/theres-scope-for-more-insurance-companies-in-india-says-irdai-chairperson/articleshow/114477566.cms?utm_source=contentofinterest&amp;utm_medium=text&amp;utm_campaign=cppst</t>
        </is>
      </c>
    </row>
    <row r="18" outlineLevel="1" ht="58" customHeight="1">
      <c r="B18" s="189">
        <f>B17+1</f>
        <v/>
      </c>
      <c r="C18" s="189" t="inlineStr">
        <is>
          <t>Profitability</t>
        </is>
      </c>
      <c r="D18" s="190" t="n">
        <v>45578</v>
      </c>
      <c r="E18" s="194" t="inlineStr">
        <is>
          <t>Patients, insurers feel the pain as hospitals take to 'surge pricing'</t>
        </is>
      </c>
      <c r="F18" s="191" t="inlineStr">
        <is>
          <t>Hospitals in India introduce additional charges, such as disinfection fees and peak operation theatre charges, leading to a 20% rise in medical costs. Insurers struggle as previously bundled services are unbundled, causing unpredictability in healthcare expenses and potential increases in insurance premiums</t>
        </is>
      </c>
      <c r="G18" s="192" t="inlineStr">
        <is>
          <t>https://economictimes.indiatimes.com/industry/banking/finance/insure/patients-insurers-feel-the-pain-as-hospitals-take-to-surge-pricing/articleshow/114195592.cms</t>
        </is>
      </c>
    </row>
    <row r="19" outlineLevel="1" ht="58" customHeight="1">
      <c r="B19" s="189">
        <f>B18+1</f>
        <v/>
      </c>
      <c r="C19" s="189" t="inlineStr">
        <is>
          <t>Regulatory</t>
        </is>
      </c>
      <c r="D19" s="190" t="n">
        <v>45576</v>
      </c>
      <c r="E19" s="194" t="inlineStr">
        <is>
          <t>IRDAI to increase scrutiny of cyber security breaches after Star Health episode</t>
        </is>
      </c>
      <c r="F19" s="191" t="inlineStr">
        <is>
          <t>IRDAI is intensifying scrutiny of cybersecurity lapses in the insurance sector following a major data breach at Star Health Insurance. Over 31 million customers' data was compromised. The regulator has mandated an extensive audit of Star Health's cybersecurity framework. The audit aims to identify control gaps and recommend measures to prevent future breaches</t>
        </is>
      </c>
      <c r="G19" s="192" t="inlineStr">
        <is>
          <t>https://economictimes.indiatimes.com/industry/banking/finance/insure/irdai-to-increase-scrutiny-of-cyber-security-breaches-after-star-health-episode/articleshow/114129398.cms</t>
        </is>
      </c>
    </row>
    <row r="20" outlineLevel="1" ht="43.5" customHeight="1">
      <c r="B20" s="189">
        <f>B19+1</f>
        <v/>
      </c>
      <c r="C20" s="189" t="inlineStr">
        <is>
          <t>Regulatory</t>
        </is>
      </c>
      <c r="D20" s="190" t="n">
        <v>45541</v>
      </c>
      <c r="E20" s="194" t="inlineStr">
        <is>
          <t>IRDAI prohibits insurers from collecting premium before policy approval</t>
        </is>
      </c>
      <c r="F20" s="191" t="inlineStr">
        <is>
          <t>IRDAI has introduced new rules for life and health insurance premiums. Insurers can no longer collect initial premiums with the proposal form unless the policy is issued immediately. This change aims to prevent idle customer money and ensure transparency in the insurance process</t>
        </is>
      </c>
      <c r="G20" s="192" t="inlineStr">
        <is>
          <t>https://economictimes.indiatimes.com/industry/banking/finance/insure/irdai-prohibits-insurers-from-collecting-premium-before-policy-approval/articleshow/113104639.cms?from=mdr</t>
        </is>
      </c>
    </row>
    <row r="21" outlineLevel="1" ht="58" customHeight="1">
      <c r="B21" s="189">
        <f>B20+1</f>
        <v/>
      </c>
      <c r="C21" s="193" t="inlineStr">
        <is>
          <t>Competition / Peers</t>
        </is>
      </c>
      <c r="D21" s="190" t="n">
        <v>45526</v>
      </c>
      <c r="E21" s="194" t="inlineStr">
        <is>
          <t>ICICI Lombard focuses on retail with innovative health products</t>
        </is>
      </c>
      <c r="F21" s="191" t="inlineStr">
        <is>
          <t>ICICI Lombard General Insurance is aiming to expand its retail health insurance share through product innovation. The Elevate Health policy, featuring industry-first options and AI-driven advice, is expected to drive sales. The company sees rising awareness and increased policy coverage as key factors for growth, projecting significant market expansion by FY31</t>
        </is>
      </c>
      <c r="G21" s="192" t="inlineStr">
        <is>
          <t>https://economictimes.indiatimes.com/industry/banking/finance/insure/icici-lombard-focuses-on-retail-with-innovative-health-products/articleshow/112717989.cms</t>
        </is>
      </c>
    </row>
    <row r="22" outlineLevel="1" ht="101.5" customHeight="1">
      <c r="B22" s="189">
        <f>B21+1</f>
        <v/>
      </c>
      <c r="C22" s="189" t="inlineStr">
        <is>
          <t>Regulatory</t>
        </is>
      </c>
      <c r="D22" s="190" t="n">
        <v>45518</v>
      </c>
      <c r="E22" s="194" t="inlineStr">
        <is>
          <t>Ind AS notified for insurance companies</t>
        </is>
      </c>
      <c r="F22" s="191" t="inlineStr">
        <is>
          <t>The Ministry of Corporate Affairs has introduced new accounting standards for insurance contracts, harmonizing them with global norms. These standards, effective April 1, 2024, are expected to enhance transparency and attract foreign investments in the insurance sector by allowing better risk assessment and comparison with global peers.
The Accounting Standard (Ind AS 117) would be applicable from April 1, 2024, the ministry said in a notification.
IRDAI has not yet notified the applicability of IND AS on Insurance companies; expected from FY26</t>
        </is>
      </c>
      <c r="G22" s="192" t="inlineStr">
        <is>
          <t>https://economictimes.indiatimes.com/industry/banking/finance/insure/new-accounting-standards-for-insurance-notified-raise-investment-chances/articleshow/112532282.cms</t>
        </is>
      </c>
    </row>
    <row r="23" outlineLevel="1" ht="58" customHeight="1">
      <c r="B23" s="189">
        <f>B22+1</f>
        <v/>
      </c>
      <c r="C23" s="189" t="inlineStr">
        <is>
          <t>General</t>
        </is>
      </c>
      <c r="D23" s="190" t="n">
        <v>45514</v>
      </c>
      <c r="E23" s="194" t="inlineStr">
        <is>
          <t>Seasonal infections take a toll on health insurance claims</t>
        </is>
      </c>
      <c r="F23" s="191" t="inlineStr">
        <is>
          <t>According to a study by Policybazaar, nearly one-third of health insurance claims were due to seasonal diseases such as dengue, malaria, and gastroenteritis. These diseases led to high treatment costs during monsoon and peak winters. Despite being avoidable through improved hygiene, these illnesses significantly affected healthcare expenses across all social segments.</t>
        </is>
      </c>
      <c r="G23" s="192" t="inlineStr">
        <is>
          <t>https://economictimes.indiatimes.com/industry/banking/finance/insure/seasonal-infections-take-a-toll-on-health-insurance-claims/articleshow/112423622.cms</t>
        </is>
      </c>
    </row>
    <row r="24" outlineLevel="1" ht="43.5" customHeight="1">
      <c r="B24" s="189">
        <f>B23+1</f>
        <v/>
      </c>
      <c r="C24" s="189" t="inlineStr">
        <is>
          <t>Regulatory</t>
        </is>
      </c>
      <c r="D24" s="190" t="n">
        <v>45509</v>
      </c>
      <c r="E24" s="194" t="inlineStr">
        <is>
          <t>Waiting period for pre-existing diseases cut to 3 years from 4 years</t>
        </is>
      </c>
      <c r="F24" s="191" t="inlineStr">
        <is>
          <t>Irdai's guidelines, effective from April 2024, mandate that insurers cannot reject any claim based on the pre-existence of an ailment three years after policy issuance. This regulatory change aims to make health insurance more accessible for policyholders with pre-existing conditions.</t>
        </is>
      </c>
      <c r="G24" s="192" t="inlineStr">
        <is>
          <t>https://economictimes.indiatimes.com/industry/banking/finance/insure/waiting-period-for-pre-existing-diseases-cut-health-insurance-premiums-to-rise/articleshow/112281949.cms</t>
        </is>
      </c>
    </row>
    <row r="25" outlineLevel="1" ht="58" customHeight="1">
      <c r="B25" s="189">
        <f>B24+1</f>
        <v/>
      </c>
      <c r="C25" s="193" t="inlineStr">
        <is>
          <t>Competition / Peers</t>
        </is>
      </c>
      <c r="D25" s="190" t="n">
        <v>45482</v>
      </c>
      <c r="E25" s="195" t="inlineStr">
        <is>
          <t>Narayana Hrudayalaya's 'Aditi' - the latest experiment in Indian healthcare</t>
        </is>
      </c>
      <c r="F25" s="191" t="inlineStr">
        <is>
          <t>Bengaluru-based hospital chain Narayana Hrudayalaya (NHL) has introduced the Aditi insurance scheme, offering a Rs 1 crore cover for surgeries and Rs 5 lakh for medical treatments at NHL hospitals for an annual premium of Rs 10,000 for a family of four. The managed care model aims to provide affordable healthcare with controlled costs</t>
        </is>
      </c>
      <c r="G25" s="192" t="inlineStr">
        <is>
          <t>https://economictimes.indiatimes.com/industry/banking/finance/insure/narayana-hrudayalayas-aditi-the-latest-experiment-in-indian-healthcare/articleshow/111596836.cms?utm_source=contentofinterest&amp;utm_medium=text&amp;utm_campaign=cppst</t>
        </is>
      </c>
    </row>
    <row r="26" outlineLevel="1" ht="43.5" customHeight="1">
      <c r="B26" s="189">
        <f>B25+1</f>
        <v/>
      </c>
      <c r="C26" s="193" t="inlineStr">
        <is>
          <t>Competition / Peers</t>
        </is>
      </c>
      <c r="D26" s="190" t="n">
        <v>45476</v>
      </c>
      <c r="E26" s="194" t="inlineStr">
        <is>
          <t>Star Health launches home healthcare initiative; to cover 50 cities &amp; towns in phase one</t>
        </is>
      </c>
      <c r="F26" s="191" t="inlineStr">
        <is>
          <t>Star Health's groundbreaking Home Health Care Service, led by Anand Roy, in partnership with Care24, Portea, and CallHealth, expands to 50 cities, ensuring affordable and prompt medical assistance</t>
        </is>
      </c>
      <c r="G26" s="192" t="inlineStr">
        <is>
          <t>https://economictimes.indiatimes.com/industry/banking/finance/insure/star-health-launches-home-healthcare-initiative-to-cover-50-cities-towns-in-phase-one/articleshow/111464574.cms</t>
        </is>
      </c>
    </row>
    <row r="27" outlineLevel="1" ht="72.5" customHeight="1">
      <c r="B27" s="189">
        <f>B26+1</f>
        <v/>
      </c>
      <c r="C27" s="193" t="inlineStr">
        <is>
          <t>Competition / Peers</t>
        </is>
      </c>
      <c r="D27" s="190" t="n">
        <v>45461</v>
      </c>
      <c r="E27" s="194" t="inlineStr">
        <is>
          <t>Star Health looking to grow 18%, improve claims ratio by 50 bps: Anand Roy, CEO</t>
        </is>
      </c>
      <c r="F27" s="191" t="inlineStr">
        <is>
          <t xml:space="preserve">Star Health &amp; Allied Insurance expects 18-20% growth in gross written premiums this year, aiming to double premium income in four years. CEO Anand Roy discussed the company's strategies with Shilpy Sinha.
Our target is to increase gross written premium (GWP) to ₹30,000 crore over the next four years.
</t>
        </is>
      </c>
      <c r="G27" s="192" t="inlineStr">
        <is>
          <t>https://economictimes.indiatimes.com/industry/banking/finance/insure/star-health-looking-to-grow-18-improve-claims-ratio-by-50-bps-anand-roy-ceo/articleshow/111066566.cms</t>
        </is>
      </c>
    </row>
    <row r="28" outlineLevel="1" ht="72.5" customHeight="1">
      <c r="B28" s="189">
        <f>B27+1</f>
        <v/>
      </c>
      <c r="C28" s="189" t="inlineStr">
        <is>
          <t>General</t>
        </is>
      </c>
      <c r="D28" s="190" t="n">
        <v>45423</v>
      </c>
      <c r="E28" s="194" t="inlineStr">
        <is>
          <t>Insurers are having a Chillar Party: Maternity insurance sales skyrocket as couples brace for soaring costs</t>
        </is>
      </c>
      <c r="F28" s="191" t="inlineStr">
        <is>
          <t>Rising childbirth costs in India drive a surge in demand for maternity insurance, growing at 80% annually. PolicyBazaar data reveals 78% of policies are bought by men. Insurers see these policies as customer magnets despite expected claims. Factors like urbanization and increased C-sections contribute to the trend. Reliance General Insurance reports a 21.5% increase in C-section deliveries since 2016.</t>
        </is>
      </c>
      <c r="G28" s="192" t="inlineStr">
        <is>
          <t>https://economictimes.indiatimes.com/industry/banking/finance/insure/insurers-are-having-a-chillar-party-maternity-insurance-sales-skyrocket-as-couples-brace-for-soaring-costs/articleshow/110027597.cms</t>
        </is>
      </c>
    </row>
    <row r="29" outlineLevel="1" ht="87" customHeight="1">
      <c r="B29" s="189">
        <f>B28+1</f>
        <v/>
      </c>
      <c r="C29" s="189" t="inlineStr">
        <is>
          <t>General</t>
        </is>
      </c>
      <c r="D29" s="190" t="n">
        <v>45414</v>
      </c>
      <c r="E29" s="194" t="inlineStr">
        <is>
          <t>India needs to expand universal health coverage for rapidly ageing population, maintain growth: ADB report</t>
        </is>
      </c>
      <c r="F29" s="191" t="inlineStr">
        <is>
          <t>A report by the Asian Development Bank (ADB) highlights India's low health insurance coverage for older people, emphasizing the need to expand universal health coverage. While countries like South Korea and Thailand have achieved universal coverage, India lags behind, with only 21% of older people covered. The report acknowledges the positive impact of schemes like Ayushman Bharat but calls for further expansion to improve the well-being of older individuals and enhance their productivity for th ..</t>
        </is>
      </c>
      <c r="G29" s="192" t="inlineStr">
        <is>
          <t>https://economictimes.indiatimes.com/industry/banking/finance/insure/india-needs-to-expand-universal-health-coverage-for-rapidly-ageing-population-maintain-growth-adb-report/articleshow/109781896.cms</t>
        </is>
      </c>
    </row>
    <row r="30" outlineLevel="1" ht="72.5" customHeight="1">
      <c r="B30" s="189">
        <f>B29+1</f>
        <v/>
      </c>
      <c r="C30" s="189" t="inlineStr">
        <is>
          <t>Regulatory</t>
        </is>
      </c>
      <c r="D30" s="190" t="n">
        <v>45403</v>
      </c>
      <c r="E30" s="194" t="inlineStr">
        <is>
          <t>Health insurance for your ageing parents is now possible as IRDAI scraps age limit</t>
        </is>
      </c>
      <c r="F30" s="191" t="inlineStr">
        <is>
          <t>The Insurance Regulatory and Development Authority of India (IRDAI) has eliminated the age limit of 65 years for purchasing health insurance policies, aiming to broaden the market and offer comprehensive coverage. This change, effective from April 1, makes health insurance more inclusive and accessible to individuals of all ages. Insurers are now required to offer policies to all age groups and cover pre-existing medical conditions</t>
        </is>
      </c>
      <c r="G30" s="192" t="inlineStr">
        <is>
          <t>https://economictimes.indiatimes.com/industry/banking/finance/insure/insurance-regulator-irdai-abolishes-age-restriction-on-health-insurance-product/articleshow/109473949.cms</t>
        </is>
      </c>
    </row>
    <row r="31" outlineLevel="1" ht="72.5" customHeight="1">
      <c r="B31" s="189">
        <f>B30+1</f>
        <v/>
      </c>
      <c r="C31" s="193" t="inlineStr">
        <is>
          <t>Competition / Peers</t>
        </is>
      </c>
      <c r="D31" s="190" t="n">
        <v>45374</v>
      </c>
      <c r="E31" s="194" t="inlineStr">
        <is>
          <t>Galaxy Health gets nod to launch health insurance business, IRDAI also okays setting up of insurance e-marketplace</t>
        </is>
      </c>
      <c r="F31" s="191" t="inlineStr">
        <is>
          <t>Galaxy Health and Allied Insurance Company Limited is spearheaded by V Jagannathan, the founder of Star Health and Allied Insurance Company, has emerged as the latest addition to the Indian health insurance market.TVS Capital is also an Investor</t>
        </is>
      </c>
      <c r="G31" s="192" t="inlineStr">
        <is>
          <t>https://economictimes.indiatimes.com/industry/banking/finance/insure/galaxy-health-gets-nod-to-launch-health-insurance-business-irdai-also-okays-setting-up-of-insurance-e-marketplace/articleshow/108722396.cms</t>
        </is>
      </c>
    </row>
    <row r="32" outlineLevel="1" ht="58" customHeight="1">
      <c r="B32" s="189">
        <f>B31+1</f>
        <v/>
      </c>
      <c r="C32" s="193" t="inlineStr">
        <is>
          <t>Competition / Peers</t>
        </is>
      </c>
      <c r="D32" s="190" t="n">
        <v>45276</v>
      </c>
      <c r="E32" s="194" t="inlineStr">
        <is>
          <t>Reliance General Insurance unveils global healthcare policy</t>
        </is>
      </c>
      <c r="F32" s="191" t="inlineStr">
        <is>
          <t>Reliance General Insurance Company Ltd (RGICL) on Saturday said it has launched a new policy to make global healthcare accessible to Indians. The policy, Reliance Health Global, provides comprehensive cover not only within the borders of India but across the world, RGICL said in a statement.</t>
        </is>
      </c>
      <c r="G32" s="192" t="inlineStr">
        <is>
          <t>https://economictimes.indiatimes.com/industry/banking/finance/insure/reliance-general-insurance-unveils-global-healthcare-policy/articleshow/106046572.cms</t>
        </is>
      </c>
    </row>
    <row r="33" outlineLevel="1" ht="58" customHeight="1">
      <c r="B33" s="189">
        <f>B32+1</f>
        <v/>
      </c>
      <c r="C33" s="193" t="inlineStr">
        <is>
          <t>Competition / Peers</t>
        </is>
      </c>
      <c r="D33" s="190" t="n">
        <v>45343</v>
      </c>
      <c r="E33" s="194" t="inlineStr">
        <is>
          <t>ICICI Lombard appoints Priya Deshmukh as head of health products, operations &amp; services</t>
        </is>
      </c>
      <c r="F33" s="191" t="inlineStr">
        <is>
          <t>Priya Deshmukh, a seasoned professional with 27 years of experience, is appointed as head of health products, operations &amp; services at ICICI Lombard General Insurance. Her appointment is expected to drive innovation, enhance customer well-being, and contribute to the growth of the health insurance business</t>
        </is>
      </c>
      <c r="G33" s="192" t="inlineStr">
        <is>
          <t>https://economictimes.indiatimes.com/industry/banking/finance/insure/icici-lombard-appoints-priya-deshmukh-as-head-of-health-products-operations-services/articleshow/107880372.cms</t>
        </is>
      </c>
    </row>
    <row r="34" outlineLevel="1" ht="72.5" customHeight="1">
      <c r="B34" s="189">
        <f>B33+1</f>
        <v/>
      </c>
      <c r="C34" s="189" t="inlineStr">
        <is>
          <t>Regulatory</t>
        </is>
      </c>
      <c r="D34" s="190" t="n">
        <v>45434</v>
      </c>
      <c r="E34" s="191" t="inlineStr">
        <is>
          <t>IRDAI introduces new corporate governance regulations for insurers</t>
        </is>
      </c>
      <c r="F34" s="191" t="inlineStr">
        <is>
          <t>IRDAI has mandated that insurance companies must now seek prior approval for appointing their Board Chairperson. Current Chairpersons must comply with this regulation by March 31, 2026, or by the end of their terms, whichever comes first. IRDAI has introduced new corporate governance rules to prevent conflicts of interest in key management roles and to ensure that no individual holds multiple significant positions.</t>
        </is>
      </c>
      <c r="G34" s="192" t="inlineStr">
        <is>
          <t>https://economictimes.indiatimes.com/industry/banking/finance/insure/irdai-introduces-new-corporate-governance-regulations-for-insurers/articleshow/110340899.cms?from=mdr</t>
        </is>
      </c>
    </row>
  </sheetData>
  <autoFilter ref="B3:G34"/>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s>
  <pageMargins left="0.7086614173228347" right="0.7086614173228347" top="0.7480314960629921" bottom="0.7480314960629921" header="0.3149606299212598" footer="0.3149606299212598"/>
  <pageSetup orientation="landscape" paperSize="9" scale="89" fitToHeight="0"/>
</worksheet>
</file>

<file path=xl/worksheets/sheet11.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4.5"/>
  <sheetData>
    <row r="1">
      <c r="A1" t="n">
        <v>6</v>
      </c>
      <c r="B1" t="inlineStr">
        <is>
          <t>AwABTAVMT0NBTAFI/////wFQHAAAAChDSVEuTlNFSTpJQ0lDSUdJLklRX01BUktFVENBUC4wNS0wNi0yMDI2AQAAAAUMlwACAAAADTg2NDYxMS43MDUwMjIBBgAAAAUAAAABMQEAAAALLTE4ODY4NTk3NzMDAAAAAjcyAgAAAAYxMDAwNTQEAAAAATAHAAAACDYvNC8yMDI2w/DU0BfD3giES5sPHsPeCCVDSVFBVkcuTlNFSTpHT0RJR0lULklRX1BFX0VYQ0wuMjAwMC4uAQAAANFPiiADAAAAAAC2a3/PF8PeCGYN8NAXw94IK0NJUS5OU0VJOlNUQVJIRUFMVEguSVFfTUFSS0VUQ0FQLjA1LTA2LTIwMjYBAAAAPMn6BQIAAAANMzA5NDA4LjYyNDg3NgEGAAAABQAAAAExAQAAAAstMTkwODAxMzE4NQMAAAACNzICAAAABjEwMDA1NAQAAAABMAcAAAAINi80LzIwMjbD8NTQF8PeCIRLmw8ew94IGENJUS5OU0VJOkdPRElHSVQuSVFfVEVWLgEAAADRT4ogAgAAAA0yODA5NjMuMDM3ODY5AQYAAAAFAAAAATEBAAAACy0xODkzMjk5Njk1AwAAAAI3MgIAAAAGMTAwMDYwBAAAAAEwBwAAAAg2LzQvMjAyNrZrf88Xw94IZg3w0BfD3ggvQ0lRQVZHLk5TRUk6R09ESUdJVC5JUV9QRV9FWENMLjIwMDAuLjA1LTA2LTIwMjYBAAAA0U+KIAMAAAAAALZrf88Xw94ISvyIzxfD3ggjQ0lRLk5TRUk6TklWQUJVUEEuSVFfVEVWLjA1LTA2LTIwMjYBAAAA927QAgIAAAANMTUzMDA4LjI1NjkwNAEGAAAABQAAAAExAQAAAAstMTg4Njg1</t>
        </is>
      </c>
      <c r="C1" t="inlineStr">
        <is>
          <t>MTkzNwMAAAACNzICAAAABjEwMDA2MAQAAAABMAcAAAAINi80LzIwMjbD8NTQF8PeCGcjmw8ew94IHkNJUS5OU0VJOkdPRElHSVQuSVFfTUFSS0VUQ0FQLgEAAADRT4ogAgAAAAwyNzk2NTQuNTM3ODcBBgAAAAUAAAABMQEAAAALLTE4OTMyOTk2OTUDAAAAAjcyAgAAAAYxMDAwNTQEAAAAATAHAAAACDYvNC8yMDI2tmt/zxfD3ghmDfDQF8PeCCJDSVEuTlNFSTpHT0RJR0lULklRX1RFVi4wNS0wNi0yMDI2AQAAANFPiiACAAAADTI4MDk2My4wMzc4NjkBBgAAAAUAAAABMQEAAAALLTE4OTMyOTk2OTUDAAAAAjcyAgAAAAYxMDAwNjAEAAAAATAHAAAACDYvNC8yMDI2w/DU0BfD3giES5sPHsPeCDxDSVFBVkcuTlNFSTpTVEFSSEVBTFRILklRX1BFX0VYQ0wuMjAwMC4wNS0wNi0yMDIzLjA1LTA2LTIwMjYBAAAAPMn6BQIAAAAQNDQuNjg5MTIyMDg0NzM3MQDD8NTQF8PeCIRLmw8ew94IGENJUS5OU0VJOklDSUNJR0kuSVFfVEVWLgEAAAAFDJcAAgAAAA04NTQ4NzEuNDA1MDIyAQYAAAAFAAAAATEBAAAACy0xODg2ODU5NzczAwAAAAI3MgIAAAAGMTAwMDYwBAAAAAEwBwAAAAg2LzQvMjAyNrZrf88Xw94IZg3w0BfD3ggoQ0lRLk5TRUk6R09ESUdJVC5JUV9NQVJLRVRDQVAuMDUtMDYtMjAyNgEAAADRT4ogAgAAAAwyNzk2NTQuNTM3ODcBBgAAAAUAAAABMQEAAAALLTE4OTMyOTk2OTUDAAAAAjcyAgAAAAYxMDAw</t>
        </is>
      </c>
      <c r="D1" t="inlineStr">
        <is>
          <t>NTQEAAAAATAHAAAACDYvNC8yMDI2w/DU0BfD3giES5sPHsPeCClDSVEuTlNFSTpOSVZBQlVQQS5JUV9NQVJLRVRDQVAuMDUtMDYtMjAyNgEAAAD3btACAgAAAA0xNTEwNTQuMTU2OTA0AQYAAAAFAAAAATEBAAAACy0xODg2ODUxOTM3AwAAAAI3MgIAAAAGMTAwMDU0BAAAAAEwBwAAAAg2LzQvMjAyNsPw1NAXw94IZyObDx7D3ggoQ0lRQVZHLk5TRUk6U1RBUkhFQUxUSC5JUV9QRV9FWENMLjIwMDAuLgEAAAA8yfoFAwAAAAAAtmt/zxfD3gjmb/DQF8PeCDlDSVFBVkcuTlNFSTpHT0RJR0lULklRX1BFX0VYQ0wuMjAwMC4wNS0wNi0yMDIzLjA1LTA2LTIwMjYBAAAA0U+KIAIAAAAQOTEuNTIwNDY1NTU5Mjc4NADD8NTQF8PeCIRLmw8ew94IG0NJUS5OU0VJOlNUQVJIRUFMVEguSVFfVEVWLgEAAAA8yfoFAgAAAA0zMTE2MTUuNDI0ODc2AQYAAAAFAAAAATEBAAAACy0xOTA4MDEzMTg1AwAAAAI3MgIAAAAGMTAwMDYwBAAAAAEwBwAAAAg2LzQvMjAyNrZrf88Xw94IZg3w0BfD3ggvQ0lRQVZHLk5TRUk6SUNJQ0lHSS5JUV9QRV9FWENMLjIwMDAuLjA1LTA2LTIwMjYBAAAABQyXAAMAAAAAALZrf88Xw94ISvyIzxfD3gglQ0lRQVZHLk5TRUk6SUNJQ0lHSS5JUV9QRV9FWENMLjIwMDAuLgEAAAAFDJcAAwAAAAAAtmt/zxfD3ghmDfDQF8PeCDJDSVFBVkcuTlNFSTpTVEFSSEVBTFRILklRX1BFX0VYQ0wuMjAwMC4u</t>
        </is>
      </c>
      <c r="E1" t="inlineStr">
        <is>
          <t>MDUtMDYtMjAyNgEAAAA8yfoFAwAAAAAAtmt/zxfD3ghK/IjPF8PeCDpDSVFBVkcuTlNFSTpOSVZBQlVQQS5JUV9QRV9FWENMLjIwMDAuMDUtMDYtMjAyMy4wNS0wNi0yMDI2AQAAAPdu0AICAAAAEDkzLjk0MTQ3MzE2MDMzODMAw/DU0BfD3giES5sPHsPeCCJDSVEuTlNFSTpJQ0lDSUdJLklRX1RFVi4wNS0wNi0yMDI2AQAAAAUMlwACAAAADTg1NDg3MS40MDUwMjIBBgAAAAUAAAABMQEAAAALLTE4ODY4NTk3NzMDAAAAAjcyAgAAAAYxMDAwNjAEAAAAATAHAAAACDYvNC8yMDI2w/DU0BfD3giES5sPHsPeCCZDSVFBVkcuTlNFSTpOSVZBQlVQQS5JUV9QRV9FWENMLjIwMDAuLgEAAAD3btACAwAAAAAAtmt/zxfD3gjmb/DQF8PeCCVDSVEuTlNFSTpTVEFSSEVBTFRILklRX1RFVi4wNS0wNi0yMDI2AQAAADzJ+gUCAAAADTMxMTYxNS40MjQ4NzYBBgAAAAUAAAABMQEAAAALLTE5MDgwMTMxODUDAAAAAjcyAgAAAAYxMDAwNjAEAAAAATAHAAAACDYvNC8yMDI2w/DU0BfD3giES5sPHsPeCBlDSVEuTlNFSTpOSVZBQlVQQS5JUV9URVYuAQAAAPdu0AICAAAADTE1MzAwOC4yNTY5MDQBBgAAAAUAAAABMQEAAAALLTE4ODY4NTE5MzcDAAAAAjcyAgAAAAYxMDAwNjAEAAAAATAHAAAACDYvNC8yMDI2tmt/zxfD3gjmb/DQF8PeCB9DSVEuTlNFSTpOSVZBQlVQQS5JUV9NQVJLRVRDQVAuAQAAAPdu0AICAAAADTE1MTA1</t>
        </is>
      </c>
      <c r="F1" t="inlineStr">
        <is>
          <t>NC4xNTY5MDQBBgAAAAUAAAABMQEAAAALLTE4ODY4NTE5MzcDAAAAAjcyAgAAAAYxMDAwNTQEAAAAATAHAAAACDYvNC8yMDI2tmt/zxfD3gjmb/DQF8PeCDBDSVFBVkcuTlNFSTpOSVZBQlVQQS5JUV9QRV9FWENMLjIwMDAuLjA1LTA2LTIwMjYBAAAA927QAgMAAAAAALZrf88Xw94ISvyIzxfD3gghQ0lRLk5TRUk6U1RBUkhFQUxUSC5JUV9NQVJLRVRDQVAuAQAAADzJ+gUCAAAADTMwOTQwOC42MjQ4NzYBBgAAAAUAAAABMQEAAAALLTE5MDgwMTMxODUDAAAAAjcyAgAAAAYxMDAwNTQEAAAAATAHAAAACDYvNC8yMDI2tmt/zxfD3ghmDfDQF8PeCB5DSVEuTlNFSTpJQ0lDSUdJLklRX01BUktFVENBUC4BAAAABQyXAAIAAAANODY0NjExLjcwNTAyMgEGAAAABQAAAAExAQAAAAstMTg4Njg1OTc3MwMAAAACNzICAAAABjEwMDA1NAQAAAABMAcAAAAINi80LzIwMja2a3/PF8PeCGYN8NAXw94IOUNJUUFWRy5OU0VJOklDSUNJR0kuSVFfUEVfRVhDTC4yMDAwLjA1LTA2LTIwMjMuMDUtMDYtMjAyNgEAAAAFDJcAAgAAABAzOS4wNzY4NjUyMTYwNzY2AMPw1NAXw94IhEubDx7D3gg=</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Q158"/>
  <sheetViews>
    <sheetView showGridLines="0" tabSelected="1" zoomScale="109" zoomScaleNormal="147" workbookViewId="0">
      <selection activeCell="D7" sqref="D7"/>
    </sheetView>
  </sheetViews>
  <sheetFormatPr baseColWidth="8" defaultColWidth="8.7265625" defaultRowHeight="14.5"/>
  <cols>
    <col width="8.7265625" customWidth="1" style="199" min="1" max="1"/>
    <col width="10.1796875" customWidth="1" style="199" min="2" max="2"/>
    <col width="14.1796875" customWidth="1" style="199" min="3" max="6"/>
    <col width="8.7265625" customWidth="1" style="199" min="7" max="8"/>
    <col width="12.453125" customWidth="1" style="199" min="9" max="11"/>
    <col width="12.81640625" customWidth="1" style="199" min="12" max="12"/>
    <col width="8.7265625" customWidth="1" style="199" min="13" max="14"/>
    <col width="11.453125" bestFit="1" customWidth="1" style="199" min="15" max="16"/>
    <col width="8.7265625" customWidth="1" style="199" min="17" max="16384"/>
  </cols>
  <sheetData>
    <row r="2" ht="29" customHeight="1">
      <c r="B2" s="206" t="inlineStr">
        <is>
          <t>Date</t>
        </is>
      </c>
      <c r="C2" s="207" t="inlineStr">
        <is>
          <t>Close Price</t>
        </is>
      </c>
      <c r="D2" s="207" t="inlineStr">
        <is>
          <t>Total Quantity</t>
        </is>
      </c>
      <c r="E2" s="207" t="inlineStr">
        <is>
          <t>Deliverable Quantity</t>
        </is>
      </c>
      <c r="F2" s="208" t="inlineStr">
        <is>
          <t>% Deli. Qty to Traded Qty</t>
        </is>
      </c>
    </row>
    <row r="3">
      <c r="B3" s="200" t="n">
        <v>45839</v>
      </c>
      <c r="C3" s="257" t="n">
        <v>82.02</v>
      </c>
      <c r="D3" s="201" t="n">
        <v>163681</v>
      </c>
      <c r="E3" s="201" t="n">
        <v>68756</v>
      </c>
      <c r="F3" s="202">
        <f>E3/D3</f>
        <v/>
      </c>
    </row>
    <row r="4">
      <c r="B4" s="200" t="n">
        <v>45838</v>
      </c>
      <c r="C4" s="257" t="n">
        <v>81.81</v>
      </c>
      <c r="D4" s="201" t="n">
        <v>72042</v>
      </c>
      <c r="E4" s="201" t="n">
        <v>42831</v>
      </c>
      <c r="F4" s="202">
        <f>E4/D4</f>
        <v/>
      </c>
    </row>
    <row r="5">
      <c r="B5" s="200" t="n">
        <v>45835</v>
      </c>
      <c r="C5" s="257" t="n">
        <v>81.79000000000001</v>
      </c>
      <c r="D5" s="201" t="n">
        <v>306082</v>
      </c>
      <c r="E5" s="201" t="n">
        <v>200060</v>
      </c>
      <c r="F5" s="202">
        <f>E5/D5</f>
        <v/>
      </c>
    </row>
    <row r="6">
      <c r="B6" s="200" t="n">
        <v>45834</v>
      </c>
      <c r="C6" s="257" t="n">
        <v>82.02</v>
      </c>
      <c r="D6" s="201" t="n">
        <v>133045</v>
      </c>
      <c r="E6" s="201" t="n">
        <v>66521</v>
      </c>
      <c r="F6" s="202">
        <f>E6/D6</f>
        <v/>
      </c>
    </row>
    <row r="7">
      <c r="B7" s="200" t="n">
        <v>45833</v>
      </c>
      <c r="C7" s="257" t="n">
        <v>82.02</v>
      </c>
      <c r="D7" s="201" t="n">
        <v>120001</v>
      </c>
      <c r="E7" s="201" t="n">
        <v>82908</v>
      </c>
      <c r="F7" s="202">
        <f>E7/D7</f>
        <v/>
      </c>
    </row>
    <row r="8">
      <c r="B8" s="200" t="n">
        <v>45832</v>
      </c>
      <c r="C8" s="257" t="n">
        <v>81.67</v>
      </c>
      <c r="D8" s="201" t="n">
        <v>50518</v>
      </c>
      <c r="E8" s="201" t="n">
        <v>28781</v>
      </c>
      <c r="F8" s="202">
        <f>E8/D8</f>
        <v/>
      </c>
    </row>
    <row r="9">
      <c r="B9" s="200" t="n">
        <v>45831</v>
      </c>
      <c r="C9" s="257" t="n">
        <v>81.68000000000001</v>
      </c>
      <c r="D9" s="201" t="n">
        <v>67041</v>
      </c>
      <c r="E9" s="201" t="n">
        <v>33255</v>
      </c>
      <c r="F9" s="202">
        <f>E9/D9</f>
        <v/>
      </c>
    </row>
    <row r="10">
      <c r="B10" s="200" t="n">
        <v>45828</v>
      </c>
      <c r="C10" s="257" t="n">
        <v>81.14</v>
      </c>
      <c r="D10" s="201" t="n">
        <v>86506</v>
      </c>
      <c r="E10" s="201" t="n">
        <v>47352</v>
      </c>
      <c r="F10" s="202">
        <f>E10/D10</f>
        <v/>
      </c>
    </row>
    <row r="11">
      <c r="B11" s="200" t="n">
        <v>45827</v>
      </c>
      <c r="C11" s="257" t="n">
        <v>80.02</v>
      </c>
      <c r="D11" s="201" t="n">
        <v>193688</v>
      </c>
      <c r="E11" s="201" t="n">
        <v>86087</v>
      </c>
      <c r="F11" s="202">
        <f>E11/D11</f>
        <v/>
      </c>
    </row>
    <row r="12">
      <c r="B12" s="200" t="n">
        <v>45826</v>
      </c>
      <c r="C12" s="257" t="n">
        <v>81.03</v>
      </c>
      <c r="D12" s="201" t="n">
        <v>181799</v>
      </c>
      <c r="E12" s="201" t="n">
        <v>82188</v>
      </c>
      <c r="F12" s="202">
        <f>E12/D12</f>
        <v/>
      </c>
    </row>
    <row r="13">
      <c r="B13" s="200" t="n">
        <v>45825</v>
      </c>
      <c r="C13" s="257" t="n">
        <v>80.17</v>
      </c>
      <c r="D13" s="201" t="n">
        <v>189168</v>
      </c>
      <c r="E13" s="201" t="n">
        <v>90389</v>
      </c>
      <c r="F13" s="202">
        <f>E13/D13</f>
        <v/>
      </c>
    </row>
    <row r="14">
      <c r="B14" s="200" t="n">
        <v>45824</v>
      </c>
      <c r="C14" s="257" t="n">
        <v>81.84999999999999</v>
      </c>
      <c r="D14" s="201" t="n">
        <v>92495</v>
      </c>
      <c r="E14" s="201" t="n">
        <v>34512</v>
      </c>
      <c r="F14" s="202">
        <f>E14/D14</f>
        <v/>
      </c>
    </row>
    <row r="15">
      <c r="B15" s="200" t="n">
        <v>45821</v>
      </c>
      <c r="C15" s="257" t="n">
        <v>81.39</v>
      </c>
      <c r="D15" s="201" t="n">
        <v>140460</v>
      </c>
      <c r="E15" s="201" t="n">
        <v>72812</v>
      </c>
      <c r="F15" s="202">
        <f>E15/D15</f>
        <v/>
      </c>
    </row>
    <row r="16">
      <c r="B16" s="200" t="n">
        <v>45820</v>
      </c>
      <c r="C16" s="257" t="n">
        <v>82.13</v>
      </c>
      <c r="D16" s="201" t="n">
        <v>198556</v>
      </c>
      <c r="E16" s="201" t="n">
        <v>99054</v>
      </c>
      <c r="F16" s="202">
        <f>E16/D16</f>
        <v/>
      </c>
    </row>
    <row r="17" ht="29" customHeight="1">
      <c r="B17" s="200" t="n">
        <v>45819</v>
      </c>
      <c r="C17" s="257" t="n">
        <v>82.65000000000001</v>
      </c>
      <c r="D17" s="201" t="n">
        <v>163909</v>
      </c>
      <c r="E17" s="201" t="n">
        <v>66828</v>
      </c>
      <c r="F17" s="202">
        <f>E17/D17</f>
        <v/>
      </c>
      <c r="H17" s="206" t="inlineStr">
        <is>
          <t>Month</t>
        </is>
      </c>
      <c r="I17" s="207" t="inlineStr">
        <is>
          <t>Close Price</t>
        </is>
      </c>
      <c r="J17" s="207" t="inlineStr">
        <is>
          <t>No.of Shares</t>
        </is>
      </c>
      <c r="K17" s="207" t="inlineStr">
        <is>
          <t>Deliverable Quantity</t>
        </is>
      </c>
      <c r="L17" s="208" t="inlineStr">
        <is>
          <t>% Deli. Qty to Traded Qty</t>
        </is>
      </c>
    </row>
    <row r="18">
      <c r="B18" s="200" t="n">
        <v>45818</v>
      </c>
      <c r="C18" s="257" t="n">
        <v>82.87</v>
      </c>
      <c r="D18" s="201" t="n">
        <v>267429</v>
      </c>
      <c r="E18" s="201" t="n">
        <v>145267</v>
      </c>
      <c r="F18" s="202">
        <f>E18/D18</f>
        <v/>
      </c>
      <c r="H18" s="260" t="n">
        <v>45597</v>
      </c>
      <c r="I18" t="n">
        <v>75.34</v>
      </c>
      <c r="J18" s="219" t="n">
        <v>6142044</v>
      </c>
      <c r="K18" s="219" t="n">
        <v>3272801</v>
      </c>
      <c r="L18" s="3">
        <f>K18/J18</f>
        <v/>
      </c>
    </row>
    <row r="19">
      <c r="B19" s="200" t="n">
        <v>45817</v>
      </c>
      <c r="C19" s="257" t="n">
        <v>83.34999999999999</v>
      </c>
      <c r="D19" s="201" t="n">
        <v>385076</v>
      </c>
      <c r="E19" s="201" t="n">
        <v>243037</v>
      </c>
      <c r="F19" s="202">
        <f>E19/D19</f>
        <v/>
      </c>
      <c r="H19" s="260" t="n">
        <v>45627</v>
      </c>
      <c r="I19" t="n">
        <v>83.84</v>
      </c>
      <c r="J19" s="219" t="n">
        <v>15031268</v>
      </c>
      <c r="K19" s="219" t="n">
        <v>5925358</v>
      </c>
      <c r="L19" s="3">
        <f>K19/J19</f>
        <v/>
      </c>
    </row>
    <row r="20">
      <c r="B20" s="200" t="n">
        <v>45814</v>
      </c>
      <c r="C20" s="257" t="n">
        <v>83.01000000000001</v>
      </c>
      <c r="D20" s="201" t="n">
        <v>135440</v>
      </c>
      <c r="E20" s="201" t="n">
        <v>46443</v>
      </c>
      <c r="F20" s="202">
        <f>E20/D20</f>
        <v/>
      </c>
      <c r="H20" s="260" t="n">
        <v>45658</v>
      </c>
      <c r="I20" t="n">
        <v>81.15000000000001</v>
      </c>
      <c r="J20" s="219" t="n">
        <v>3935409</v>
      </c>
      <c r="K20" s="219" t="n">
        <v>1816424</v>
      </c>
      <c r="L20" s="3">
        <f>K20/J20</f>
        <v/>
      </c>
    </row>
    <row r="21">
      <c r="B21" s="200" t="n">
        <v>45813</v>
      </c>
      <c r="C21" s="257" t="n">
        <v>82.56999999999999</v>
      </c>
      <c r="D21" s="201" t="n">
        <v>125017</v>
      </c>
      <c r="E21" s="201" t="n">
        <v>52372</v>
      </c>
      <c r="F21" s="202">
        <f>E21/D21</f>
        <v/>
      </c>
      <c r="H21" s="260" t="n">
        <v>45689</v>
      </c>
      <c r="I21" t="n">
        <v>73.01000000000001</v>
      </c>
      <c r="J21" s="219" t="n">
        <v>2332559</v>
      </c>
      <c r="K21" s="219" t="n">
        <v>1127766</v>
      </c>
      <c r="L21" s="3">
        <f>K21/J21</f>
        <v/>
      </c>
    </row>
    <row r="22">
      <c r="B22" s="200" t="n">
        <v>45812</v>
      </c>
      <c r="C22" s="257" t="n">
        <v>82.93000000000001</v>
      </c>
      <c r="D22" s="201" t="n">
        <v>396016</v>
      </c>
      <c r="E22" s="201" t="n">
        <v>97987</v>
      </c>
      <c r="F22" s="202">
        <f>E22/D22</f>
        <v/>
      </c>
      <c r="H22" s="260" t="n">
        <v>45717</v>
      </c>
      <c r="I22" t="n">
        <v>78.01000000000001</v>
      </c>
      <c r="J22" s="219" t="n">
        <v>1207176</v>
      </c>
      <c r="K22" s="219" t="n">
        <v>632506</v>
      </c>
      <c r="L22" s="3">
        <f>K22/J22</f>
        <v/>
      </c>
    </row>
    <row r="23">
      <c r="B23" s="200" t="n">
        <v>45811</v>
      </c>
      <c r="C23" s="257" t="n">
        <v>83.08</v>
      </c>
      <c r="D23" s="201" t="n">
        <v>1098856</v>
      </c>
      <c r="E23" s="201" t="n">
        <v>485416</v>
      </c>
      <c r="F23" s="202">
        <f>E23/D23</f>
        <v/>
      </c>
      <c r="H23" s="260" t="n">
        <v>45748</v>
      </c>
      <c r="I23" t="n">
        <v>81.45999999999999</v>
      </c>
      <c r="J23" s="219" t="n">
        <v>3136571</v>
      </c>
      <c r="K23" s="219" t="n">
        <v>1052809</v>
      </c>
      <c r="L23" s="3">
        <f>K23/J23</f>
        <v/>
      </c>
    </row>
    <row r="24">
      <c r="B24" s="200" t="n">
        <v>45810</v>
      </c>
      <c r="C24" s="257" t="n">
        <v>83.06999999999999</v>
      </c>
      <c r="D24" s="201" t="n">
        <v>236362473</v>
      </c>
      <c r="E24" s="201" t="n">
        <v>183936207</v>
      </c>
      <c r="F24" s="202">
        <f>E24/D24</f>
        <v/>
      </c>
      <c r="H24" s="260" t="n">
        <v>45778</v>
      </c>
      <c r="I24" t="n">
        <v>92.28</v>
      </c>
      <c r="J24" s="219" t="n">
        <v>13644244</v>
      </c>
      <c r="K24" s="219" t="n">
        <v>4971435</v>
      </c>
      <c r="L24" s="3">
        <f>K24/J24</f>
        <v/>
      </c>
      <c r="O24" s="391" t="inlineStr">
        <is>
          <t>Actual Jun-25</t>
        </is>
      </c>
      <c r="P24" s="493" t="n"/>
      <c r="Q24" s="497" t="n"/>
    </row>
    <row r="25">
      <c r="B25" s="200" t="n">
        <v>45807</v>
      </c>
      <c r="C25" s="257" t="n">
        <v>92.28</v>
      </c>
      <c r="D25" s="201" t="n">
        <v>525003</v>
      </c>
      <c r="E25" s="201" t="n">
        <v>279943</v>
      </c>
      <c r="F25" s="202">
        <f>E25/D25</f>
        <v/>
      </c>
      <c r="H25" s="260" t="n">
        <v>45809</v>
      </c>
      <c r="I25" t="n">
        <v>81.81</v>
      </c>
      <c r="J25" s="219">
        <f>J24*3</f>
        <v/>
      </c>
      <c r="K25" s="219">
        <f>J25*L25</f>
        <v/>
      </c>
      <c r="L25" s="3">
        <f>Q25</f>
        <v/>
      </c>
      <c r="O25" s="266" t="n">
        <v>240765617</v>
      </c>
      <c r="P25" s="266" t="n">
        <v>186040307</v>
      </c>
      <c r="Q25" s="267">
        <f>P25/O25</f>
        <v/>
      </c>
    </row>
    <row r="26">
      <c r="B26" s="200" t="n">
        <v>45806</v>
      </c>
      <c r="C26" s="257" t="n">
        <v>92.36</v>
      </c>
      <c r="D26" s="201" t="n">
        <v>1172480</v>
      </c>
      <c r="E26" s="201" t="n">
        <v>587605</v>
      </c>
      <c r="F26" s="202">
        <f>E26/D26</f>
        <v/>
      </c>
      <c r="H26" s="260" t="n">
        <v>45839</v>
      </c>
      <c r="I26" t="n">
        <v>82.02</v>
      </c>
      <c r="J26" s="219" t="n">
        <v>163681</v>
      </c>
      <c r="K26" s="219" t="n">
        <v>68756</v>
      </c>
      <c r="L26" s="3">
        <f>K26/J26</f>
        <v/>
      </c>
      <c r="O26" s="257" t="n"/>
      <c r="P26" s="257" t="n"/>
    </row>
    <row r="27">
      <c r="B27" s="200" t="n">
        <v>45805</v>
      </c>
      <c r="C27" s="257" t="n">
        <v>87.95</v>
      </c>
      <c r="D27" s="201" t="n">
        <v>232079</v>
      </c>
      <c r="E27" s="201" t="n">
        <v>87669</v>
      </c>
      <c r="F27" s="202">
        <f>E27/D27</f>
        <v/>
      </c>
    </row>
    <row r="28">
      <c r="B28" s="200" t="n">
        <v>45804</v>
      </c>
      <c r="C28" s="257" t="n">
        <v>87.09999999999999</v>
      </c>
      <c r="D28" s="201" t="n">
        <v>196930</v>
      </c>
      <c r="E28" s="201" t="n">
        <v>70024</v>
      </c>
      <c r="F28" s="202">
        <f>E28/D28</f>
        <v/>
      </c>
    </row>
    <row r="29">
      <c r="B29" s="200" t="n">
        <v>45803</v>
      </c>
      <c r="C29" s="257" t="n">
        <v>91.26000000000001</v>
      </c>
      <c r="D29" s="201" t="n">
        <v>279508</v>
      </c>
      <c r="E29" s="201" t="n">
        <v>130428</v>
      </c>
      <c r="F29" s="202">
        <f>E29/D29</f>
        <v/>
      </c>
    </row>
    <row r="30">
      <c r="B30" s="200" t="n">
        <v>45800</v>
      </c>
      <c r="C30" s="257" t="n">
        <v>89.36</v>
      </c>
      <c r="D30" s="201" t="n">
        <v>254707</v>
      </c>
      <c r="E30" s="201" t="n">
        <v>129026</v>
      </c>
      <c r="F30" s="202">
        <f>E30/D30</f>
        <v/>
      </c>
    </row>
    <row r="31">
      <c r="B31" s="200" t="n">
        <v>45799</v>
      </c>
      <c r="C31" s="257" t="n">
        <v>88.55</v>
      </c>
      <c r="D31" s="201" t="n">
        <v>409649</v>
      </c>
      <c r="E31" s="201" t="n">
        <v>151237</v>
      </c>
      <c r="F31" s="202">
        <f>E31/D31</f>
        <v/>
      </c>
    </row>
    <row r="32">
      <c r="B32" s="200" t="n">
        <v>45798</v>
      </c>
      <c r="C32" s="257" t="n">
        <v>89.63</v>
      </c>
      <c r="D32" s="201" t="n">
        <v>129024</v>
      </c>
      <c r="E32" s="201" t="n">
        <v>53955</v>
      </c>
      <c r="F32" s="202">
        <f>E32/D32</f>
        <v/>
      </c>
    </row>
    <row r="33">
      <c r="B33" s="200" t="n">
        <v>45797</v>
      </c>
      <c r="C33" s="257" t="n">
        <v>90.91</v>
      </c>
      <c r="D33" s="201" t="n">
        <v>343509</v>
      </c>
      <c r="E33" s="201" t="n">
        <v>90412</v>
      </c>
      <c r="F33" s="202">
        <f>E33/D33</f>
        <v/>
      </c>
    </row>
    <row r="34">
      <c r="B34" s="200" t="n">
        <v>45796</v>
      </c>
      <c r="C34" s="257" t="n">
        <v>91.13</v>
      </c>
      <c r="D34" s="201" t="n">
        <v>915912</v>
      </c>
      <c r="E34" s="201" t="n">
        <v>416729</v>
      </c>
      <c r="F34" s="202">
        <f>E34/D34</f>
        <v/>
      </c>
    </row>
    <row r="35">
      <c r="B35" s="200" t="n">
        <v>45793</v>
      </c>
      <c r="C35" s="257" t="n">
        <v>90.45</v>
      </c>
      <c r="D35" s="201" t="n">
        <v>772182</v>
      </c>
      <c r="E35" s="201" t="n">
        <v>383526</v>
      </c>
      <c r="F35" s="202">
        <f>E35/D35</f>
        <v/>
      </c>
    </row>
    <row r="36">
      <c r="B36" s="200" t="n">
        <v>45792</v>
      </c>
      <c r="C36" s="257" t="n">
        <v>84.53</v>
      </c>
      <c r="D36" s="201" t="n">
        <v>210215</v>
      </c>
      <c r="E36" s="201" t="n">
        <v>119796</v>
      </c>
      <c r="F36" s="202">
        <f>E36/D36</f>
        <v/>
      </c>
    </row>
    <row r="37">
      <c r="B37" s="200" t="n">
        <v>45791</v>
      </c>
      <c r="C37" s="257" t="n">
        <v>84.53</v>
      </c>
      <c r="D37" s="201" t="n">
        <v>277303</v>
      </c>
      <c r="E37" s="201" t="n"/>
      <c r="F37" s="202">
        <f>E37/D37</f>
        <v/>
      </c>
    </row>
    <row r="38">
      <c r="B38" s="200" t="n">
        <v>45790</v>
      </c>
      <c r="C38" s="257" t="n">
        <v>84.89</v>
      </c>
      <c r="D38" s="201" t="n">
        <v>186677</v>
      </c>
      <c r="E38" s="201" t="n">
        <v>85982</v>
      </c>
      <c r="F38" s="202">
        <f>E38/D38</f>
        <v/>
      </c>
    </row>
    <row r="39">
      <c r="B39" s="200" t="n">
        <v>45789</v>
      </c>
      <c r="C39" s="257" t="n">
        <v>85.14</v>
      </c>
      <c r="D39" s="201" t="n">
        <v>482213</v>
      </c>
      <c r="E39" s="201" t="n">
        <v>188209</v>
      </c>
      <c r="F39" s="202">
        <f>E39/D39</f>
        <v/>
      </c>
    </row>
    <row r="40">
      <c r="B40" s="200" t="n">
        <v>45786</v>
      </c>
      <c r="C40" s="257" t="n">
        <v>86.73999999999999</v>
      </c>
      <c r="D40" s="201" t="n">
        <v>858008</v>
      </c>
      <c r="E40" s="201" t="n">
        <v>267422</v>
      </c>
      <c r="F40" s="202">
        <f>E40/D40</f>
        <v/>
      </c>
    </row>
    <row r="41">
      <c r="B41" s="200" t="n">
        <v>45785</v>
      </c>
      <c r="C41" s="257" t="n">
        <v>87.38</v>
      </c>
      <c r="D41" s="201" t="n">
        <v>5616606</v>
      </c>
      <c r="E41" s="201" t="n">
        <v>1430462</v>
      </c>
      <c r="F41" s="202">
        <f>E41/D41</f>
        <v/>
      </c>
    </row>
    <row r="42">
      <c r="B42" s="200" t="n">
        <v>45784</v>
      </c>
      <c r="C42" s="257" t="n">
        <v>81.06999999999999</v>
      </c>
      <c r="D42" s="201" t="n">
        <v>231383</v>
      </c>
      <c r="E42" s="201" t="n">
        <v>53027</v>
      </c>
      <c r="F42" s="202">
        <f>E42/D42</f>
        <v/>
      </c>
    </row>
    <row r="43">
      <c r="B43" s="200" t="n">
        <v>45783</v>
      </c>
      <c r="C43" s="257" t="n">
        <v>80.84999999999999</v>
      </c>
      <c r="D43" s="201" t="n">
        <v>124425</v>
      </c>
      <c r="E43" s="201" t="n">
        <v>59232</v>
      </c>
      <c r="F43" s="202">
        <f>E43/D43</f>
        <v/>
      </c>
    </row>
    <row r="44">
      <c r="B44" s="200" t="n">
        <v>45782</v>
      </c>
      <c r="C44" s="257" t="n">
        <v>86.02</v>
      </c>
      <c r="D44" s="201" t="n">
        <v>341069</v>
      </c>
      <c r="E44" s="201" t="n">
        <v>214825</v>
      </c>
      <c r="F44" s="202">
        <f>E44/D44</f>
        <v/>
      </c>
    </row>
    <row r="45">
      <c r="B45" s="200" t="n">
        <v>45779</v>
      </c>
      <c r="C45" s="257" t="n">
        <v>82.5</v>
      </c>
      <c r="D45" s="201" t="n">
        <v>85362</v>
      </c>
      <c r="E45" s="201" t="n">
        <v>24591</v>
      </c>
      <c r="F45" s="202">
        <f>E45/D45</f>
        <v/>
      </c>
    </row>
    <row r="46">
      <c r="B46" s="200" t="n">
        <v>45777</v>
      </c>
      <c r="C46" s="257" t="n">
        <v>81.45999999999999</v>
      </c>
      <c r="D46" s="201" t="n">
        <v>54253</v>
      </c>
      <c r="E46" s="201" t="n">
        <v>27230</v>
      </c>
      <c r="F46" s="202">
        <f>E46/D46</f>
        <v/>
      </c>
    </row>
    <row r="47">
      <c r="B47" s="200" t="n">
        <v>45776</v>
      </c>
      <c r="C47" s="257" t="n">
        <v>81.29000000000001</v>
      </c>
      <c r="D47" s="201" t="n">
        <v>113328</v>
      </c>
      <c r="E47" s="201" t="n">
        <v>62765</v>
      </c>
      <c r="F47" s="202">
        <f>E47/D47</f>
        <v/>
      </c>
    </row>
    <row r="48">
      <c r="B48" s="200" t="n">
        <v>45775</v>
      </c>
      <c r="C48" s="257" t="n">
        <v>82.11</v>
      </c>
      <c r="D48" s="201" t="n">
        <v>303502</v>
      </c>
      <c r="E48" s="201" t="n">
        <v>152419</v>
      </c>
      <c r="F48" s="202">
        <f>E48/D48</f>
        <v/>
      </c>
    </row>
    <row r="49">
      <c r="B49" s="200" t="n">
        <v>45772</v>
      </c>
      <c r="C49" s="257" t="n">
        <v>85.05</v>
      </c>
      <c r="D49" s="201" t="n">
        <v>293909</v>
      </c>
      <c r="E49" s="201" t="n">
        <v>65682</v>
      </c>
      <c r="F49" s="202">
        <f>E49/D49</f>
        <v/>
      </c>
    </row>
    <row r="50">
      <c r="B50" s="200" t="n">
        <v>45771</v>
      </c>
      <c r="C50" s="257" t="n">
        <v>88.14</v>
      </c>
      <c r="D50" s="201" t="n">
        <v>336186</v>
      </c>
      <c r="E50" s="201" t="n">
        <v>118251</v>
      </c>
      <c r="F50" s="202">
        <f>E50/D50</f>
        <v/>
      </c>
    </row>
    <row r="51">
      <c r="B51" s="200" t="n">
        <v>45770</v>
      </c>
      <c r="C51" s="257" t="n">
        <v>83.76000000000001</v>
      </c>
      <c r="D51" s="201" t="n">
        <v>1522790</v>
      </c>
      <c r="E51" s="201" t="n">
        <v>338889</v>
      </c>
      <c r="F51" s="202">
        <f>E51/D51</f>
        <v/>
      </c>
    </row>
    <row r="52">
      <c r="B52" s="200" t="n">
        <v>45769</v>
      </c>
      <c r="C52" s="257" t="n">
        <v>77.48</v>
      </c>
      <c r="D52" s="201" t="n">
        <v>64212</v>
      </c>
      <c r="E52" s="201" t="n">
        <v>33189</v>
      </c>
      <c r="F52" s="202">
        <f>E52/D52</f>
        <v/>
      </c>
    </row>
    <row r="53">
      <c r="B53" s="200" t="n">
        <v>45768</v>
      </c>
      <c r="C53" s="257" t="n">
        <v>78</v>
      </c>
      <c r="D53" s="201" t="n">
        <v>76446</v>
      </c>
      <c r="E53" s="201" t="n">
        <v>43950</v>
      </c>
      <c r="F53" s="202">
        <f>E53/D53</f>
        <v/>
      </c>
    </row>
    <row r="54">
      <c r="B54" s="200" t="n">
        <v>45764</v>
      </c>
      <c r="C54" s="257" t="n">
        <v>75.81999999999999</v>
      </c>
      <c r="D54" s="201" t="n">
        <v>14248</v>
      </c>
      <c r="E54" s="201" t="n">
        <v>6816</v>
      </c>
      <c r="F54" s="202">
        <f>E54/D54</f>
        <v/>
      </c>
    </row>
    <row r="55">
      <c r="B55" s="200" t="n">
        <v>45763</v>
      </c>
      <c r="C55" s="257" t="n">
        <v>76.06</v>
      </c>
      <c r="D55" s="201" t="n">
        <v>50271</v>
      </c>
      <c r="E55" s="201" t="n">
        <v>40328</v>
      </c>
      <c r="F55" s="202">
        <f>E55/D55</f>
        <v/>
      </c>
    </row>
    <row r="56">
      <c r="B56" s="200" t="n">
        <v>45762</v>
      </c>
      <c r="C56" s="257" t="n">
        <v>74.53</v>
      </c>
      <c r="D56" s="201" t="n">
        <v>8250</v>
      </c>
      <c r="E56" s="201" t="n">
        <v>4461</v>
      </c>
      <c r="F56" s="202">
        <f>E56/D56</f>
        <v/>
      </c>
    </row>
    <row r="57">
      <c r="B57" s="200" t="n">
        <v>45758</v>
      </c>
      <c r="C57" s="257" t="n">
        <v>73.79000000000001</v>
      </c>
      <c r="D57" s="201" t="n">
        <v>18292</v>
      </c>
      <c r="E57" s="201" t="n">
        <v>10817</v>
      </c>
      <c r="F57" s="202">
        <f>E57/D57</f>
        <v/>
      </c>
    </row>
    <row r="58">
      <c r="B58" s="200" t="n">
        <v>45756</v>
      </c>
      <c r="C58" s="257" t="n">
        <v>73.5</v>
      </c>
      <c r="D58" s="201" t="n">
        <v>11342</v>
      </c>
      <c r="E58" s="201" t="n">
        <v>5287</v>
      </c>
      <c r="F58" s="202">
        <f>E58/D58</f>
        <v/>
      </c>
    </row>
    <row r="59">
      <c r="B59" s="200" t="n">
        <v>45755</v>
      </c>
      <c r="C59" s="257" t="n">
        <v>72.89</v>
      </c>
      <c r="D59" s="201" t="n">
        <v>64886</v>
      </c>
      <c r="E59" s="201" t="n">
        <v>37425</v>
      </c>
      <c r="F59" s="202">
        <f>E59/D59</f>
        <v/>
      </c>
    </row>
    <row r="60">
      <c r="B60" s="200" t="n">
        <v>45754</v>
      </c>
      <c r="C60" s="257" t="n">
        <v>71.78</v>
      </c>
      <c r="D60" s="201" t="n">
        <v>90508</v>
      </c>
      <c r="E60" s="201" t="n">
        <v>45473</v>
      </c>
      <c r="F60" s="202">
        <f>E60/D60</f>
        <v/>
      </c>
    </row>
    <row r="61">
      <c r="B61" s="200" t="n">
        <v>45751</v>
      </c>
      <c r="C61" s="257" t="n">
        <v>74.52</v>
      </c>
      <c r="D61" s="201" t="n">
        <v>44484</v>
      </c>
      <c r="E61" s="201" t="n">
        <v>30391</v>
      </c>
      <c r="F61" s="202">
        <f>E61/D61</f>
        <v/>
      </c>
    </row>
    <row r="62">
      <c r="B62" s="200" t="n">
        <v>45750</v>
      </c>
      <c r="C62" s="257" t="n">
        <v>75.84</v>
      </c>
      <c r="D62" s="201" t="n">
        <v>26031</v>
      </c>
      <c r="E62" s="201" t="n">
        <v>14360</v>
      </c>
      <c r="F62" s="202">
        <f>E62/D62</f>
        <v/>
      </c>
    </row>
    <row r="63">
      <c r="B63" s="200" t="n">
        <v>45749</v>
      </c>
      <c r="C63" s="257" t="n">
        <v>76.56</v>
      </c>
      <c r="D63" s="201" t="n">
        <v>19555</v>
      </c>
      <c r="E63" s="201" t="n">
        <v>7229</v>
      </c>
      <c r="F63" s="202">
        <f>E63/D63</f>
        <v/>
      </c>
    </row>
    <row r="64">
      <c r="B64" s="200" t="n">
        <v>45748</v>
      </c>
      <c r="C64" s="257" t="n">
        <v>75.87</v>
      </c>
      <c r="D64" s="201" t="n">
        <v>24078</v>
      </c>
      <c r="E64" s="201" t="n">
        <v>7847</v>
      </c>
      <c r="F64" s="202">
        <f>E64/D64</f>
        <v/>
      </c>
    </row>
    <row r="65">
      <c r="B65" s="200" t="n">
        <v>45744</v>
      </c>
      <c r="C65" s="257" t="n">
        <v>78.01000000000001</v>
      </c>
      <c r="D65" s="201" t="n">
        <v>92253</v>
      </c>
      <c r="E65" s="201" t="n">
        <v>32822</v>
      </c>
      <c r="F65" s="202">
        <f>E65/D65</f>
        <v/>
      </c>
    </row>
    <row r="66">
      <c r="B66" s="200" t="n">
        <v>45743</v>
      </c>
      <c r="C66" s="257" t="n">
        <v>76.56</v>
      </c>
      <c r="D66" s="201" t="n">
        <v>161062</v>
      </c>
      <c r="E66" s="201" t="n">
        <v>94799</v>
      </c>
      <c r="F66" s="202">
        <f>E66/D66</f>
        <v/>
      </c>
    </row>
    <row r="67">
      <c r="B67" s="200" t="n">
        <v>45742</v>
      </c>
      <c r="C67" s="257" t="n">
        <v>71.59999999999999</v>
      </c>
      <c r="D67" s="201" t="n">
        <v>67907</v>
      </c>
      <c r="E67" s="201" t="n">
        <v>39222</v>
      </c>
      <c r="F67" s="202">
        <f>E67/D67</f>
        <v/>
      </c>
    </row>
    <row r="68">
      <c r="B68" s="200" t="n">
        <v>45741</v>
      </c>
      <c r="C68" s="257" t="n">
        <v>72.12</v>
      </c>
      <c r="D68" s="201" t="n">
        <v>80706</v>
      </c>
      <c r="E68" s="201" t="n">
        <v>49536</v>
      </c>
      <c r="F68" s="202">
        <f>E68/D68</f>
        <v/>
      </c>
    </row>
    <row r="69">
      <c r="B69" s="200" t="n">
        <v>45740</v>
      </c>
      <c r="C69" s="257" t="n">
        <v>74.22</v>
      </c>
      <c r="D69" s="201" t="n">
        <v>69936</v>
      </c>
      <c r="E69" s="201" t="n">
        <v>28273</v>
      </c>
      <c r="F69" s="202">
        <f>E69/D69</f>
        <v/>
      </c>
    </row>
    <row r="70">
      <c r="B70" s="200" t="n">
        <v>45737</v>
      </c>
      <c r="C70" s="257" t="n">
        <v>74.70999999999999</v>
      </c>
      <c r="D70" s="201" t="n">
        <v>45203</v>
      </c>
      <c r="E70" s="201" t="n">
        <v>16952</v>
      </c>
      <c r="F70" s="202">
        <f>E70/D70</f>
        <v/>
      </c>
    </row>
    <row r="71">
      <c r="B71" s="200" t="n">
        <v>45736</v>
      </c>
      <c r="C71" s="257" t="n">
        <v>74.88</v>
      </c>
      <c r="D71" s="201" t="n">
        <v>109575</v>
      </c>
      <c r="E71" s="201" t="n">
        <v>57312</v>
      </c>
      <c r="F71" s="202">
        <f>E71/D71</f>
        <v/>
      </c>
    </row>
    <row r="72">
      <c r="B72" s="200" t="n">
        <v>45735</v>
      </c>
      <c r="C72" s="257" t="n">
        <v>72.33</v>
      </c>
      <c r="D72" s="201" t="n">
        <v>20643</v>
      </c>
      <c r="E72" s="201" t="n">
        <v>9612</v>
      </c>
      <c r="F72" s="202">
        <f>E72/D72</f>
        <v/>
      </c>
    </row>
    <row r="73">
      <c r="B73" s="200" t="n">
        <v>45734</v>
      </c>
      <c r="C73" s="257" t="n">
        <v>71.29000000000001</v>
      </c>
      <c r="D73" s="201" t="n">
        <v>63913</v>
      </c>
      <c r="E73" s="201" t="n">
        <v>45313</v>
      </c>
      <c r="F73" s="202">
        <f>E73/D73</f>
        <v/>
      </c>
    </row>
    <row r="74">
      <c r="B74" s="200" t="n">
        <v>45733</v>
      </c>
      <c r="C74" s="257" t="n">
        <v>70.87</v>
      </c>
      <c r="D74" s="201" t="n">
        <v>17299</v>
      </c>
      <c r="E74" s="201" t="n">
        <v>8264</v>
      </c>
      <c r="F74" s="202">
        <f>E74/D74</f>
        <v/>
      </c>
    </row>
    <row r="75">
      <c r="B75" s="200" t="n">
        <v>45729</v>
      </c>
      <c r="C75" s="257" t="n">
        <v>71.14</v>
      </c>
      <c r="D75" s="201" t="n">
        <v>35022</v>
      </c>
      <c r="E75" s="201" t="n">
        <v>19207</v>
      </c>
      <c r="F75" s="202">
        <f>E75/D75</f>
        <v/>
      </c>
    </row>
    <row r="76">
      <c r="B76" s="200" t="n">
        <v>45728</v>
      </c>
      <c r="C76" s="257" t="n">
        <v>72.15000000000001</v>
      </c>
      <c r="D76" s="201" t="n">
        <v>44398</v>
      </c>
      <c r="E76" s="201" t="n">
        <v>27869</v>
      </c>
      <c r="F76" s="202">
        <f>E76/D76</f>
        <v/>
      </c>
    </row>
    <row r="77">
      <c r="B77" s="200" t="n">
        <v>45727</v>
      </c>
      <c r="C77" s="257" t="n">
        <v>71.12</v>
      </c>
      <c r="D77" s="201" t="n">
        <v>41400</v>
      </c>
      <c r="E77" s="201" t="n">
        <v>16186</v>
      </c>
      <c r="F77" s="202">
        <f>E77/D77</f>
        <v/>
      </c>
    </row>
    <row r="78">
      <c r="B78" s="200" t="n">
        <v>45726</v>
      </c>
      <c r="C78" s="257" t="n">
        <v>71.16</v>
      </c>
      <c r="D78" s="201" t="n">
        <v>20395</v>
      </c>
      <c r="E78" s="201" t="n">
        <v>10111</v>
      </c>
      <c r="F78" s="202">
        <f>E78/D78</f>
        <v/>
      </c>
    </row>
    <row r="79">
      <c r="B79" s="200" t="n">
        <v>45723</v>
      </c>
      <c r="C79" s="257" t="n">
        <v>72.28</v>
      </c>
      <c r="D79" s="201" t="n">
        <v>86584</v>
      </c>
      <c r="E79" s="201" t="n">
        <v>45591</v>
      </c>
      <c r="F79" s="202">
        <f>E79/D79</f>
        <v/>
      </c>
    </row>
    <row r="80">
      <c r="B80" s="200" t="n">
        <v>45722</v>
      </c>
      <c r="C80" s="257" t="n">
        <v>71.12</v>
      </c>
      <c r="D80" s="201" t="n">
        <v>48656</v>
      </c>
      <c r="E80" s="201" t="n">
        <v>30224</v>
      </c>
      <c r="F80" s="202">
        <f>E80/D80</f>
        <v/>
      </c>
    </row>
    <row r="81">
      <c r="B81" s="200" t="n">
        <v>45721</v>
      </c>
      <c r="C81" s="257" t="n">
        <v>73.25</v>
      </c>
      <c r="D81" s="201" t="n">
        <v>41945</v>
      </c>
      <c r="E81" s="201" t="n">
        <v>26946</v>
      </c>
      <c r="F81" s="202">
        <f>E81/D81</f>
        <v/>
      </c>
    </row>
    <row r="82">
      <c r="B82" s="200" t="n">
        <v>45720</v>
      </c>
      <c r="C82" s="257" t="n">
        <v>72.45999999999999</v>
      </c>
      <c r="D82" s="201" t="n">
        <v>47191</v>
      </c>
      <c r="E82" s="201" t="n">
        <v>20846</v>
      </c>
      <c r="F82" s="202">
        <f>E82/D82</f>
        <v/>
      </c>
    </row>
    <row r="83">
      <c r="B83" s="200" t="n">
        <v>45719</v>
      </c>
      <c r="C83" s="257" t="n">
        <v>71.14</v>
      </c>
      <c r="D83" s="201" t="n">
        <v>113088</v>
      </c>
      <c r="E83" s="201" t="n">
        <v>53421</v>
      </c>
      <c r="F83" s="202">
        <f>E83/D83</f>
        <v/>
      </c>
    </row>
    <row r="84">
      <c r="B84" s="200" t="n">
        <v>45716</v>
      </c>
      <c r="C84" s="257" t="n">
        <v>73.01000000000001</v>
      </c>
      <c r="D84" s="201" t="n">
        <v>42636</v>
      </c>
      <c r="E84" s="201" t="n">
        <v>25784</v>
      </c>
      <c r="F84" s="202">
        <f>E84/D84</f>
        <v/>
      </c>
    </row>
    <row r="85">
      <c r="B85" s="200" t="n">
        <v>45715</v>
      </c>
      <c r="C85" s="257" t="n">
        <v>73.70999999999999</v>
      </c>
      <c r="D85" s="201" t="n">
        <v>98820</v>
      </c>
      <c r="E85" s="201" t="n">
        <v>59914</v>
      </c>
      <c r="F85" s="202">
        <f>E85/D85</f>
        <v/>
      </c>
    </row>
    <row r="86">
      <c r="B86" s="200" t="n">
        <v>45713</v>
      </c>
      <c r="C86" s="257" t="n">
        <v>77.20999999999999</v>
      </c>
      <c r="D86" s="201" t="n">
        <v>38866</v>
      </c>
      <c r="E86" s="201" t="n">
        <v>26575</v>
      </c>
      <c r="F86" s="202">
        <f>E86/D86</f>
        <v/>
      </c>
    </row>
    <row r="87">
      <c r="B87" s="200" t="n">
        <v>45712</v>
      </c>
      <c r="C87" s="257" t="n">
        <v>77.66</v>
      </c>
      <c r="D87" s="201" t="n">
        <v>155989</v>
      </c>
      <c r="E87" s="201" t="n">
        <v>73490</v>
      </c>
      <c r="F87" s="202">
        <f>E87/D87</f>
        <v/>
      </c>
    </row>
    <row r="88">
      <c r="B88" s="200" t="n">
        <v>45709</v>
      </c>
      <c r="C88" s="257" t="n">
        <v>77.79000000000001</v>
      </c>
      <c r="D88" s="201" t="n">
        <v>97668</v>
      </c>
      <c r="E88" s="201" t="n">
        <v>57788</v>
      </c>
      <c r="F88" s="202">
        <f>E88/D88</f>
        <v/>
      </c>
    </row>
    <row r="89">
      <c r="B89" s="200" t="n">
        <v>45708</v>
      </c>
      <c r="C89" s="257" t="n">
        <v>77.05</v>
      </c>
      <c r="D89" s="201" t="n">
        <v>50466</v>
      </c>
      <c r="E89" s="201" t="n">
        <v>24362</v>
      </c>
      <c r="F89" s="202">
        <f>E89/D89</f>
        <v/>
      </c>
    </row>
    <row r="90">
      <c r="B90" s="200" t="n">
        <v>45707</v>
      </c>
      <c r="C90" s="257" t="n">
        <v>75.04000000000001</v>
      </c>
      <c r="D90" s="201" t="n">
        <v>76620</v>
      </c>
      <c r="E90" s="201" t="n">
        <v>39512</v>
      </c>
      <c r="F90" s="202">
        <f>E90/D90</f>
        <v/>
      </c>
    </row>
    <row r="91">
      <c r="B91" s="200" t="n">
        <v>45706</v>
      </c>
      <c r="C91" s="257" t="n">
        <v>75.34999999999999</v>
      </c>
      <c r="D91" s="201" t="n">
        <v>115474</v>
      </c>
      <c r="E91" s="201" t="n">
        <v>73419</v>
      </c>
      <c r="F91" s="202">
        <f>E91/D91</f>
        <v/>
      </c>
    </row>
    <row r="92">
      <c r="B92" s="200" t="n">
        <v>45705</v>
      </c>
      <c r="C92" s="257" t="n">
        <v>76.94</v>
      </c>
      <c r="D92" s="201" t="n">
        <v>51317</v>
      </c>
      <c r="E92" s="201" t="n">
        <v>23281</v>
      </c>
      <c r="F92" s="202">
        <f>E92/D92</f>
        <v/>
      </c>
    </row>
    <row r="93">
      <c r="B93" s="200" t="n">
        <v>45702</v>
      </c>
      <c r="C93" s="257" t="n">
        <v>79.47</v>
      </c>
      <c r="D93" s="201" t="n">
        <v>63193</v>
      </c>
      <c r="E93" s="201" t="n">
        <v>24252</v>
      </c>
      <c r="F93" s="202">
        <f>E93/D93</f>
        <v/>
      </c>
    </row>
    <row r="94">
      <c r="B94" s="200" t="n">
        <v>45701</v>
      </c>
      <c r="C94" s="257" t="n">
        <v>79.95999999999999</v>
      </c>
      <c r="D94" s="201" t="n">
        <v>63620</v>
      </c>
      <c r="E94" s="201" t="n">
        <v>40943</v>
      </c>
      <c r="F94" s="202">
        <f>E94/D94</f>
        <v/>
      </c>
    </row>
    <row r="95">
      <c r="B95" s="200" t="n">
        <v>45700</v>
      </c>
      <c r="C95" s="257" t="n">
        <v>79.29000000000001</v>
      </c>
      <c r="D95" s="201" t="n">
        <v>60435</v>
      </c>
      <c r="E95" s="201" t="n">
        <v>39155</v>
      </c>
      <c r="F95" s="202">
        <f>E95/D95</f>
        <v/>
      </c>
    </row>
    <row r="96">
      <c r="B96" s="200" t="n">
        <v>45699</v>
      </c>
      <c r="C96" s="257" t="n">
        <v>79.94</v>
      </c>
      <c r="D96" s="201" t="n">
        <v>97368</v>
      </c>
      <c r="E96" s="201" t="n">
        <v>29200</v>
      </c>
      <c r="F96" s="202">
        <f>E96/D96</f>
        <v/>
      </c>
    </row>
    <row r="97">
      <c r="B97" s="200" t="n">
        <v>45698</v>
      </c>
      <c r="C97" s="257" t="n">
        <v>81.40000000000001</v>
      </c>
      <c r="D97" s="201" t="n">
        <v>75205</v>
      </c>
      <c r="E97" s="201" t="n">
        <v>22921</v>
      </c>
      <c r="F97" s="202">
        <f>E97/D97</f>
        <v/>
      </c>
    </row>
    <row r="98">
      <c r="B98" s="200" t="n">
        <v>45695</v>
      </c>
      <c r="C98" s="257" t="n">
        <v>79.48</v>
      </c>
      <c r="D98" s="201" t="n">
        <v>118650</v>
      </c>
      <c r="E98" s="201" t="n">
        <v>55923</v>
      </c>
      <c r="F98" s="202">
        <f>E98/D98</f>
        <v/>
      </c>
    </row>
    <row r="99">
      <c r="B99" s="200" t="n">
        <v>45694</v>
      </c>
      <c r="C99" s="257" t="n">
        <v>81.13</v>
      </c>
      <c r="D99" s="201" t="n">
        <v>136120</v>
      </c>
      <c r="E99" s="201" t="n">
        <v>65955</v>
      </c>
      <c r="F99" s="202">
        <f>E99/D99</f>
        <v/>
      </c>
    </row>
    <row r="100">
      <c r="B100" s="200" t="n">
        <v>45693</v>
      </c>
      <c r="C100" s="257" t="n">
        <v>80.93000000000001</v>
      </c>
      <c r="D100" s="201" t="n">
        <v>249461</v>
      </c>
      <c r="E100" s="201" t="n">
        <v>141097</v>
      </c>
      <c r="F100" s="202">
        <f>E100/D100</f>
        <v/>
      </c>
    </row>
    <row r="101">
      <c r="B101" s="200" t="n">
        <v>45692</v>
      </c>
      <c r="C101" s="257" t="n">
        <v>82.16</v>
      </c>
      <c r="D101" s="201" t="n">
        <v>91326</v>
      </c>
      <c r="E101" s="201" t="n">
        <v>32916</v>
      </c>
      <c r="F101" s="202">
        <f>E101/D101</f>
        <v/>
      </c>
    </row>
    <row r="102">
      <c r="B102" s="200" t="n">
        <v>45691</v>
      </c>
      <c r="C102" s="257" t="n">
        <v>81.09</v>
      </c>
      <c r="D102" s="201" t="n">
        <v>203811</v>
      </c>
      <c r="E102" s="201" t="n">
        <v>89880</v>
      </c>
      <c r="F102" s="202">
        <f>E102/D102</f>
        <v/>
      </c>
    </row>
    <row r="103">
      <c r="B103" s="200" t="n">
        <v>45689</v>
      </c>
      <c r="C103" s="257" t="n">
        <v>79.36</v>
      </c>
      <c r="D103" s="201" t="n">
        <v>445514</v>
      </c>
      <c r="E103" s="201" t="n"/>
      <c r="F103" s="202">
        <f>E103/D103</f>
        <v/>
      </c>
    </row>
    <row r="104">
      <c r="B104" s="200" t="n">
        <v>45688</v>
      </c>
      <c r="C104" s="257" t="n">
        <v>81.15000000000001</v>
      </c>
      <c r="D104" s="201" t="n">
        <v>138979</v>
      </c>
      <c r="E104" s="201" t="n">
        <v>45241</v>
      </c>
      <c r="F104" s="202">
        <f>E104/D104</f>
        <v/>
      </c>
    </row>
    <row r="105">
      <c r="B105" s="200" t="n">
        <v>45687</v>
      </c>
      <c r="C105" s="257" t="n">
        <v>79.38</v>
      </c>
      <c r="D105" s="201" t="n">
        <v>209163</v>
      </c>
      <c r="E105" s="201" t="n">
        <v>66094</v>
      </c>
      <c r="F105" s="202">
        <f>E105/D105</f>
        <v/>
      </c>
    </row>
    <row r="106">
      <c r="B106" s="200" t="n">
        <v>45686</v>
      </c>
      <c r="C106" s="257" t="n">
        <v>80.59</v>
      </c>
      <c r="D106" s="201" t="n">
        <v>145063</v>
      </c>
      <c r="E106" s="201" t="n">
        <v>51127</v>
      </c>
      <c r="F106" s="202">
        <f>E106/D106</f>
        <v/>
      </c>
    </row>
    <row r="107">
      <c r="B107" s="200" t="n">
        <v>45685</v>
      </c>
      <c r="C107" s="257" t="n">
        <v>76.34</v>
      </c>
      <c r="D107" s="201" t="n">
        <v>172404</v>
      </c>
      <c r="E107" s="201" t="n">
        <v>72155</v>
      </c>
      <c r="F107" s="202">
        <f>E107/D107</f>
        <v/>
      </c>
    </row>
    <row r="108">
      <c r="B108" s="200" t="n">
        <v>45684</v>
      </c>
      <c r="C108" s="257" t="n">
        <v>75.25</v>
      </c>
      <c r="D108" s="201" t="n">
        <v>238383</v>
      </c>
      <c r="E108" s="201" t="n">
        <v>124864</v>
      </c>
      <c r="F108" s="202">
        <f>E108/D108</f>
        <v/>
      </c>
    </row>
    <row r="109">
      <c r="B109" s="200" t="n">
        <v>45681</v>
      </c>
      <c r="C109" s="257" t="n">
        <v>78.95</v>
      </c>
      <c r="D109" s="201" t="n">
        <v>134402</v>
      </c>
      <c r="E109" s="201" t="n">
        <v>72846</v>
      </c>
      <c r="F109" s="202">
        <f>E109/D109</f>
        <v/>
      </c>
    </row>
    <row r="110">
      <c r="B110" s="200" t="n">
        <v>45680</v>
      </c>
      <c r="C110" s="257" t="n">
        <v>81.17</v>
      </c>
      <c r="D110" s="201" t="n">
        <v>61160</v>
      </c>
      <c r="E110" s="201" t="n">
        <v>26090</v>
      </c>
      <c r="F110" s="202">
        <f>E110/D110</f>
        <v/>
      </c>
    </row>
    <row r="111">
      <c r="B111" s="200" t="n">
        <v>45679</v>
      </c>
      <c r="C111" s="257" t="n">
        <v>79.47</v>
      </c>
      <c r="D111" s="201" t="n">
        <v>155416</v>
      </c>
      <c r="E111" s="201" t="n">
        <v>60446</v>
      </c>
      <c r="F111" s="202">
        <f>E111/D111</f>
        <v/>
      </c>
    </row>
    <row r="112">
      <c r="B112" s="200" t="n">
        <v>45678</v>
      </c>
      <c r="C112" s="257" t="n">
        <v>81.2</v>
      </c>
      <c r="D112" s="201" t="n">
        <v>80920</v>
      </c>
      <c r="E112" s="201" t="n">
        <v>33025</v>
      </c>
      <c r="F112" s="202">
        <f>E112/D112</f>
        <v/>
      </c>
    </row>
    <row r="113">
      <c r="B113" s="200" t="n">
        <v>45677</v>
      </c>
      <c r="C113" s="257" t="n">
        <v>83.04000000000001</v>
      </c>
      <c r="D113" s="201" t="n">
        <v>95971</v>
      </c>
      <c r="E113" s="201" t="n">
        <v>49556</v>
      </c>
      <c r="F113" s="202">
        <f>E113/D113</f>
        <v/>
      </c>
    </row>
    <row r="114">
      <c r="B114" s="200" t="n">
        <v>45674</v>
      </c>
      <c r="C114" s="257" t="n">
        <v>81.34</v>
      </c>
      <c r="D114" s="201" t="n">
        <v>160726</v>
      </c>
      <c r="E114" s="201" t="n">
        <v>100174</v>
      </c>
      <c r="F114" s="202">
        <f>E114/D114</f>
        <v/>
      </c>
    </row>
    <row r="115">
      <c r="B115" s="200" t="n">
        <v>45673</v>
      </c>
      <c r="C115" s="257" t="n">
        <v>82.01000000000001</v>
      </c>
      <c r="D115" s="201" t="n">
        <v>311082</v>
      </c>
      <c r="E115" s="201" t="n">
        <v>188013</v>
      </c>
      <c r="F115" s="202">
        <f>E115/D115</f>
        <v/>
      </c>
    </row>
    <row r="116">
      <c r="B116" s="200" t="n">
        <v>45672</v>
      </c>
      <c r="C116" s="257" t="n">
        <v>78.68000000000001</v>
      </c>
      <c r="D116" s="201" t="n">
        <v>118017</v>
      </c>
      <c r="E116" s="201" t="n">
        <v>49131</v>
      </c>
      <c r="F116" s="202">
        <f>E116/D116</f>
        <v/>
      </c>
    </row>
    <row r="117">
      <c r="B117" s="200" t="n">
        <v>45671</v>
      </c>
      <c r="C117" s="257" t="n">
        <v>77.55</v>
      </c>
      <c r="D117" s="201" t="n">
        <v>112560</v>
      </c>
      <c r="E117" s="201" t="n">
        <v>46646</v>
      </c>
      <c r="F117" s="202">
        <f>E117/D117</f>
        <v/>
      </c>
    </row>
    <row r="118">
      <c r="B118" s="200" t="n">
        <v>45670</v>
      </c>
      <c r="C118" s="257" t="n">
        <v>75.26000000000001</v>
      </c>
      <c r="D118" s="201" t="n">
        <v>129593</v>
      </c>
      <c r="E118" s="201" t="n">
        <v>60636</v>
      </c>
      <c r="F118" s="202">
        <f>E118/D118</f>
        <v/>
      </c>
    </row>
    <row r="119">
      <c r="B119" s="200" t="n">
        <v>45667</v>
      </c>
      <c r="C119" s="257" t="n">
        <v>76.95999999999999</v>
      </c>
      <c r="D119" s="201" t="n">
        <v>208890</v>
      </c>
      <c r="E119" s="201" t="n">
        <v>96939</v>
      </c>
      <c r="F119" s="202">
        <f>E119/D119</f>
        <v/>
      </c>
    </row>
    <row r="120">
      <c r="B120" s="200" t="n">
        <v>45666</v>
      </c>
      <c r="C120" s="257" t="n">
        <v>77.95</v>
      </c>
      <c r="D120" s="201" t="n">
        <v>65085</v>
      </c>
      <c r="E120" s="201" t="n">
        <v>23888</v>
      </c>
      <c r="F120" s="202">
        <f>E120/D120</f>
        <v/>
      </c>
    </row>
    <row r="121">
      <c r="B121" s="200" t="n">
        <v>45665</v>
      </c>
      <c r="C121" s="257" t="n">
        <v>79.22</v>
      </c>
      <c r="D121" s="201" t="n">
        <v>185288</v>
      </c>
      <c r="E121" s="201" t="n">
        <v>79871</v>
      </c>
      <c r="F121" s="202">
        <f>E121/D121</f>
        <v/>
      </c>
    </row>
    <row r="122">
      <c r="B122" s="200" t="n">
        <v>45664</v>
      </c>
      <c r="C122" s="257" t="n">
        <v>80.42</v>
      </c>
      <c r="D122" s="201" t="n">
        <v>200550</v>
      </c>
      <c r="E122" s="201" t="n">
        <v>94574</v>
      </c>
      <c r="F122" s="202">
        <f>E122/D122</f>
        <v/>
      </c>
    </row>
    <row r="123">
      <c r="B123" s="200" t="n">
        <v>45663</v>
      </c>
      <c r="C123" s="257" t="n">
        <v>78.95999999999999</v>
      </c>
      <c r="D123" s="201" t="n">
        <v>182608</v>
      </c>
      <c r="E123" s="201" t="n">
        <v>98916</v>
      </c>
      <c r="F123" s="202">
        <f>E123/D123</f>
        <v/>
      </c>
    </row>
    <row r="124">
      <c r="B124" s="200" t="n">
        <v>45660</v>
      </c>
      <c r="C124" s="257" t="n">
        <v>83.12</v>
      </c>
      <c r="D124" s="201" t="n">
        <v>319905</v>
      </c>
      <c r="E124" s="201" t="n">
        <v>130187</v>
      </c>
      <c r="F124" s="202">
        <f>E124/D124</f>
        <v/>
      </c>
    </row>
    <row r="125">
      <c r="B125" s="200" t="n">
        <v>45659</v>
      </c>
      <c r="C125" s="257" t="n">
        <v>82.34999999999999</v>
      </c>
      <c r="D125" s="201" t="n">
        <v>349186</v>
      </c>
      <c r="E125" s="201" t="n">
        <v>201206</v>
      </c>
      <c r="F125" s="202">
        <f>E125/D125</f>
        <v/>
      </c>
    </row>
    <row r="126">
      <c r="B126" s="200" t="n">
        <v>45658</v>
      </c>
      <c r="C126" s="257" t="n">
        <v>83.81999999999999</v>
      </c>
      <c r="D126" s="201" t="n">
        <v>160058</v>
      </c>
      <c r="E126" s="201" t="n">
        <v>44799</v>
      </c>
      <c r="F126" s="202">
        <f>E126/D126</f>
        <v/>
      </c>
    </row>
    <row r="127">
      <c r="B127" s="200" t="n">
        <v>45657</v>
      </c>
      <c r="C127" s="257" t="n">
        <v>83.84</v>
      </c>
      <c r="D127" s="201" t="n">
        <v>387456</v>
      </c>
      <c r="E127" s="201" t="n">
        <v>117965</v>
      </c>
      <c r="F127" s="202">
        <f>E127/D127</f>
        <v/>
      </c>
    </row>
    <row r="128">
      <c r="B128" s="200" t="n">
        <v>45656</v>
      </c>
      <c r="C128" s="257" t="n">
        <v>78.78</v>
      </c>
      <c r="D128" s="201" t="n">
        <v>395103</v>
      </c>
      <c r="E128" s="201" t="n">
        <v>188229</v>
      </c>
      <c r="F128" s="202">
        <f>E128/D128</f>
        <v/>
      </c>
    </row>
    <row r="129">
      <c r="B129" s="200" t="n">
        <v>45653</v>
      </c>
      <c r="C129" s="257" t="n">
        <v>79.72</v>
      </c>
      <c r="D129" s="201" t="n">
        <v>127297</v>
      </c>
      <c r="E129" s="201" t="n">
        <v>43369</v>
      </c>
      <c r="F129" s="202">
        <f>E129/D129</f>
        <v/>
      </c>
    </row>
    <row r="130">
      <c r="B130" s="200" t="n">
        <v>45652</v>
      </c>
      <c r="C130" s="257" t="n">
        <v>81.05</v>
      </c>
      <c r="D130" s="201" t="n">
        <v>597064</v>
      </c>
      <c r="E130" s="201" t="n">
        <v>146584</v>
      </c>
      <c r="F130" s="202">
        <f>E130/D130</f>
        <v/>
      </c>
    </row>
    <row r="131">
      <c r="B131" s="200" t="n">
        <v>45650</v>
      </c>
      <c r="C131" s="257" t="n">
        <v>76.09</v>
      </c>
      <c r="D131" s="201" t="n">
        <v>87509</v>
      </c>
      <c r="E131" s="201" t="n">
        <v>42704</v>
      </c>
      <c r="F131" s="202">
        <f>E131/D131</f>
        <v/>
      </c>
    </row>
    <row r="132">
      <c r="B132" s="200" t="n">
        <v>45649</v>
      </c>
      <c r="C132" s="257" t="n">
        <v>76.52</v>
      </c>
      <c r="D132" s="201" t="n">
        <v>407428</v>
      </c>
      <c r="E132" s="201" t="n">
        <v>135005</v>
      </c>
      <c r="F132" s="202">
        <f>E132/D132</f>
        <v/>
      </c>
    </row>
    <row r="133">
      <c r="B133" s="200" t="n">
        <v>45646</v>
      </c>
      <c r="C133" s="257" t="n">
        <v>76.37</v>
      </c>
      <c r="D133" s="201" t="n">
        <v>530921</v>
      </c>
      <c r="E133" s="201" t="n">
        <v>196080</v>
      </c>
      <c r="F133" s="202">
        <f>E133/D133</f>
        <v/>
      </c>
    </row>
    <row r="134">
      <c r="B134" s="200" t="n">
        <v>45645</v>
      </c>
      <c r="C134" s="257" t="n">
        <v>79.88</v>
      </c>
      <c r="D134" s="201" t="n">
        <v>157908</v>
      </c>
      <c r="E134" s="201" t="n">
        <v>71004</v>
      </c>
      <c r="F134" s="202">
        <f>E134/D134</f>
        <v/>
      </c>
    </row>
    <row r="135">
      <c r="B135" s="200" t="n">
        <v>45644</v>
      </c>
      <c r="C135" s="257" t="n">
        <v>81.31999999999999</v>
      </c>
      <c r="D135" s="201" t="n">
        <v>166658</v>
      </c>
      <c r="E135" s="201" t="n">
        <v>85222</v>
      </c>
      <c r="F135" s="202">
        <f>E135/D135</f>
        <v/>
      </c>
    </row>
    <row r="136">
      <c r="B136" s="200" t="n">
        <v>45643</v>
      </c>
      <c r="C136" s="257" t="n">
        <v>83.77</v>
      </c>
      <c r="D136" s="201" t="n">
        <v>156064</v>
      </c>
      <c r="E136" s="201" t="n">
        <v>72557</v>
      </c>
      <c r="F136" s="202">
        <f>E136/D136</f>
        <v/>
      </c>
    </row>
    <row r="137">
      <c r="B137" s="200" t="n">
        <v>45642</v>
      </c>
      <c r="C137" s="257" t="n">
        <v>85.12</v>
      </c>
      <c r="D137" s="201" t="n">
        <v>162543</v>
      </c>
      <c r="E137" s="201" t="n">
        <v>56425</v>
      </c>
      <c r="F137" s="202">
        <f>E137/D137</f>
        <v/>
      </c>
    </row>
    <row r="138">
      <c r="B138" s="200" t="n">
        <v>45639</v>
      </c>
      <c r="C138" s="257" t="n">
        <v>83.59</v>
      </c>
      <c r="D138" s="201" t="n">
        <v>456447</v>
      </c>
      <c r="E138" s="201" t="n">
        <v>171365</v>
      </c>
      <c r="F138" s="202">
        <f>E138/D138</f>
        <v/>
      </c>
    </row>
    <row r="139">
      <c r="B139" s="200" t="n">
        <v>45638</v>
      </c>
      <c r="C139" s="257" t="n">
        <v>85.70999999999999</v>
      </c>
      <c r="D139" s="201" t="n">
        <v>537749</v>
      </c>
      <c r="E139" s="201" t="n">
        <v>305290</v>
      </c>
      <c r="F139" s="202">
        <f>E139/D139</f>
        <v/>
      </c>
    </row>
    <row r="140">
      <c r="B140" s="200" t="n">
        <v>45637</v>
      </c>
      <c r="C140" s="257" t="n">
        <v>89.98999999999999</v>
      </c>
      <c r="D140" s="201" t="n">
        <v>125804</v>
      </c>
      <c r="E140" s="201" t="n">
        <v>59418</v>
      </c>
      <c r="F140" s="202">
        <f>E140/D140</f>
        <v/>
      </c>
    </row>
    <row r="141">
      <c r="B141" s="200" t="n">
        <v>45636</v>
      </c>
      <c r="C141" s="257" t="n">
        <v>92.69</v>
      </c>
      <c r="D141" s="201" t="n">
        <v>419250</v>
      </c>
      <c r="E141" s="201" t="n">
        <v>108025</v>
      </c>
      <c r="F141" s="202">
        <f>E141/D141</f>
        <v/>
      </c>
    </row>
    <row r="142">
      <c r="B142" s="200" t="n">
        <v>45635</v>
      </c>
      <c r="C142" s="257" t="n">
        <v>89.17</v>
      </c>
      <c r="D142" s="201" t="n">
        <v>776166</v>
      </c>
      <c r="E142" s="201" t="n">
        <v>435542</v>
      </c>
      <c r="F142" s="202">
        <f>E142/D142</f>
        <v/>
      </c>
    </row>
    <row r="143">
      <c r="B143" s="200" t="n">
        <v>45632</v>
      </c>
      <c r="C143" s="257" t="n">
        <v>95.36</v>
      </c>
      <c r="D143" s="201" t="n">
        <v>510540</v>
      </c>
      <c r="E143" s="201" t="n">
        <v>203532</v>
      </c>
      <c r="F143" s="202">
        <f>E143/D143</f>
        <v/>
      </c>
    </row>
    <row r="144">
      <c r="B144" s="200" t="n">
        <v>45631</v>
      </c>
      <c r="C144" s="257" t="n">
        <v>99.92</v>
      </c>
      <c r="D144" s="201" t="n">
        <v>2972260</v>
      </c>
      <c r="E144" s="201" t="n">
        <v>948025</v>
      </c>
      <c r="F144" s="202">
        <f>E144/D144</f>
        <v/>
      </c>
    </row>
    <row r="145">
      <c r="B145" s="200" t="n">
        <v>45630</v>
      </c>
      <c r="C145" s="257" t="n">
        <v>98.44</v>
      </c>
      <c r="D145" s="201" t="n">
        <v>3747605</v>
      </c>
      <c r="E145" s="201" t="n">
        <v>1570166</v>
      </c>
      <c r="F145" s="202">
        <f>E145/D145</f>
        <v/>
      </c>
    </row>
    <row r="146">
      <c r="B146" s="200" t="n">
        <v>45629</v>
      </c>
      <c r="C146" s="257" t="n">
        <v>82.04000000000001</v>
      </c>
      <c r="D146" s="201" t="n">
        <v>2198641</v>
      </c>
      <c r="E146" s="201" t="n">
        <v>898895</v>
      </c>
      <c r="F146" s="202">
        <f>E146/D146</f>
        <v/>
      </c>
    </row>
    <row r="147">
      <c r="B147" s="200" t="n">
        <v>45628</v>
      </c>
      <c r="C147" s="257" t="n">
        <v>74.45</v>
      </c>
      <c r="D147" s="201" t="n">
        <v>110855</v>
      </c>
      <c r="E147" s="201" t="n">
        <v>69956</v>
      </c>
      <c r="F147" s="202">
        <f>E147/D147</f>
        <v/>
      </c>
    </row>
    <row r="148">
      <c r="B148" s="200" t="n">
        <v>45625</v>
      </c>
      <c r="C148" s="257" t="n">
        <v>75.34</v>
      </c>
      <c r="D148" s="201" t="n">
        <v>144541</v>
      </c>
      <c r="E148" s="201" t="n">
        <v>86838</v>
      </c>
      <c r="F148" s="202">
        <f>E148/D148</f>
        <v/>
      </c>
    </row>
    <row r="149">
      <c r="B149" s="200" t="n">
        <v>45624</v>
      </c>
      <c r="C149" s="257" t="n">
        <v>74.81999999999999</v>
      </c>
      <c r="D149" s="201" t="n">
        <v>625735</v>
      </c>
      <c r="E149" s="201" t="n">
        <v>231499</v>
      </c>
      <c r="F149" s="202">
        <f>E149/D149</f>
        <v/>
      </c>
    </row>
    <row r="150">
      <c r="B150" s="200" t="n">
        <v>45623</v>
      </c>
      <c r="C150" s="257" t="n">
        <v>75.2</v>
      </c>
      <c r="D150" s="201" t="n">
        <v>246602</v>
      </c>
      <c r="E150" s="201" t="n">
        <v>175226</v>
      </c>
      <c r="F150" s="202">
        <f>E150/D150</f>
        <v/>
      </c>
    </row>
    <row r="151">
      <c r="B151" s="200" t="n">
        <v>45622</v>
      </c>
      <c r="C151" s="257" t="n">
        <v>75.66</v>
      </c>
      <c r="D151" s="201" t="n">
        <v>252580</v>
      </c>
      <c r="E151" s="201" t="n">
        <v>95988</v>
      </c>
      <c r="F151" s="202">
        <f>E151/D151</f>
        <v/>
      </c>
    </row>
    <row r="152">
      <c r="B152" s="200" t="n">
        <v>45621</v>
      </c>
      <c r="C152" s="257" t="n">
        <v>76.76000000000001</v>
      </c>
      <c r="D152" s="201" t="n">
        <v>911126</v>
      </c>
      <c r="E152" s="201" t="n">
        <v>490803</v>
      </c>
      <c r="F152" s="202">
        <f>E152/D152</f>
        <v/>
      </c>
    </row>
    <row r="153">
      <c r="B153" s="200" t="n">
        <v>45618</v>
      </c>
      <c r="C153" s="257" t="n">
        <v>73.72</v>
      </c>
      <c r="D153" s="201" t="n">
        <v>307495</v>
      </c>
      <c r="E153" s="201" t="n">
        <v>213820</v>
      </c>
      <c r="F153" s="202">
        <f>E153/D153</f>
        <v/>
      </c>
    </row>
    <row r="154">
      <c r="B154" s="200" t="n">
        <v>45617</v>
      </c>
      <c r="C154" s="257" t="n">
        <v>73.29000000000001</v>
      </c>
      <c r="D154" s="201" t="n">
        <v>104511</v>
      </c>
      <c r="E154" s="201" t="n">
        <v>49414</v>
      </c>
      <c r="F154" s="202">
        <f>E154/D154</f>
        <v/>
      </c>
    </row>
    <row r="155">
      <c r="B155" s="200" t="n">
        <v>45615</v>
      </c>
      <c r="C155" s="257" t="n">
        <v>73.95</v>
      </c>
      <c r="D155" s="201" t="n">
        <v>251234</v>
      </c>
      <c r="E155" s="201" t="n">
        <v>125278</v>
      </c>
      <c r="F155" s="202">
        <f>E155/D155</f>
        <v/>
      </c>
    </row>
    <row r="156">
      <c r="B156" s="200" t="n">
        <v>45614</v>
      </c>
      <c r="C156" s="257" t="n">
        <v>72.53</v>
      </c>
      <c r="D156" s="201" t="n">
        <v>411002</v>
      </c>
      <c r="E156" s="201" t="n">
        <v>211305</v>
      </c>
      <c r="F156" s="202">
        <f>E156/D156</f>
        <v/>
      </c>
    </row>
    <row r="157">
      <c r="B157" s="203" t="n">
        <v>45610</v>
      </c>
      <c r="C157" s="258" t="n">
        <v>74</v>
      </c>
      <c r="D157" s="204" t="n">
        <v>2887218</v>
      </c>
      <c r="E157" s="204" t="n">
        <v>1592630</v>
      </c>
      <c r="F157" s="205">
        <f>E157/D157</f>
        <v/>
      </c>
    </row>
    <row r="158">
      <c r="B158" s="209" t="inlineStr">
        <is>
          <t>Average</t>
        </is>
      </c>
      <c r="C158" s="259">
        <f>AVERAGE(C3:C157)</f>
        <v/>
      </c>
      <c r="D158" s="210">
        <f>AVERAGE(D3:D157)</f>
        <v/>
      </c>
      <c r="E158" s="210">
        <f>AVERAGE(E3:E157)</f>
        <v/>
      </c>
      <c r="F158" s="211">
        <f>AVERAGE(F3:F157)</f>
        <v/>
      </c>
    </row>
  </sheetData>
  <mergeCells count="1">
    <mergeCell ref="O24:Q24"/>
  </mergeCells>
  <pageMargins left="0.7" right="0.7" top="0.75" bottom="0.75" header="0.3" footer="0.3"/>
  <pageSetup orientation="portrait" paperSize="9" verticalDpi="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Faraz Motani</dc:creator>
  <dcterms:created xsi:type="dcterms:W3CDTF">2015-06-05T18:17:20Z</dcterms:created>
  <dcterms:modified xsi:type="dcterms:W3CDTF">2026-06-11T09:23:54Z</dcterms:modified>
  <cp:lastModifiedBy>Divit Toshniwal</cp:lastModifiedBy>
  <cp:lastPrinted>2026-05-22T08:42:02Z</cp:lastPrinted>
</cp:coreProperties>
</file>